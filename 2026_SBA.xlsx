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53CFFD02-D331-485F-A478-86C68FB5D35E}" xr6:coauthVersionLast="47" xr6:coauthVersionMax="47" xr10:uidLastSave="{00000000-0000-0000-0000-000000000000}"/>
  <bookViews>
    <workbookView xWindow="-120" yWindow="-120" windowWidth="29040" windowHeight="16440" tabRatio="860" activeTab="1" xr2:uid="{00000000-000D-0000-FFFF-FFFF00000000}"/>
  </bookViews>
  <sheets>
    <sheet name="Faaliyet" sheetId="1" r:id="rId1"/>
    <sheet name="Başvuru" sheetId="2" r:id="rId2"/>
    <sheet name="Toplantı" sheetId="3" r:id="rId3"/>
    <sheet name="Üye_1" sheetId="4" r:id="rId4"/>
    <sheet name="Üye_2" sheetId="5" r:id="rId5"/>
    <sheet name="Birim" sheetId="13" r:id="rId6"/>
    <sheet name="Birim_Başvuru" sheetId="6" r:id="rId7"/>
    <sheet name="Sorumlu" sheetId="14" r:id="rId8"/>
    <sheet name="Sayılar" sheetId="7" r:id="rId9"/>
    <sheet name="Word_Gündem" sheetId="8" r:id="rId10"/>
    <sheet name="2025" sheetId="9" r:id="rId11"/>
    <sheet name="Sonuçlar" sheetId="11" r:id="rId12"/>
    <sheet name="Grafikler (Veri)" sheetId="12" r:id="rId13"/>
  </sheets>
  <definedNames>
    <definedName name="_xlnm._FilterDatabase" localSheetId="5" hidden="1">Birim!$B$5:$P$78</definedName>
    <definedName name="_xlnm._FilterDatabase" localSheetId="7" hidden="1">Sorumlu!$B$5:$P$290</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518" i="2" l="1"/>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B41" i="8" a="1"/>
  <c r="C41" i="8" a="1"/>
  <c r="B42" i="8" a="1"/>
  <c r="C42" i="8" a="1"/>
  <c r="B43" i="8" a="1"/>
  <c r="C43" i="8" a="1"/>
  <c r="B44" i="8" a="1"/>
  <c r="C44" i="8" a="1"/>
  <c r="B45" i="8" a="1"/>
  <c r="C45" i="8" a="1"/>
  <c r="B46" i="8" a="1"/>
  <c r="C46" i="8" a="1"/>
  <c r="B47" i="8" a="1"/>
  <c r="C47" i="8" a="1"/>
  <c r="B48" i="8" a="1"/>
  <c r="C48" i="8" a="1"/>
  <c r="B49" i="8" a="1"/>
  <c r="C49" i="8" a="1"/>
  <c r="B50" i="8" a="1"/>
  <c r="C50" i="8" a="1"/>
  <c r="B51" i="8" a="1"/>
  <c r="C51" i="8" a="1"/>
  <c r="B52" i="8" a="1"/>
  <c r="C52" i="8" a="1"/>
  <c r="B53" i="8" a="1"/>
  <c r="C53" i="8" a="1"/>
  <c r="B54" i="8" a="1"/>
  <c r="C54" i="8" a="1"/>
  <c r="B55" i="8" a="1"/>
  <c r="C55" i="8" a="1"/>
  <c r="B56" i="8" a="1"/>
  <c r="C56" i="8" a="1"/>
  <c r="B57" i="8" a="1"/>
  <c r="C57" i="8" a="1"/>
  <c r="B58" i="8" a="1"/>
  <c r="C58" i="8" a="1"/>
  <c r="B59" i="8" a="1"/>
  <c r="C59" i="8" a="1"/>
  <c r="B60" i="8" a="1"/>
  <c r="C60" i="8" a="1"/>
  <c r="B61" i="8" a="1"/>
  <c r="C61" i="8" a="1"/>
  <c r="B62" i="8" a="1"/>
  <c r="C62" i="8" a="1"/>
  <c r="B16" i="8" a="1"/>
  <c r="C16" i="8" a="1"/>
  <c r="B17" i="8" a="1"/>
  <c r="C17" i="8" a="1"/>
  <c r="B18" i="8" a="1"/>
  <c r="C18" i="8" a="1"/>
  <c r="B19" i="8" a="1"/>
  <c r="C19" i="8" a="1"/>
  <c r="B20" i="8" a="1"/>
  <c r="C20" i="8" a="1"/>
  <c r="B21" i="8" a="1"/>
  <c r="C21" i="8" a="1"/>
  <c r="B22" i="8" a="1"/>
  <c r="B22" i="8"/>
  <c r="C22" i="8" a="1"/>
  <c r="B23" i="8" a="1"/>
  <c r="C23" i="8" a="1"/>
  <c r="B24" i="8" a="1"/>
  <c r="C24" i="8" a="1"/>
  <c r="B25" i="8" a="1"/>
  <c r="C25" i="8" a="1"/>
  <c r="B26" i="8" a="1"/>
  <c r="C26" i="8" a="1"/>
  <c r="B27" i="8" a="1"/>
  <c r="C27" i="8" a="1"/>
  <c r="B28" i="8" a="1"/>
  <c r="C28" i="8" a="1"/>
  <c r="B29" i="8" a="1"/>
  <c r="C29" i="8" a="1"/>
  <c r="B30" i="8" a="1"/>
  <c r="C30" i="8" a="1"/>
  <c r="B31" i="8" a="1"/>
  <c r="C31" i="8" a="1"/>
  <c r="B32" i="8" a="1"/>
  <c r="C32" i="8" a="1"/>
  <c r="B33" i="8" a="1"/>
  <c r="C33" i="8" a="1"/>
  <c r="B34" i="8" a="1"/>
  <c r="C34" i="8" a="1"/>
  <c r="B35" i="8" a="1"/>
  <c r="C35" i="8" a="1"/>
  <c r="B36" i="8" a="1"/>
  <c r="C36" i="8" a="1"/>
  <c r="B37" i="8" a="1"/>
  <c r="C37" i="8" a="1"/>
  <c r="B38" i="8" a="1"/>
  <c r="C38" i="8" a="1"/>
  <c r="B39" i="8" a="1"/>
  <c r="C39" i="8" a="1"/>
  <c r="B40" i="8" a="1"/>
  <c r="C40" i="8" a="1"/>
  <c r="I291" i="14"/>
  <c r="H291" i="14"/>
  <c r="G291" i="14"/>
  <c r="F291" i="14"/>
  <c r="D291" i="14"/>
  <c r="R290" i="14"/>
  <c r="R289" i="14"/>
  <c r="R288" i="14"/>
  <c r="R287" i="14"/>
  <c r="R286" i="14"/>
  <c r="R285" i="14"/>
  <c r="R284" i="14"/>
  <c r="R283" i="14"/>
  <c r="R282" i="14"/>
  <c r="R281" i="14"/>
  <c r="R280" i="14"/>
  <c r="R279" i="14"/>
  <c r="R278" i="14"/>
  <c r="R277" i="14"/>
  <c r="R276" i="14"/>
  <c r="R275" i="14"/>
  <c r="R274" i="14"/>
  <c r="R273" i="14"/>
  <c r="R272" i="14"/>
  <c r="R271" i="14"/>
  <c r="R270" i="14"/>
  <c r="R269" i="14"/>
  <c r="R268" i="14"/>
  <c r="R267" i="14"/>
  <c r="R266" i="14"/>
  <c r="R265" i="14"/>
  <c r="R264" i="14"/>
  <c r="R263" i="14"/>
  <c r="R262" i="14"/>
  <c r="R261" i="14"/>
  <c r="R260" i="14"/>
  <c r="R259" i="14"/>
  <c r="R258" i="14"/>
  <c r="R257" i="14"/>
  <c r="R256" i="14"/>
  <c r="R255" i="14"/>
  <c r="R254" i="14"/>
  <c r="R253" i="14"/>
  <c r="R252" i="14"/>
  <c r="R251" i="14"/>
  <c r="R250" i="14"/>
  <c r="R249" i="14"/>
  <c r="R248" i="14"/>
  <c r="R247" i="14"/>
  <c r="R246" i="14"/>
  <c r="R245" i="14"/>
  <c r="R244" i="14"/>
  <c r="R243" i="14"/>
  <c r="R242" i="14"/>
  <c r="R241" i="14"/>
  <c r="R240" i="14"/>
  <c r="R239" i="14"/>
  <c r="R238" i="14"/>
  <c r="R237" i="14"/>
  <c r="R236" i="14"/>
  <c r="R235" i="14"/>
  <c r="R234" i="14"/>
  <c r="R233" i="14"/>
  <c r="R232" i="14"/>
  <c r="R231" i="14"/>
  <c r="R230" i="14"/>
  <c r="R229" i="14"/>
  <c r="R228" i="14"/>
  <c r="R227" i="14"/>
  <c r="R226" i="14"/>
  <c r="R225" i="14"/>
  <c r="R224" i="14"/>
  <c r="R223" i="14"/>
  <c r="R222" i="14"/>
  <c r="R221" i="14"/>
  <c r="R220" i="14"/>
  <c r="R219" i="14"/>
  <c r="R218" i="14"/>
  <c r="R217" i="14"/>
  <c r="R216" i="14"/>
  <c r="R215" i="14"/>
  <c r="R214" i="14"/>
  <c r="R213" i="14"/>
  <c r="R212" i="14"/>
  <c r="R211" i="14"/>
  <c r="R210" i="14"/>
  <c r="R209" i="14"/>
  <c r="R208" i="14"/>
  <c r="R207" i="14"/>
  <c r="R206" i="14"/>
  <c r="R205" i="14"/>
  <c r="R204" i="14"/>
  <c r="R203" i="14"/>
  <c r="R202" i="14"/>
  <c r="R201" i="14"/>
  <c r="R200" i="14"/>
  <c r="R199" i="14"/>
  <c r="R198" i="14"/>
  <c r="R197" i="14"/>
  <c r="R196" i="14"/>
  <c r="R195" i="14"/>
  <c r="R194" i="14"/>
  <c r="R193" i="14"/>
  <c r="R192" i="14"/>
  <c r="R191" i="14"/>
  <c r="R190" i="14"/>
  <c r="R189" i="14"/>
  <c r="R188" i="14"/>
  <c r="R187" i="14"/>
  <c r="R186" i="14"/>
  <c r="R185" i="14"/>
  <c r="R184" i="14"/>
  <c r="R183" i="14"/>
  <c r="R182" i="14"/>
  <c r="R181" i="14"/>
  <c r="R180" i="14"/>
  <c r="R179" i="14"/>
  <c r="R178" i="14"/>
  <c r="R177" i="14"/>
  <c r="R176" i="14"/>
  <c r="R175" i="14"/>
  <c r="R174" i="14"/>
  <c r="R173" i="14"/>
  <c r="R172" i="14"/>
  <c r="R171" i="14"/>
  <c r="R170" i="14"/>
  <c r="R169" i="14"/>
  <c r="R168" i="14"/>
  <c r="R167" i="14"/>
  <c r="R166" i="14"/>
  <c r="R165" i="14"/>
  <c r="R164" i="14"/>
  <c r="R163" i="14"/>
  <c r="R162" i="14"/>
  <c r="R161" i="14"/>
  <c r="R160" i="14"/>
  <c r="R159" i="14"/>
  <c r="R158" i="14"/>
  <c r="R157" i="14"/>
  <c r="R156" i="14"/>
  <c r="R155" i="14"/>
  <c r="R154" i="14"/>
  <c r="R153" i="14"/>
  <c r="R152" i="14"/>
  <c r="R151" i="14"/>
  <c r="R150" i="14"/>
  <c r="R149" i="14"/>
  <c r="R148" i="14"/>
  <c r="R147" i="14"/>
  <c r="R146" i="14"/>
  <c r="R145" i="14"/>
  <c r="R144" i="14"/>
  <c r="R143" i="14"/>
  <c r="R142" i="14"/>
  <c r="R141" i="14"/>
  <c r="R140" i="14"/>
  <c r="R139" i="14"/>
  <c r="R138" i="14"/>
  <c r="R137" i="14"/>
  <c r="R136" i="14"/>
  <c r="R135" i="14"/>
  <c r="R134" i="14"/>
  <c r="R133" i="14"/>
  <c r="R132" i="14"/>
  <c r="R131" i="14"/>
  <c r="R130" i="14"/>
  <c r="R129" i="14"/>
  <c r="R128" i="14"/>
  <c r="R127" i="14"/>
  <c r="R126" i="14"/>
  <c r="R125" i="14"/>
  <c r="R124" i="14"/>
  <c r="R123" i="14"/>
  <c r="R122" i="14"/>
  <c r="R121" i="14"/>
  <c r="R120" i="14"/>
  <c r="R119" i="14"/>
  <c r="R118" i="14"/>
  <c r="R117" i="14"/>
  <c r="R116" i="14"/>
  <c r="R115" i="14"/>
  <c r="R114" i="14"/>
  <c r="R113" i="14"/>
  <c r="R112" i="14"/>
  <c r="R111" i="14"/>
  <c r="R110" i="14"/>
  <c r="R109" i="14"/>
  <c r="R108" i="14"/>
  <c r="R107" i="14"/>
  <c r="R106" i="14"/>
  <c r="R105" i="14"/>
  <c r="R104" i="14"/>
  <c r="R103" i="14"/>
  <c r="R102" i="14"/>
  <c r="R101" i="14"/>
  <c r="R100" i="14"/>
  <c r="R99" i="14"/>
  <c r="R98" i="14"/>
  <c r="R97" i="14"/>
  <c r="R96" i="14"/>
  <c r="R95" i="14"/>
  <c r="R94" i="14"/>
  <c r="R93" i="14"/>
  <c r="R92" i="14"/>
  <c r="R91" i="14"/>
  <c r="R90" i="14"/>
  <c r="R89" i="14"/>
  <c r="R88" i="14"/>
  <c r="R87" i="14"/>
  <c r="R86" i="14"/>
  <c r="R85" i="14"/>
  <c r="R84" i="14"/>
  <c r="R83" i="14"/>
  <c r="R82" i="14"/>
  <c r="R81" i="14"/>
  <c r="R80" i="14"/>
  <c r="R79" i="14"/>
  <c r="R78" i="14"/>
  <c r="R77" i="14"/>
  <c r="R76" i="14"/>
  <c r="R75" i="14"/>
  <c r="R74" i="14"/>
  <c r="R73" i="14"/>
  <c r="R72" i="14"/>
  <c r="R71" i="14"/>
  <c r="R70" i="14"/>
  <c r="R69" i="14"/>
  <c r="R68" i="14"/>
  <c r="R67" i="14"/>
  <c r="R66" i="14"/>
  <c r="R65" i="14"/>
  <c r="R64" i="14"/>
  <c r="R63" i="14"/>
  <c r="R62" i="14"/>
  <c r="R61" i="14"/>
  <c r="R60" i="14"/>
  <c r="R59" i="14"/>
  <c r="R58" i="14"/>
  <c r="R57" i="14"/>
  <c r="R56" i="14"/>
  <c r="R55" i="14"/>
  <c r="R54" i="14"/>
  <c r="R53" i="14"/>
  <c r="R52" i="14"/>
  <c r="R51" i="14"/>
  <c r="R50" i="14"/>
  <c r="R49" i="14"/>
  <c r="R48" i="14"/>
  <c r="R47" i="14"/>
  <c r="R46" i="14"/>
  <c r="R45" i="14"/>
  <c r="R44" i="14"/>
  <c r="R43" i="14"/>
  <c r="R42" i="14"/>
  <c r="R41" i="14"/>
  <c r="R40" i="14"/>
  <c r="R39" i="14"/>
  <c r="R38" i="14"/>
  <c r="R37" i="14"/>
  <c r="R36" i="14"/>
  <c r="R35" i="14"/>
  <c r="R34" i="14"/>
  <c r="R33" i="14"/>
  <c r="R32" i="14"/>
  <c r="R31" i="14"/>
  <c r="R30" i="14"/>
  <c r="R29" i="14"/>
  <c r="R28" i="14"/>
  <c r="R27" i="14"/>
  <c r="R26" i="14"/>
  <c r="R25" i="14"/>
  <c r="R24" i="14"/>
  <c r="R23" i="14"/>
  <c r="R22" i="14"/>
  <c r="R21" i="14"/>
  <c r="R20" i="14"/>
  <c r="R19" i="14"/>
  <c r="R18" i="14"/>
  <c r="R17" i="14"/>
  <c r="R16" i="14"/>
  <c r="R15" i="14"/>
  <c r="R14" i="14"/>
  <c r="R13" i="14"/>
  <c r="R12" i="14"/>
  <c r="R11" i="14"/>
  <c r="R10" i="14"/>
  <c r="R9" i="14"/>
  <c r="R8" i="14"/>
  <c r="R7" i="14"/>
  <c r="R6" i="14"/>
  <c r="I79" i="13"/>
  <c r="H79" i="13"/>
  <c r="G79" i="13"/>
  <c r="F79" i="13"/>
  <c r="D79" i="13"/>
  <c r="R78" i="13"/>
  <c r="R77" i="13"/>
  <c r="R76" i="13"/>
  <c r="R75" i="13"/>
  <c r="R74" i="13"/>
  <c r="R73" i="13"/>
  <c r="R72" i="13"/>
  <c r="R71" i="13"/>
  <c r="R70" i="13"/>
  <c r="R69" i="13"/>
  <c r="R68" i="13"/>
  <c r="R67" i="13"/>
  <c r="R66" i="13"/>
  <c r="R65" i="13"/>
  <c r="R64" i="13"/>
  <c r="R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R37" i="13"/>
  <c r="R36" i="13"/>
  <c r="R35" i="13"/>
  <c r="R34" i="13"/>
  <c r="R33" i="13"/>
  <c r="R32" i="13"/>
  <c r="R31" i="13"/>
  <c r="R30" i="13"/>
  <c r="R29" i="13"/>
  <c r="R28" i="13"/>
  <c r="R27" i="13"/>
  <c r="R26" i="13"/>
  <c r="R25" i="13"/>
  <c r="R24" i="13"/>
  <c r="R23" i="13"/>
  <c r="R22" i="13"/>
  <c r="R21" i="13"/>
  <c r="R20" i="13"/>
  <c r="R19" i="13"/>
  <c r="R18" i="13"/>
  <c r="R17" i="13"/>
  <c r="R16" i="13"/>
  <c r="R15" i="13"/>
  <c r="R14" i="13"/>
  <c r="R13" i="13"/>
  <c r="R12" i="13"/>
  <c r="R11" i="13"/>
  <c r="R10" i="13"/>
  <c r="R9" i="13"/>
  <c r="R8" i="13"/>
  <c r="R7" i="13"/>
  <c r="R6" i="13"/>
  <c r="C15" i="8" a="1"/>
  <c r="B15" i="8" a="1"/>
  <c r="C14" i="8" a="1"/>
  <c r="B14" i="8" a="1"/>
  <c r="C13" i="8" a="1"/>
  <c r="B13" i="8" a="1"/>
  <c r="C12" i="8" a="1"/>
  <c r="B12" i="8" a="1"/>
  <c r="C11" i="8" a="1"/>
  <c r="B11" i="8" a="1"/>
  <c r="C10" i="8" a="1"/>
  <c r="B10" i="8" a="1"/>
  <c r="C9" i="8" a="1"/>
  <c r="B9" i="8" a="1"/>
  <c r="C8" i="8" a="1"/>
  <c r="B8" i="8" a="1"/>
  <c r="C7" i="8" a="1"/>
  <c r="B7" i="8" a="1"/>
  <c r="C6" i="8" a="1"/>
  <c r="B6" i="8" a="1"/>
  <c r="C5" i="8" a="1"/>
  <c r="B5" i="8" a="1"/>
  <c r="C4" i="8" a="1"/>
  <c r="B4" i="8" a="1"/>
  <c r="C3" i="8" a="1"/>
  <c r="B3" i="8" a="1"/>
  <c r="C2" i="8" a="1"/>
  <c r="B2" i="8" a="1"/>
  <c r="C1" i="8" a="1"/>
  <c r="B1" i="8" a="1"/>
  <c r="E27" i="7"/>
  <c r="D27" i="7"/>
  <c r="F26" i="7"/>
  <c r="F25" i="7"/>
  <c r="F24" i="7"/>
  <c r="F23" i="7"/>
  <c r="F22" i="7"/>
  <c r="F21" i="7"/>
  <c r="F20" i="7"/>
  <c r="F19" i="7"/>
  <c r="F18" i="7"/>
  <c r="F17" i="7"/>
  <c r="F16" i="7"/>
  <c r="C15" i="7"/>
  <c r="F14" i="7"/>
  <c r="F13" i="7"/>
  <c r="F12" i="7"/>
  <c r="F11" i="7"/>
  <c r="F10" i="7"/>
  <c r="F9" i="7"/>
  <c r="F8" i="7"/>
  <c r="F7" i="7"/>
  <c r="F6" i="7"/>
  <c r="F5" i="7"/>
  <c r="F4" i="7"/>
  <c r="N76" i="6"/>
  <c r="M76" i="6"/>
  <c r="L76" i="6"/>
  <c r="K76" i="6"/>
  <c r="J76" i="6"/>
  <c r="I76" i="6"/>
  <c r="H76" i="6"/>
  <c r="G76" i="6"/>
  <c r="F76" i="6"/>
  <c r="E76" i="6"/>
  <c r="D76" i="6"/>
  <c r="C76" i="6"/>
  <c r="B76" i="6"/>
  <c r="N75" i="6"/>
  <c r="M75" i="6"/>
  <c r="L75" i="6"/>
  <c r="K75" i="6"/>
  <c r="J75" i="6"/>
  <c r="I75" i="6"/>
  <c r="H75" i="6"/>
  <c r="G75" i="6"/>
  <c r="F75" i="6"/>
  <c r="E75" i="6"/>
  <c r="D75" i="6"/>
  <c r="C75" i="6"/>
  <c r="B75" i="6"/>
  <c r="N74" i="6"/>
  <c r="M74" i="6"/>
  <c r="L74" i="6"/>
  <c r="K74" i="6"/>
  <c r="J74" i="6"/>
  <c r="I74" i="6"/>
  <c r="H74" i="6"/>
  <c r="G74" i="6"/>
  <c r="F74" i="6"/>
  <c r="E74" i="6"/>
  <c r="D74" i="6"/>
  <c r="C74" i="6"/>
  <c r="B74" i="6"/>
  <c r="N73" i="6"/>
  <c r="M73" i="6"/>
  <c r="L73" i="6"/>
  <c r="K73" i="6"/>
  <c r="J73" i="6"/>
  <c r="I73" i="6"/>
  <c r="H73" i="6"/>
  <c r="G73" i="6"/>
  <c r="F73" i="6"/>
  <c r="E73" i="6"/>
  <c r="D73" i="6"/>
  <c r="C73" i="6"/>
  <c r="B73" i="6"/>
  <c r="N72" i="6"/>
  <c r="M72" i="6"/>
  <c r="L72" i="6"/>
  <c r="K72" i="6"/>
  <c r="J72" i="6"/>
  <c r="I72" i="6"/>
  <c r="H72" i="6"/>
  <c r="G72" i="6"/>
  <c r="F72" i="6"/>
  <c r="E72" i="6"/>
  <c r="D72" i="6"/>
  <c r="C72" i="6"/>
  <c r="B72" i="6"/>
  <c r="N71" i="6"/>
  <c r="M71" i="6"/>
  <c r="L71" i="6"/>
  <c r="K71" i="6"/>
  <c r="J71" i="6"/>
  <c r="I71" i="6"/>
  <c r="H71" i="6"/>
  <c r="G71" i="6"/>
  <c r="F71" i="6"/>
  <c r="E71" i="6"/>
  <c r="D71" i="6"/>
  <c r="C71" i="6"/>
  <c r="B71" i="6"/>
  <c r="N70" i="6"/>
  <c r="M70" i="6"/>
  <c r="L70" i="6"/>
  <c r="K70" i="6"/>
  <c r="J70" i="6"/>
  <c r="I70" i="6"/>
  <c r="H70" i="6"/>
  <c r="G70" i="6"/>
  <c r="F70" i="6"/>
  <c r="E70" i="6"/>
  <c r="D70" i="6"/>
  <c r="C70" i="6"/>
  <c r="B70" i="6"/>
  <c r="N69" i="6"/>
  <c r="M69" i="6"/>
  <c r="L69" i="6"/>
  <c r="K69" i="6"/>
  <c r="J69" i="6"/>
  <c r="I69" i="6"/>
  <c r="H69" i="6"/>
  <c r="G69" i="6"/>
  <c r="F69" i="6"/>
  <c r="E69" i="6"/>
  <c r="D69" i="6"/>
  <c r="C69" i="6"/>
  <c r="B69" i="6"/>
  <c r="N68" i="6"/>
  <c r="M68" i="6"/>
  <c r="L68" i="6"/>
  <c r="K68" i="6"/>
  <c r="J68" i="6"/>
  <c r="I68" i="6"/>
  <c r="H68" i="6"/>
  <c r="G68" i="6"/>
  <c r="F68" i="6"/>
  <c r="E68" i="6"/>
  <c r="D68" i="6"/>
  <c r="C68" i="6"/>
  <c r="B68" i="6"/>
  <c r="N67" i="6"/>
  <c r="M67" i="6"/>
  <c r="L67" i="6"/>
  <c r="K67" i="6"/>
  <c r="J67" i="6"/>
  <c r="I67" i="6"/>
  <c r="H67" i="6"/>
  <c r="G67" i="6"/>
  <c r="F67" i="6"/>
  <c r="E67" i="6"/>
  <c r="D67" i="6"/>
  <c r="C67" i="6"/>
  <c r="B67" i="6"/>
  <c r="N66" i="6"/>
  <c r="M66" i="6"/>
  <c r="L66" i="6"/>
  <c r="K66" i="6"/>
  <c r="J66" i="6"/>
  <c r="I66" i="6"/>
  <c r="H66" i="6"/>
  <c r="G66" i="6"/>
  <c r="F66" i="6"/>
  <c r="E66" i="6"/>
  <c r="D66" i="6"/>
  <c r="C66" i="6"/>
  <c r="B66" i="6"/>
  <c r="N65" i="6"/>
  <c r="M65" i="6"/>
  <c r="L65" i="6"/>
  <c r="K65" i="6"/>
  <c r="J65" i="6"/>
  <c r="I65" i="6"/>
  <c r="H65" i="6"/>
  <c r="G65" i="6"/>
  <c r="F65" i="6"/>
  <c r="E65" i="6"/>
  <c r="D65" i="6"/>
  <c r="C65" i="6"/>
  <c r="B65" i="6"/>
  <c r="N64" i="6"/>
  <c r="M64" i="6"/>
  <c r="L64" i="6"/>
  <c r="K64" i="6"/>
  <c r="J64" i="6"/>
  <c r="I64" i="6"/>
  <c r="H64" i="6"/>
  <c r="G64" i="6"/>
  <c r="F64" i="6"/>
  <c r="E64" i="6"/>
  <c r="D64" i="6"/>
  <c r="C64" i="6"/>
  <c r="B64" i="6"/>
  <c r="N63" i="6"/>
  <c r="M63" i="6"/>
  <c r="L63" i="6"/>
  <c r="K63" i="6"/>
  <c r="J63" i="6"/>
  <c r="I63" i="6"/>
  <c r="H63" i="6"/>
  <c r="G63" i="6"/>
  <c r="F63" i="6"/>
  <c r="E63" i="6"/>
  <c r="D63" i="6"/>
  <c r="C63" i="6"/>
  <c r="B63" i="6"/>
  <c r="N62" i="6"/>
  <c r="M62" i="6"/>
  <c r="L62" i="6"/>
  <c r="K62" i="6"/>
  <c r="J62" i="6"/>
  <c r="I62" i="6"/>
  <c r="H62" i="6"/>
  <c r="G62" i="6"/>
  <c r="F62" i="6"/>
  <c r="E62" i="6"/>
  <c r="D62" i="6"/>
  <c r="C62" i="6"/>
  <c r="B62" i="6"/>
  <c r="N61" i="6"/>
  <c r="M61" i="6"/>
  <c r="L61" i="6"/>
  <c r="K61" i="6"/>
  <c r="J61" i="6"/>
  <c r="I61" i="6"/>
  <c r="H61" i="6"/>
  <c r="G61" i="6"/>
  <c r="F61" i="6"/>
  <c r="E61" i="6"/>
  <c r="D61" i="6"/>
  <c r="C61" i="6"/>
  <c r="B61" i="6"/>
  <c r="N60" i="6"/>
  <c r="M60" i="6"/>
  <c r="L60" i="6"/>
  <c r="K60" i="6"/>
  <c r="J60" i="6"/>
  <c r="I60" i="6"/>
  <c r="H60" i="6"/>
  <c r="G60" i="6"/>
  <c r="F60" i="6"/>
  <c r="E60" i="6"/>
  <c r="D60" i="6"/>
  <c r="C60" i="6"/>
  <c r="B60" i="6"/>
  <c r="N59" i="6"/>
  <c r="M59" i="6"/>
  <c r="L59" i="6"/>
  <c r="K59" i="6"/>
  <c r="J59" i="6"/>
  <c r="I59" i="6"/>
  <c r="H59" i="6"/>
  <c r="G59" i="6"/>
  <c r="F59" i="6"/>
  <c r="E59" i="6"/>
  <c r="D59" i="6"/>
  <c r="C59" i="6"/>
  <c r="B59" i="6"/>
  <c r="N58" i="6"/>
  <c r="M58" i="6"/>
  <c r="L58" i="6"/>
  <c r="K58" i="6"/>
  <c r="J58" i="6"/>
  <c r="I58" i="6"/>
  <c r="H58" i="6"/>
  <c r="G58" i="6"/>
  <c r="F58" i="6"/>
  <c r="E58" i="6"/>
  <c r="D58" i="6"/>
  <c r="C58" i="6"/>
  <c r="B58" i="6"/>
  <c r="N57" i="6"/>
  <c r="M57" i="6"/>
  <c r="L57" i="6"/>
  <c r="K57" i="6"/>
  <c r="J57" i="6"/>
  <c r="I57" i="6"/>
  <c r="H57" i="6"/>
  <c r="G57" i="6"/>
  <c r="F57" i="6"/>
  <c r="E57" i="6"/>
  <c r="D57" i="6"/>
  <c r="C57" i="6"/>
  <c r="B57" i="6"/>
  <c r="N56" i="6"/>
  <c r="M56" i="6"/>
  <c r="L56" i="6"/>
  <c r="K56" i="6"/>
  <c r="J56" i="6"/>
  <c r="I56" i="6"/>
  <c r="H56" i="6"/>
  <c r="G56" i="6"/>
  <c r="F56" i="6"/>
  <c r="E56" i="6"/>
  <c r="D56" i="6"/>
  <c r="C56" i="6"/>
  <c r="B56" i="6"/>
  <c r="N55" i="6"/>
  <c r="M55" i="6"/>
  <c r="L55" i="6"/>
  <c r="K55" i="6"/>
  <c r="J55" i="6"/>
  <c r="I55" i="6"/>
  <c r="H55" i="6"/>
  <c r="G55" i="6"/>
  <c r="F55" i="6"/>
  <c r="E55" i="6"/>
  <c r="D55" i="6"/>
  <c r="C55" i="6"/>
  <c r="B55" i="6"/>
  <c r="N54" i="6"/>
  <c r="M54" i="6"/>
  <c r="L54" i="6"/>
  <c r="K54" i="6"/>
  <c r="J54" i="6"/>
  <c r="I54" i="6"/>
  <c r="H54" i="6"/>
  <c r="G54" i="6"/>
  <c r="F54" i="6"/>
  <c r="E54" i="6"/>
  <c r="D54" i="6"/>
  <c r="C54" i="6"/>
  <c r="B54" i="6"/>
  <c r="N53" i="6"/>
  <c r="M53" i="6"/>
  <c r="L53" i="6"/>
  <c r="K53" i="6"/>
  <c r="J53" i="6"/>
  <c r="I53" i="6"/>
  <c r="H53" i="6"/>
  <c r="G53" i="6"/>
  <c r="F53" i="6"/>
  <c r="E53" i="6"/>
  <c r="D53" i="6"/>
  <c r="C53" i="6"/>
  <c r="B53" i="6"/>
  <c r="N52" i="6"/>
  <c r="M52" i="6"/>
  <c r="L52" i="6"/>
  <c r="K52" i="6"/>
  <c r="J52" i="6"/>
  <c r="I52" i="6"/>
  <c r="H52" i="6"/>
  <c r="G52" i="6"/>
  <c r="F52" i="6"/>
  <c r="E52" i="6"/>
  <c r="D52" i="6"/>
  <c r="C52" i="6"/>
  <c r="B52" i="6"/>
  <c r="N51" i="6"/>
  <c r="M51" i="6"/>
  <c r="L51" i="6"/>
  <c r="K51" i="6"/>
  <c r="J51" i="6"/>
  <c r="I51" i="6"/>
  <c r="H51" i="6"/>
  <c r="G51" i="6"/>
  <c r="F51" i="6"/>
  <c r="E51" i="6"/>
  <c r="D51" i="6"/>
  <c r="C51" i="6"/>
  <c r="B51" i="6"/>
  <c r="N50" i="6"/>
  <c r="M50" i="6"/>
  <c r="L50" i="6"/>
  <c r="K50" i="6"/>
  <c r="J50" i="6"/>
  <c r="I50" i="6"/>
  <c r="H50" i="6"/>
  <c r="G50" i="6"/>
  <c r="F50" i="6"/>
  <c r="E50" i="6"/>
  <c r="D50" i="6"/>
  <c r="C50" i="6"/>
  <c r="B50" i="6"/>
  <c r="N49" i="6"/>
  <c r="M49" i="6"/>
  <c r="L49" i="6"/>
  <c r="K49" i="6"/>
  <c r="J49" i="6"/>
  <c r="I49" i="6"/>
  <c r="H49" i="6"/>
  <c r="G49" i="6"/>
  <c r="F49" i="6"/>
  <c r="E49" i="6"/>
  <c r="D49" i="6"/>
  <c r="C49" i="6"/>
  <c r="B49" i="6"/>
  <c r="N48" i="6"/>
  <c r="M48" i="6"/>
  <c r="L48" i="6"/>
  <c r="K48" i="6"/>
  <c r="J48" i="6"/>
  <c r="I48" i="6"/>
  <c r="H48" i="6"/>
  <c r="G48" i="6"/>
  <c r="F48" i="6"/>
  <c r="E48" i="6"/>
  <c r="D48" i="6"/>
  <c r="C48" i="6"/>
  <c r="B48" i="6"/>
  <c r="N47" i="6"/>
  <c r="M47" i="6"/>
  <c r="L47" i="6"/>
  <c r="K47" i="6"/>
  <c r="J47" i="6"/>
  <c r="I47" i="6"/>
  <c r="H47" i="6"/>
  <c r="G47" i="6"/>
  <c r="F47" i="6"/>
  <c r="E47" i="6"/>
  <c r="D47" i="6"/>
  <c r="C47" i="6"/>
  <c r="B47" i="6"/>
  <c r="N46" i="6"/>
  <c r="M46" i="6"/>
  <c r="L46" i="6"/>
  <c r="K46" i="6"/>
  <c r="J46" i="6"/>
  <c r="I46" i="6"/>
  <c r="H46" i="6"/>
  <c r="G46" i="6"/>
  <c r="F46" i="6"/>
  <c r="E46" i="6"/>
  <c r="D46" i="6"/>
  <c r="C46" i="6"/>
  <c r="B46" i="6"/>
  <c r="N45" i="6"/>
  <c r="M45" i="6"/>
  <c r="L45" i="6"/>
  <c r="K45" i="6"/>
  <c r="J45" i="6"/>
  <c r="I45" i="6"/>
  <c r="H45" i="6"/>
  <c r="G45" i="6"/>
  <c r="F45" i="6"/>
  <c r="E45" i="6"/>
  <c r="D45" i="6"/>
  <c r="C45" i="6"/>
  <c r="B45" i="6"/>
  <c r="N44" i="6"/>
  <c r="M44" i="6"/>
  <c r="L44" i="6"/>
  <c r="K44" i="6"/>
  <c r="J44" i="6"/>
  <c r="I44" i="6"/>
  <c r="H44" i="6"/>
  <c r="G44" i="6"/>
  <c r="F44" i="6"/>
  <c r="E44" i="6"/>
  <c r="D44" i="6"/>
  <c r="C44" i="6"/>
  <c r="B44" i="6"/>
  <c r="N43" i="6"/>
  <c r="M43" i="6"/>
  <c r="L43" i="6"/>
  <c r="K43" i="6"/>
  <c r="J43" i="6"/>
  <c r="I43" i="6"/>
  <c r="H43" i="6"/>
  <c r="G43" i="6"/>
  <c r="F43" i="6"/>
  <c r="E43" i="6"/>
  <c r="D43" i="6"/>
  <c r="C43" i="6"/>
  <c r="B43" i="6"/>
  <c r="N42" i="6"/>
  <c r="M42" i="6"/>
  <c r="L42" i="6"/>
  <c r="K42" i="6"/>
  <c r="J42" i="6"/>
  <c r="I42" i="6"/>
  <c r="H42" i="6"/>
  <c r="G42" i="6"/>
  <c r="F42" i="6"/>
  <c r="E42" i="6"/>
  <c r="D42" i="6"/>
  <c r="C42" i="6"/>
  <c r="B42" i="6"/>
  <c r="N41" i="6"/>
  <c r="M41" i="6"/>
  <c r="L41" i="6"/>
  <c r="K41" i="6"/>
  <c r="J41" i="6"/>
  <c r="I41" i="6"/>
  <c r="H41" i="6"/>
  <c r="G41" i="6"/>
  <c r="F41" i="6"/>
  <c r="E41" i="6"/>
  <c r="D41" i="6"/>
  <c r="C41" i="6"/>
  <c r="B41" i="6"/>
  <c r="N40" i="6"/>
  <c r="M40" i="6"/>
  <c r="L40" i="6"/>
  <c r="K40" i="6"/>
  <c r="J40" i="6"/>
  <c r="I40" i="6"/>
  <c r="H40" i="6"/>
  <c r="G40" i="6"/>
  <c r="F40" i="6"/>
  <c r="E40" i="6"/>
  <c r="D40" i="6"/>
  <c r="C40" i="6"/>
  <c r="B40" i="6"/>
  <c r="N39" i="6"/>
  <c r="M39" i="6"/>
  <c r="L39" i="6"/>
  <c r="K39" i="6"/>
  <c r="J39" i="6"/>
  <c r="I39" i="6"/>
  <c r="H39" i="6"/>
  <c r="G39" i="6"/>
  <c r="F39" i="6"/>
  <c r="E39" i="6"/>
  <c r="D39" i="6"/>
  <c r="C39" i="6"/>
  <c r="B39" i="6"/>
  <c r="N38" i="6"/>
  <c r="M38" i="6"/>
  <c r="L38" i="6"/>
  <c r="K38" i="6"/>
  <c r="J38" i="6"/>
  <c r="I38" i="6"/>
  <c r="H38" i="6"/>
  <c r="G38" i="6"/>
  <c r="F38" i="6"/>
  <c r="E38" i="6"/>
  <c r="D38" i="6"/>
  <c r="C38" i="6"/>
  <c r="B38" i="6"/>
  <c r="N37" i="6"/>
  <c r="M37" i="6"/>
  <c r="L37" i="6"/>
  <c r="K37" i="6"/>
  <c r="J37" i="6"/>
  <c r="I37" i="6"/>
  <c r="H37" i="6"/>
  <c r="G37" i="6"/>
  <c r="F37" i="6"/>
  <c r="E37" i="6"/>
  <c r="D37" i="6"/>
  <c r="C37" i="6"/>
  <c r="B37" i="6"/>
  <c r="N36" i="6"/>
  <c r="M36" i="6"/>
  <c r="L36" i="6"/>
  <c r="K36" i="6"/>
  <c r="J36" i="6"/>
  <c r="I36" i="6"/>
  <c r="H36" i="6"/>
  <c r="G36" i="6"/>
  <c r="F36" i="6"/>
  <c r="E36" i="6"/>
  <c r="D36" i="6"/>
  <c r="C36" i="6"/>
  <c r="B36" i="6"/>
  <c r="N35" i="6"/>
  <c r="M35" i="6"/>
  <c r="L35" i="6"/>
  <c r="K35" i="6"/>
  <c r="J35" i="6"/>
  <c r="I35" i="6"/>
  <c r="H35" i="6"/>
  <c r="G35" i="6"/>
  <c r="F35" i="6"/>
  <c r="E35" i="6"/>
  <c r="D35" i="6"/>
  <c r="C35" i="6"/>
  <c r="B35" i="6"/>
  <c r="N34" i="6"/>
  <c r="M34" i="6"/>
  <c r="L34" i="6"/>
  <c r="K34" i="6"/>
  <c r="J34" i="6"/>
  <c r="I34" i="6"/>
  <c r="H34" i="6"/>
  <c r="G34" i="6"/>
  <c r="F34" i="6"/>
  <c r="E34" i="6"/>
  <c r="D34" i="6"/>
  <c r="C34" i="6"/>
  <c r="B34" i="6"/>
  <c r="N33" i="6"/>
  <c r="M33" i="6"/>
  <c r="L33" i="6"/>
  <c r="K33" i="6"/>
  <c r="J33" i="6"/>
  <c r="I33" i="6"/>
  <c r="H33" i="6"/>
  <c r="G33" i="6"/>
  <c r="F33" i="6"/>
  <c r="E33" i="6"/>
  <c r="D33" i="6"/>
  <c r="C33" i="6"/>
  <c r="B33" i="6"/>
  <c r="N32" i="6"/>
  <c r="M32" i="6"/>
  <c r="L32" i="6"/>
  <c r="K32" i="6"/>
  <c r="J32" i="6"/>
  <c r="I32" i="6"/>
  <c r="H32" i="6"/>
  <c r="G32" i="6"/>
  <c r="F32" i="6"/>
  <c r="E32" i="6"/>
  <c r="D32" i="6"/>
  <c r="C32" i="6"/>
  <c r="B32" i="6"/>
  <c r="N31" i="6"/>
  <c r="M31" i="6"/>
  <c r="L31" i="6"/>
  <c r="K31" i="6"/>
  <c r="J31" i="6"/>
  <c r="I31" i="6"/>
  <c r="H31" i="6"/>
  <c r="G31" i="6"/>
  <c r="F31" i="6"/>
  <c r="E31" i="6"/>
  <c r="D31" i="6"/>
  <c r="C31" i="6"/>
  <c r="B31" i="6"/>
  <c r="N30" i="6"/>
  <c r="M30" i="6"/>
  <c r="L30" i="6"/>
  <c r="K30" i="6"/>
  <c r="J30" i="6"/>
  <c r="I30" i="6"/>
  <c r="H30" i="6"/>
  <c r="G30" i="6"/>
  <c r="F30" i="6"/>
  <c r="E30" i="6"/>
  <c r="D30" i="6"/>
  <c r="C30" i="6"/>
  <c r="B30" i="6"/>
  <c r="N29" i="6"/>
  <c r="M29" i="6"/>
  <c r="L29" i="6"/>
  <c r="K29" i="6"/>
  <c r="J29" i="6"/>
  <c r="I29" i="6"/>
  <c r="H29" i="6"/>
  <c r="G29" i="6"/>
  <c r="F29" i="6"/>
  <c r="E29" i="6"/>
  <c r="D29" i="6"/>
  <c r="C29" i="6"/>
  <c r="B29" i="6"/>
  <c r="N28" i="6"/>
  <c r="M28" i="6"/>
  <c r="L28" i="6"/>
  <c r="K28" i="6"/>
  <c r="J28" i="6"/>
  <c r="I28" i="6"/>
  <c r="H28" i="6"/>
  <c r="G28" i="6"/>
  <c r="F28" i="6"/>
  <c r="E28" i="6"/>
  <c r="D28" i="6"/>
  <c r="C28" i="6"/>
  <c r="B28" i="6"/>
  <c r="N27" i="6"/>
  <c r="M27" i="6"/>
  <c r="L27" i="6"/>
  <c r="K27" i="6"/>
  <c r="J27" i="6"/>
  <c r="I27" i="6"/>
  <c r="H27" i="6"/>
  <c r="G27" i="6"/>
  <c r="F27" i="6"/>
  <c r="E27" i="6"/>
  <c r="D27" i="6"/>
  <c r="C27" i="6"/>
  <c r="B27" i="6"/>
  <c r="N26" i="6"/>
  <c r="M26" i="6"/>
  <c r="L26" i="6"/>
  <c r="K26" i="6"/>
  <c r="J26" i="6"/>
  <c r="I26" i="6"/>
  <c r="H26" i="6"/>
  <c r="G26" i="6"/>
  <c r="F26" i="6"/>
  <c r="E26" i="6"/>
  <c r="D26" i="6"/>
  <c r="C26" i="6"/>
  <c r="B26" i="6"/>
  <c r="N25" i="6"/>
  <c r="M25" i="6"/>
  <c r="L25" i="6"/>
  <c r="K25" i="6"/>
  <c r="J25" i="6"/>
  <c r="I25" i="6"/>
  <c r="H25" i="6"/>
  <c r="G25" i="6"/>
  <c r="F25" i="6"/>
  <c r="E25" i="6"/>
  <c r="D25" i="6"/>
  <c r="C25" i="6"/>
  <c r="B25" i="6"/>
  <c r="N24" i="6"/>
  <c r="M24" i="6"/>
  <c r="L24" i="6"/>
  <c r="K24" i="6"/>
  <c r="J24" i="6"/>
  <c r="I24" i="6"/>
  <c r="H24" i="6"/>
  <c r="G24" i="6"/>
  <c r="F24" i="6"/>
  <c r="E24" i="6"/>
  <c r="D24" i="6"/>
  <c r="C24" i="6"/>
  <c r="B24" i="6"/>
  <c r="N23" i="6"/>
  <c r="M23" i="6"/>
  <c r="L23" i="6"/>
  <c r="K23" i="6"/>
  <c r="J23" i="6"/>
  <c r="I23" i="6"/>
  <c r="H23" i="6"/>
  <c r="G23" i="6"/>
  <c r="F23" i="6"/>
  <c r="E23" i="6"/>
  <c r="D23" i="6"/>
  <c r="C23" i="6"/>
  <c r="B23" i="6"/>
  <c r="N22" i="6"/>
  <c r="M22" i="6"/>
  <c r="L22" i="6"/>
  <c r="K22" i="6"/>
  <c r="J22" i="6"/>
  <c r="I22" i="6"/>
  <c r="H22" i="6"/>
  <c r="G22" i="6"/>
  <c r="F22" i="6"/>
  <c r="E22" i="6"/>
  <c r="D22" i="6"/>
  <c r="C22" i="6"/>
  <c r="B22" i="6"/>
  <c r="N21" i="6"/>
  <c r="M21" i="6"/>
  <c r="L21" i="6"/>
  <c r="K21" i="6"/>
  <c r="J21" i="6"/>
  <c r="I21" i="6"/>
  <c r="H21" i="6"/>
  <c r="G21" i="6"/>
  <c r="F21" i="6"/>
  <c r="E21" i="6"/>
  <c r="D21" i="6"/>
  <c r="C21" i="6"/>
  <c r="B21" i="6"/>
  <c r="N20" i="6"/>
  <c r="M20" i="6"/>
  <c r="L20" i="6"/>
  <c r="K20" i="6"/>
  <c r="J20" i="6"/>
  <c r="I20" i="6"/>
  <c r="H20" i="6"/>
  <c r="G20" i="6"/>
  <c r="F20" i="6"/>
  <c r="E20" i="6"/>
  <c r="D20" i="6"/>
  <c r="C20" i="6"/>
  <c r="B20" i="6"/>
  <c r="N19" i="6"/>
  <c r="M19" i="6"/>
  <c r="L19" i="6"/>
  <c r="K19" i="6"/>
  <c r="J19" i="6"/>
  <c r="I19" i="6"/>
  <c r="H19" i="6"/>
  <c r="G19" i="6"/>
  <c r="F19" i="6"/>
  <c r="E19" i="6"/>
  <c r="D19" i="6"/>
  <c r="C19" i="6"/>
  <c r="B19" i="6"/>
  <c r="N18" i="6"/>
  <c r="M18" i="6"/>
  <c r="L18" i="6"/>
  <c r="K18" i="6"/>
  <c r="J18" i="6"/>
  <c r="I18" i="6"/>
  <c r="H18" i="6"/>
  <c r="G18" i="6"/>
  <c r="F18" i="6"/>
  <c r="E18" i="6"/>
  <c r="D18" i="6"/>
  <c r="C18" i="6"/>
  <c r="B18" i="6"/>
  <c r="N17" i="6"/>
  <c r="M17" i="6"/>
  <c r="L17" i="6"/>
  <c r="K17" i="6"/>
  <c r="J17" i="6"/>
  <c r="I17" i="6"/>
  <c r="H17" i="6"/>
  <c r="G17" i="6"/>
  <c r="F17" i="6"/>
  <c r="E17" i="6"/>
  <c r="D17" i="6"/>
  <c r="C17" i="6"/>
  <c r="B17" i="6"/>
  <c r="N16" i="6"/>
  <c r="M16" i="6"/>
  <c r="L16" i="6"/>
  <c r="K16" i="6"/>
  <c r="J16" i="6"/>
  <c r="I16" i="6"/>
  <c r="H16" i="6"/>
  <c r="G16" i="6"/>
  <c r="F16" i="6"/>
  <c r="E16" i="6"/>
  <c r="D16" i="6"/>
  <c r="C16" i="6"/>
  <c r="B16" i="6"/>
  <c r="N15" i="6"/>
  <c r="M15" i="6"/>
  <c r="L15" i="6"/>
  <c r="K15" i="6"/>
  <c r="J15" i="6"/>
  <c r="I15" i="6"/>
  <c r="H15" i="6"/>
  <c r="G15" i="6"/>
  <c r="F15" i="6"/>
  <c r="E15" i="6"/>
  <c r="D15" i="6"/>
  <c r="C15" i="6"/>
  <c r="B15" i="6"/>
  <c r="N14" i="6"/>
  <c r="M14" i="6"/>
  <c r="L14" i="6"/>
  <c r="K14" i="6"/>
  <c r="J14" i="6"/>
  <c r="I14" i="6"/>
  <c r="H14" i="6"/>
  <c r="G14" i="6"/>
  <c r="F14" i="6"/>
  <c r="E14" i="6"/>
  <c r="D14" i="6"/>
  <c r="C14" i="6"/>
  <c r="B14" i="6"/>
  <c r="N13" i="6"/>
  <c r="M13" i="6"/>
  <c r="L13" i="6"/>
  <c r="K13" i="6"/>
  <c r="J13" i="6"/>
  <c r="I13" i="6"/>
  <c r="H13" i="6"/>
  <c r="G13" i="6"/>
  <c r="F13" i="6"/>
  <c r="E13" i="6"/>
  <c r="D13" i="6"/>
  <c r="C13" i="6"/>
  <c r="B13" i="6"/>
  <c r="N12" i="6"/>
  <c r="M12" i="6"/>
  <c r="L12" i="6"/>
  <c r="K12" i="6"/>
  <c r="J12" i="6"/>
  <c r="I12" i="6"/>
  <c r="H12" i="6"/>
  <c r="G12" i="6"/>
  <c r="F12" i="6"/>
  <c r="E12" i="6"/>
  <c r="D12" i="6"/>
  <c r="C12" i="6"/>
  <c r="B12" i="6"/>
  <c r="N11" i="6"/>
  <c r="M11" i="6"/>
  <c r="L11" i="6"/>
  <c r="K11" i="6"/>
  <c r="J11" i="6"/>
  <c r="I11" i="6"/>
  <c r="H11" i="6"/>
  <c r="G11" i="6"/>
  <c r="F11" i="6"/>
  <c r="E11" i="6"/>
  <c r="D11" i="6"/>
  <c r="C11" i="6"/>
  <c r="B11" i="6"/>
  <c r="N10" i="6"/>
  <c r="M10" i="6"/>
  <c r="L10" i="6"/>
  <c r="K10" i="6"/>
  <c r="J10" i="6"/>
  <c r="I10" i="6"/>
  <c r="H10" i="6"/>
  <c r="G10" i="6"/>
  <c r="F10" i="6"/>
  <c r="E10" i="6"/>
  <c r="D10" i="6"/>
  <c r="C10" i="6"/>
  <c r="B10" i="6"/>
  <c r="N9" i="6"/>
  <c r="M9" i="6"/>
  <c r="L9" i="6"/>
  <c r="K9" i="6"/>
  <c r="J9" i="6"/>
  <c r="I9" i="6"/>
  <c r="H9" i="6"/>
  <c r="G9" i="6"/>
  <c r="F9" i="6"/>
  <c r="E9" i="6"/>
  <c r="D9" i="6"/>
  <c r="C9" i="6"/>
  <c r="B9" i="6"/>
  <c r="N8" i="6"/>
  <c r="M8" i="6"/>
  <c r="L8" i="6"/>
  <c r="K8" i="6"/>
  <c r="J8" i="6"/>
  <c r="I8" i="6"/>
  <c r="H8" i="6"/>
  <c r="G8" i="6"/>
  <c r="F8" i="6"/>
  <c r="E8" i="6"/>
  <c r="D8" i="6"/>
  <c r="C8" i="6"/>
  <c r="B8" i="6"/>
  <c r="N7" i="6"/>
  <c r="M7" i="6"/>
  <c r="L7" i="6"/>
  <c r="K7" i="6"/>
  <c r="J7" i="6"/>
  <c r="I7" i="6"/>
  <c r="H7" i="6"/>
  <c r="G7" i="6"/>
  <c r="F7" i="6"/>
  <c r="E7" i="6"/>
  <c r="D7" i="6"/>
  <c r="C7" i="6"/>
  <c r="B7" i="6"/>
  <c r="N6" i="6"/>
  <c r="M6" i="6"/>
  <c r="L6" i="6"/>
  <c r="K6" i="6"/>
  <c r="J6" i="6"/>
  <c r="I6" i="6"/>
  <c r="H6" i="6"/>
  <c r="G6" i="6"/>
  <c r="F6" i="6"/>
  <c r="E6" i="6"/>
  <c r="D6" i="6"/>
  <c r="C6" i="6"/>
  <c r="B6" i="6"/>
  <c r="N5" i="6"/>
  <c r="M5" i="6"/>
  <c r="L5" i="6"/>
  <c r="K5" i="6"/>
  <c r="J5" i="6"/>
  <c r="I5" i="6"/>
  <c r="H5" i="6"/>
  <c r="G5" i="6"/>
  <c r="F5" i="6"/>
  <c r="E5" i="6"/>
  <c r="D5" i="6"/>
  <c r="C5" i="6"/>
  <c r="B5" i="6"/>
  <c r="N4" i="6"/>
  <c r="M4" i="6"/>
  <c r="L4" i="6"/>
  <c r="K4" i="6"/>
  <c r="J4" i="6"/>
  <c r="I4" i="6"/>
  <c r="H4" i="6"/>
  <c r="G4" i="6"/>
  <c r="F4" i="6"/>
  <c r="E4" i="6"/>
  <c r="D4" i="6"/>
  <c r="C4" i="6"/>
  <c r="B4" i="6"/>
  <c r="N3" i="6"/>
  <c r="M3" i="6"/>
  <c r="L3" i="6"/>
  <c r="K3" i="6"/>
  <c r="J3" i="6"/>
  <c r="I3" i="6"/>
  <c r="H3" i="6"/>
  <c r="G3" i="6"/>
  <c r="F3" i="6"/>
  <c r="E3" i="6"/>
  <c r="D3" i="6"/>
  <c r="C3" i="6"/>
  <c r="B3" i="6"/>
  <c r="C25" i="5"/>
  <c r="C24" i="5"/>
  <c r="C23" i="5"/>
  <c r="C22" i="5"/>
  <c r="AH14" i="5"/>
  <c r="AG14" i="5"/>
  <c r="AF14" i="5"/>
  <c r="AE14" i="5"/>
  <c r="AD14" i="5"/>
  <c r="AC14" i="5"/>
  <c r="AB14" i="5"/>
  <c r="Z14" i="5"/>
  <c r="Y14" i="5"/>
  <c r="X14" i="5"/>
  <c r="W14" i="5"/>
  <c r="V14" i="5"/>
  <c r="U14" i="5"/>
  <c r="T14" i="5"/>
  <c r="R14" i="5"/>
  <c r="Q14" i="5"/>
  <c r="P14" i="5"/>
  <c r="O14" i="5"/>
  <c r="N14" i="5"/>
  <c r="M14" i="5"/>
  <c r="L14" i="5"/>
  <c r="J14" i="5"/>
  <c r="I14" i="5"/>
  <c r="H14" i="5"/>
  <c r="G14" i="5"/>
  <c r="F14" i="5"/>
  <c r="E14" i="5"/>
  <c r="D14" i="5"/>
  <c r="C14" i="5"/>
  <c r="AH13" i="5"/>
  <c r="AG13" i="5"/>
  <c r="AF13" i="5"/>
  <c r="AE13" i="5"/>
  <c r="AD13" i="5"/>
  <c r="AC13" i="5"/>
  <c r="AB13" i="5"/>
  <c r="Z13" i="5"/>
  <c r="Y13" i="5"/>
  <c r="X13" i="5"/>
  <c r="W13" i="5"/>
  <c r="V13" i="5"/>
  <c r="U13" i="5"/>
  <c r="T13" i="5"/>
  <c r="R13" i="5"/>
  <c r="Q13" i="5"/>
  <c r="P13" i="5"/>
  <c r="O13" i="5"/>
  <c r="N13" i="5"/>
  <c r="M13" i="5"/>
  <c r="L13" i="5"/>
  <c r="J13" i="5"/>
  <c r="I13" i="5"/>
  <c r="H13" i="5"/>
  <c r="G13" i="5"/>
  <c r="F13" i="5"/>
  <c r="E13" i="5"/>
  <c r="D13" i="5"/>
  <c r="C13" i="5"/>
  <c r="AH12" i="5"/>
  <c r="AG12" i="5"/>
  <c r="AF12" i="5"/>
  <c r="AE12" i="5"/>
  <c r="AD12" i="5"/>
  <c r="AC12" i="5"/>
  <c r="AB12" i="5"/>
  <c r="Z12" i="5"/>
  <c r="Y12" i="5"/>
  <c r="X12" i="5"/>
  <c r="W12" i="5"/>
  <c r="V12" i="5"/>
  <c r="U12" i="5"/>
  <c r="T12" i="5"/>
  <c r="R12" i="5"/>
  <c r="Q12" i="5"/>
  <c r="P12" i="5"/>
  <c r="O12" i="5"/>
  <c r="N12" i="5"/>
  <c r="M12" i="5"/>
  <c r="L12" i="5"/>
  <c r="J12" i="5"/>
  <c r="I12" i="5"/>
  <c r="H12" i="5"/>
  <c r="G12" i="5"/>
  <c r="F12" i="5"/>
  <c r="E12" i="5"/>
  <c r="D12" i="5"/>
  <c r="C12" i="5"/>
  <c r="AH11" i="5"/>
  <c r="AG11" i="5"/>
  <c r="AF11" i="5"/>
  <c r="AE11" i="5"/>
  <c r="AD11" i="5"/>
  <c r="AC11" i="5"/>
  <c r="AB11" i="5"/>
  <c r="Z11" i="5"/>
  <c r="Y11" i="5"/>
  <c r="X11" i="5"/>
  <c r="W11" i="5"/>
  <c r="V11" i="5"/>
  <c r="U11" i="5"/>
  <c r="T11" i="5"/>
  <c r="R11" i="5"/>
  <c r="Q11" i="5"/>
  <c r="P11" i="5"/>
  <c r="O11" i="5"/>
  <c r="N11" i="5"/>
  <c r="M11" i="5"/>
  <c r="L11" i="5"/>
  <c r="J11" i="5"/>
  <c r="I11" i="5"/>
  <c r="H11" i="5"/>
  <c r="G11" i="5"/>
  <c r="F11" i="5"/>
  <c r="E11" i="5"/>
  <c r="D11" i="5"/>
  <c r="C11" i="5"/>
  <c r="AH10" i="5"/>
  <c r="AG10" i="5"/>
  <c r="AF10" i="5"/>
  <c r="AE10" i="5"/>
  <c r="AD10" i="5"/>
  <c r="AC10" i="5"/>
  <c r="AB10" i="5"/>
  <c r="Z10" i="5"/>
  <c r="Y10" i="5"/>
  <c r="X10" i="5"/>
  <c r="W10" i="5"/>
  <c r="V10" i="5"/>
  <c r="U10" i="5"/>
  <c r="T10" i="5"/>
  <c r="R10" i="5"/>
  <c r="Q10" i="5"/>
  <c r="P10" i="5"/>
  <c r="O10" i="5"/>
  <c r="N10" i="5"/>
  <c r="M10" i="5"/>
  <c r="L10" i="5"/>
  <c r="J10" i="5"/>
  <c r="I10" i="5"/>
  <c r="H10" i="5"/>
  <c r="G10" i="5"/>
  <c r="F10" i="5"/>
  <c r="E10" i="5"/>
  <c r="D10" i="5"/>
  <c r="C10" i="5"/>
  <c r="AH9" i="5"/>
  <c r="AG9" i="5"/>
  <c r="AF9" i="5"/>
  <c r="AE9" i="5"/>
  <c r="AD9" i="5"/>
  <c r="AC9" i="5"/>
  <c r="AB9" i="5"/>
  <c r="Z9" i="5"/>
  <c r="Y9" i="5"/>
  <c r="X9" i="5"/>
  <c r="W9" i="5"/>
  <c r="V9" i="5"/>
  <c r="U9" i="5"/>
  <c r="T9" i="5"/>
  <c r="R9" i="5"/>
  <c r="Q9" i="5"/>
  <c r="P9" i="5"/>
  <c r="O9" i="5"/>
  <c r="N9" i="5"/>
  <c r="M9" i="5"/>
  <c r="L9" i="5"/>
  <c r="J9" i="5"/>
  <c r="I9" i="5"/>
  <c r="H9" i="5"/>
  <c r="G9" i="5"/>
  <c r="F9" i="5"/>
  <c r="E9" i="5"/>
  <c r="D9" i="5"/>
  <c r="C9" i="5"/>
  <c r="AH8" i="5"/>
  <c r="AG8" i="5"/>
  <c r="AF8" i="5"/>
  <c r="AE8" i="5"/>
  <c r="AD8" i="5"/>
  <c r="AC8" i="5"/>
  <c r="AB8" i="5"/>
  <c r="Z8" i="5"/>
  <c r="Y8" i="5"/>
  <c r="X8" i="5"/>
  <c r="W8" i="5"/>
  <c r="V8" i="5"/>
  <c r="U8" i="5"/>
  <c r="T8" i="5"/>
  <c r="R8" i="5"/>
  <c r="Q8" i="5"/>
  <c r="P8" i="5"/>
  <c r="O8" i="5"/>
  <c r="N8" i="5"/>
  <c r="M8" i="5"/>
  <c r="L8" i="5"/>
  <c r="J8" i="5"/>
  <c r="I8" i="5"/>
  <c r="H8" i="5"/>
  <c r="G8" i="5"/>
  <c r="F8" i="5"/>
  <c r="E8" i="5"/>
  <c r="D8" i="5"/>
  <c r="C8" i="5"/>
  <c r="AH7" i="5"/>
  <c r="AG7" i="5"/>
  <c r="AF7" i="5"/>
  <c r="AE7" i="5"/>
  <c r="AD7" i="5"/>
  <c r="AC7" i="5"/>
  <c r="AB7" i="5"/>
  <c r="Z7" i="5"/>
  <c r="Y7" i="5"/>
  <c r="X7" i="5"/>
  <c r="W7" i="5"/>
  <c r="V7" i="5"/>
  <c r="U7" i="5"/>
  <c r="T7" i="5"/>
  <c r="R7" i="5"/>
  <c r="Q7" i="5"/>
  <c r="P7" i="5"/>
  <c r="O7" i="5"/>
  <c r="N7" i="5"/>
  <c r="M7" i="5"/>
  <c r="L7" i="5"/>
  <c r="J7" i="5"/>
  <c r="I7" i="5"/>
  <c r="H7" i="5"/>
  <c r="G7" i="5"/>
  <c r="F7" i="5"/>
  <c r="E7" i="5"/>
  <c r="D7" i="5"/>
  <c r="C7" i="5"/>
  <c r="AH6" i="5"/>
  <c r="AG6" i="5"/>
  <c r="AF6" i="5"/>
  <c r="AE6" i="5"/>
  <c r="AD6" i="5"/>
  <c r="AC6" i="5"/>
  <c r="AB6" i="5"/>
  <c r="Z6" i="5"/>
  <c r="Y6" i="5"/>
  <c r="X6" i="5"/>
  <c r="W6" i="5"/>
  <c r="V6" i="5"/>
  <c r="U6" i="5"/>
  <c r="T6" i="5"/>
  <c r="R6" i="5"/>
  <c r="Q6" i="5"/>
  <c r="P6" i="5"/>
  <c r="O6" i="5"/>
  <c r="N6" i="5"/>
  <c r="M6" i="5"/>
  <c r="L6" i="5"/>
  <c r="J6" i="5"/>
  <c r="I6" i="5"/>
  <c r="H6" i="5"/>
  <c r="G6" i="5"/>
  <c r="F6" i="5"/>
  <c r="E6" i="5"/>
  <c r="D6" i="5"/>
  <c r="C6" i="5"/>
  <c r="AH5" i="5"/>
  <c r="AG5" i="5"/>
  <c r="AF5" i="5"/>
  <c r="AE5" i="5"/>
  <c r="AD5" i="5"/>
  <c r="AC5" i="5"/>
  <c r="AB5" i="5"/>
  <c r="Z5" i="5"/>
  <c r="Y5" i="5"/>
  <c r="X5" i="5"/>
  <c r="W5" i="5"/>
  <c r="V5" i="5"/>
  <c r="U5" i="5"/>
  <c r="T5" i="5"/>
  <c r="R5" i="5"/>
  <c r="Q5" i="5"/>
  <c r="P5" i="5"/>
  <c r="O5" i="5"/>
  <c r="N5" i="5"/>
  <c r="M5" i="5"/>
  <c r="L5" i="5"/>
  <c r="J5" i="5"/>
  <c r="I5" i="5"/>
  <c r="H5" i="5"/>
  <c r="G5" i="5"/>
  <c r="F5" i="5"/>
  <c r="E5" i="5"/>
  <c r="D5" i="5"/>
  <c r="C5" i="5"/>
  <c r="AH4" i="5"/>
  <c r="AG4" i="5"/>
  <c r="AF4" i="5"/>
  <c r="AE4" i="5"/>
  <c r="AD4" i="5"/>
  <c r="AC4" i="5"/>
  <c r="AB4" i="5"/>
  <c r="Z4" i="5"/>
  <c r="Y4" i="5"/>
  <c r="X4" i="5"/>
  <c r="W4" i="5"/>
  <c r="V4" i="5"/>
  <c r="U4" i="5"/>
  <c r="T4" i="5"/>
  <c r="R4" i="5"/>
  <c r="Q4" i="5"/>
  <c r="P4" i="5"/>
  <c r="O4" i="5"/>
  <c r="N4" i="5"/>
  <c r="M4" i="5"/>
  <c r="L4" i="5"/>
  <c r="J4" i="5"/>
  <c r="I4" i="5"/>
  <c r="H4" i="5"/>
  <c r="G4" i="5"/>
  <c r="F4" i="5"/>
  <c r="E4" i="5"/>
  <c r="D4" i="5"/>
  <c r="C4" i="5"/>
  <c r="AH3" i="5"/>
  <c r="AG3" i="5"/>
  <c r="AF3" i="5"/>
  <c r="AE3" i="5"/>
  <c r="AD3" i="5"/>
  <c r="AC3" i="5"/>
  <c r="AB3" i="5"/>
  <c r="Z3" i="5"/>
  <c r="Y3" i="5"/>
  <c r="X3" i="5"/>
  <c r="W3" i="5"/>
  <c r="V3" i="5"/>
  <c r="U3" i="5"/>
  <c r="T3" i="5"/>
  <c r="R3" i="5"/>
  <c r="Q3" i="5"/>
  <c r="P3" i="5"/>
  <c r="O3" i="5"/>
  <c r="N3" i="5"/>
  <c r="M3" i="5"/>
  <c r="L3" i="5"/>
  <c r="J3" i="5"/>
  <c r="I3" i="5"/>
  <c r="H3" i="5"/>
  <c r="G3" i="5"/>
  <c r="F3" i="5"/>
  <c r="E3" i="5"/>
  <c r="D3" i="5"/>
  <c r="C3" i="5"/>
  <c r="C23" i="4"/>
  <c r="C22" i="4"/>
  <c r="C21" i="4"/>
  <c r="C20"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AT2" i="4"/>
  <c r="AS2" i="4"/>
  <c r="C2" i="4"/>
  <c r="K16" i="3"/>
  <c r="C16" i="3"/>
  <c r="A16" i="3"/>
  <c r="K15" i="3"/>
  <c r="C15" i="3"/>
  <c r="A15" i="3"/>
  <c r="K14" i="3"/>
  <c r="C14" i="3"/>
  <c r="A14" i="3"/>
  <c r="K13" i="3"/>
  <c r="C13" i="3"/>
  <c r="A13" i="3"/>
  <c r="K12" i="3"/>
  <c r="J12" i="3"/>
  <c r="I12" i="3"/>
  <c r="H12" i="3"/>
  <c r="G12" i="3"/>
  <c r="F12" i="3"/>
  <c r="E12" i="3"/>
  <c r="D12" i="3"/>
  <c r="C12" i="3"/>
  <c r="A12" i="3"/>
  <c r="K11" i="3"/>
  <c r="J11" i="3"/>
  <c r="I11" i="3"/>
  <c r="H11" i="3"/>
  <c r="G11" i="3"/>
  <c r="F11" i="3"/>
  <c r="E11" i="3"/>
  <c r="D11" i="3"/>
  <c r="C11" i="3"/>
  <c r="A11" i="3"/>
  <c r="K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C7" i="3"/>
  <c r="A7" i="3"/>
  <c r="K6" i="3"/>
  <c r="J6" i="3"/>
  <c r="I6" i="3"/>
  <c r="H6" i="3"/>
  <c r="G6" i="3"/>
  <c r="F6" i="3"/>
  <c r="E6" i="3"/>
  <c r="D6" i="3"/>
  <c r="C6" i="3"/>
  <c r="A6" i="3"/>
  <c r="K5" i="3"/>
  <c r="J5" i="3"/>
  <c r="I5" i="3"/>
  <c r="H5" i="3"/>
  <c r="G5" i="3"/>
  <c r="F5" i="3"/>
  <c r="E5" i="3"/>
  <c r="D5" i="3"/>
  <c r="C5" i="3"/>
  <c r="A5" i="3"/>
  <c r="K4" i="3"/>
  <c r="J4" i="3"/>
  <c r="I4" i="3"/>
  <c r="H4" i="3"/>
  <c r="G4" i="3"/>
  <c r="F4" i="3"/>
  <c r="E4" i="3"/>
  <c r="D4" i="3"/>
  <c r="C4" i="3"/>
  <c r="A4" i="3"/>
  <c r="R659" i="2"/>
  <c r="R658" i="2"/>
  <c r="R657" i="2"/>
  <c r="R656" i="2"/>
  <c r="R655" i="2"/>
  <c r="R654" i="2"/>
  <c r="R653" i="2"/>
  <c r="R652" i="2"/>
  <c r="R651" i="2"/>
  <c r="R650" i="2"/>
  <c r="R649" i="2"/>
  <c r="R648" i="2"/>
  <c r="R647" i="2"/>
  <c r="R646" i="2"/>
  <c r="R645" i="2"/>
  <c r="R644" i="2"/>
  <c r="R643" i="2"/>
  <c r="R642" i="2"/>
  <c r="R641" i="2"/>
  <c r="R640" i="2"/>
  <c r="R639" i="2"/>
  <c r="R638" i="2"/>
  <c r="R637" i="2"/>
  <c r="R636" i="2"/>
  <c r="R635" i="2"/>
  <c r="R634" i="2"/>
  <c r="R633" i="2"/>
  <c r="R632" i="2"/>
  <c r="R631" i="2"/>
  <c r="R630" i="2"/>
  <c r="R629" i="2"/>
  <c r="R628" i="2"/>
  <c r="R627" i="2"/>
  <c r="R626" i="2"/>
  <c r="L626" i="2"/>
  <c r="R625" i="2"/>
  <c r="R624" i="2"/>
  <c r="L624" i="2"/>
  <c r="R623" i="2"/>
  <c r="R622" i="2"/>
  <c r="R621" i="2"/>
  <c r="R620" i="2"/>
  <c r="O620" i="2"/>
  <c r="N620" i="2"/>
  <c r="M620" i="2"/>
  <c r="L620" i="2"/>
  <c r="R619" i="2"/>
  <c r="O619" i="2"/>
  <c r="N619" i="2"/>
  <c r="M619" i="2"/>
  <c r="L619" i="2"/>
  <c r="R618" i="2"/>
  <c r="O618" i="2"/>
  <c r="N618" i="2"/>
  <c r="M618" i="2"/>
  <c r="L618" i="2"/>
  <c r="R617" i="2"/>
  <c r="O617" i="2"/>
  <c r="N617" i="2"/>
  <c r="M617" i="2"/>
  <c r="L617" i="2"/>
  <c r="R616" i="2"/>
  <c r="O616" i="2"/>
  <c r="N616" i="2"/>
  <c r="M616" i="2"/>
  <c r="L616" i="2"/>
  <c r="R615" i="2"/>
  <c r="O615" i="2"/>
  <c r="N615" i="2"/>
  <c r="M615" i="2"/>
  <c r="L615" i="2"/>
  <c r="R614" i="2"/>
  <c r="O614" i="2"/>
  <c r="N614" i="2"/>
  <c r="M614" i="2"/>
  <c r="L614" i="2"/>
  <c r="R613" i="2"/>
  <c r="R612" i="2"/>
  <c r="R611" i="2"/>
  <c r="R610" i="2"/>
  <c r="P609" i="2"/>
  <c r="P608" i="2"/>
  <c r="P607" i="2"/>
  <c r="P521" i="2"/>
  <c r="P520" i="2"/>
  <c r="P519" i="2"/>
  <c r="P518" i="2"/>
  <c r="R517" i="2"/>
  <c r="P517" i="2"/>
  <c r="R516" i="2"/>
  <c r="P516" i="2"/>
  <c r="R515" i="2"/>
  <c r="P515" i="2"/>
  <c r="R514" i="2"/>
  <c r="P514" i="2"/>
  <c r="R513" i="2"/>
  <c r="P513" i="2"/>
  <c r="R512" i="2"/>
  <c r="P512" i="2"/>
  <c r="R511" i="2"/>
  <c r="P511" i="2"/>
  <c r="R510" i="2"/>
  <c r="P510" i="2"/>
  <c r="R509" i="2"/>
  <c r="P509" i="2"/>
  <c r="R508" i="2"/>
  <c r="P508" i="2"/>
  <c r="R507" i="2"/>
  <c r="P507" i="2"/>
  <c r="R506" i="2"/>
  <c r="P506" i="2"/>
  <c r="R505" i="2"/>
  <c r="P505" i="2"/>
  <c r="R504" i="2"/>
  <c r="P504" i="2"/>
  <c r="R503" i="2"/>
  <c r="P503" i="2"/>
  <c r="R502" i="2"/>
  <c r="P502" i="2"/>
  <c r="R501" i="2"/>
  <c r="P501" i="2"/>
  <c r="R500" i="2"/>
  <c r="P500" i="2"/>
  <c r="R499" i="2"/>
  <c r="P499" i="2"/>
  <c r="R498" i="2"/>
  <c r="P498" i="2"/>
  <c r="R497" i="2"/>
  <c r="P497" i="2"/>
  <c r="R496" i="2"/>
  <c r="P496" i="2"/>
  <c r="R495" i="2"/>
  <c r="P495" i="2"/>
  <c r="R494" i="2"/>
  <c r="P494" i="2"/>
  <c r="R493" i="2"/>
  <c r="P493" i="2"/>
  <c r="R492" i="2"/>
  <c r="P492" i="2"/>
  <c r="R491" i="2"/>
  <c r="P491" i="2"/>
  <c r="R490" i="2"/>
  <c r="P490" i="2"/>
  <c r="R489" i="2"/>
  <c r="P489" i="2"/>
  <c r="R488" i="2"/>
  <c r="P488" i="2"/>
  <c r="R487" i="2"/>
  <c r="P487" i="2"/>
  <c r="R486" i="2"/>
  <c r="P486" i="2"/>
  <c r="R485" i="2"/>
  <c r="P485" i="2"/>
  <c r="R484" i="2"/>
  <c r="P484" i="2"/>
  <c r="R483" i="2"/>
  <c r="P483" i="2"/>
  <c r="R482" i="2"/>
  <c r="P482" i="2"/>
  <c r="R481" i="2"/>
  <c r="P481" i="2"/>
  <c r="R480" i="2"/>
  <c r="P480" i="2"/>
  <c r="R479" i="2"/>
  <c r="P479" i="2"/>
  <c r="R478" i="2"/>
  <c r="P478" i="2"/>
  <c r="R477" i="2"/>
  <c r="P477" i="2"/>
  <c r="R476" i="2"/>
  <c r="P476" i="2"/>
  <c r="R475" i="2"/>
  <c r="P475" i="2"/>
  <c r="R474" i="2"/>
  <c r="P474" i="2"/>
  <c r="R473" i="2"/>
  <c r="P473" i="2"/>
  <c r="R472" i="2"/>
  <c r="P472" i="2"/>
  <c r="R471" i="2"/>
  <c r="P471" i="2"/>
  <c r="R470" i="2"/>
  <c r="P470" i="2"/>
  <c r="R469" i="2"/>
  <c r="P469" i="2"/>
  <c r="R468" i="2"/>
  <c r="P468" i="2"/>
  <c r="R467" i="2"/>
  <c r="P467" i="2"/>
  <c r="R466" i="2"/>
  <c r="P466" i="2"/>
  <c r="R465" i="2"/>
  <c r="P465" i="2"/>
  <c r="R464" i="2"/>
  <c r="P464" i="2"/>
  <c r="R463" i="2"/>
  <c r="P463" i="2"/>
  <c r="R462" i="2"/>
  <c r="P462" i="2"/>
  <c r="R461" i="2"/>
  <c r="P461" i="2"/>
  <c r="R460" i="2"/>
  <c r="P460" i="2"/>
  <c r="R459" i="2"/>
  <c r="P459" i="2"/>
  <c r="R458" i="2"/>
  <c r="P458" i="2"/>
  <c r="R457" i="2"/>
  <c r="P457" i="2"/>
  <c r="R456" i="2"/>
  <c r="P456" i="2"/>
  <c r="R455" i="2"/>
  <c r="P455" i="2"/>
  <c r="R454" i="2"/>
  <c r="P454" i="2"/>
  <c r="R453" i="2"/>
  <c r="P453" i="2"/>
  <c r="R452" i="2"/>
  <c r="P452" i="2"/>
  <c r="R451" i="2"/>
  <c r="P451" i="2"/>
  <c r="R450" i="2"/>
  <c r="P450" i="2"/>
  <c r="R449" i="2"/>
  <c r="P449" i="2"/>
  <c r="R448" i="2"/>
  <c r="P448" i="2"/>
  <c r="R447" i="2"/>
  <c r="P447" i="2"/>
  <c r="R446" i="2"/>
  <c r="P446" i="2"/>
  <c r="R445" i="2"/>
  <c r="P445" i="2"/>
  <c r="R444" i="2"/>
  <c r="P444" i="2"/>
  <c r="R443" i="2"/>
  <c r="P443" i="2"/>
  <c r="R442" i="2"/>
  <c r="P442" i="2"/>
  <c r="R441" i="2"/>
  <c r="P441" i="2"/>
  <c r="R440" i="2"/>
  <c r="P440" i="2"/>
  <c r="R439" i="2"/>
  <c r="P439" i="2"/>
  <c r="R438" i="2"/>
  <c r="P438" i="2"/>
  <c r="R437" i="2"/>
  <c r="P437" i="2"/>
  <c r="R436" i="2"/>
  <c r="P436" i="2"/>
  <c r="R435" i="2"/>
  <c r="P435" i="2"/>
  <c r="R434" i="2"/>
  <c r="P434" i="2"/>
  <c r="R433" i="2"/>
  <c r="P433" i="2"/>
  <c r="R432" i="2"/>
  <c r="P432" i="2"/>
  <c r="R431" i="2"/>
  <c r="P431" i="2"/>
  <c r="R430" i="2"/>
  <c r="P430" i="2"/>
  <c r="R429" i="2"/>
  <c r="P429" i="2"/>
  <c r="R428" i="2"/>
  <c r="P428" i="2"/>
  <c r="R427" i="2"/>
  <c r="P427" i="2"/>
  <c r="R426" i="2"/>
  <c r="P426" i="2"/>
  <c r="R425" i="2"/>
  <c r="P425" i="2"/>
  <c r="R424" i="2"/>
  <c r="P424" i="2"/>
  <c r="R423" i="2"/>
  <c r="P423" i="2"/>
  <c r="R422" i="2"/>
  <c r="P422" i="2"/>
  <c r="R421" i="2"/>
  <c r="P421" i="2"/>
  <c r="R420" i="2"/>
  <c r="P420" i="2"/>
  <c r="R419" i="2"/>
  <c r="P419" i="2"/>
  <c r="R418" i="2"/>
  <c r="P418" i="2"/>
  <c r="R417" i="2"/>
  <c r="P417" i="2"/>
  <c r="R416" i="2"/>
  <c r="P416" i="2"/>
  <c r="R415" i="2"/>
  <c r="P415" i="2"/>
  <c r="R414" i="2"/>
  <c r="P414" i="2"/>
  <c r="R413" i="2"/>
  <c r="P413" i="2"/>
  <c r="R412" i="2"/>
  <c r="P412" i="2"/>
  <c r="R411" i="2"/>
  <c r="P411" i="2"/>
  <c r="R410" i="2"/>
  <c r="P410" i="2"/>
  <c r="R409" i="2"/>
  <c r="P409" i="2"/>
  <c r="R408" i="2"/>
  <c r="P408" i="2"/>
  <c r="R407" i="2"/>
  <c r="P407" i="2"/>
  <c r="R406" i="2"/>
  <c r="P406" i="2"/>
  <c r="R405" i="2"/>
  <c r="P405" i="2"/>
  <c r="R404" i="2"/>
  <c r="P404" i="2"/>
  <c r="R403" i="2"/>
  <c r="P403" i="2"/>
  <c r="R402" i="2"/>
  <c r="P402" i="2"/>
  <c r="R401" i="2"/>
  <c r="P401" i="2"/>
  <c r="R400" i="2"/>
  <c r="P400" i="2"/>
  <c r="R399" i="2"/>
  <c r="P399" i="2"/>
  <c r="R398" i="2"/>
  <c r="P398" i="2"/>
  <c r="R397" i="2"/>
  <c r="P397" i="2"/>
  <c r="R396" i="2"/>
  <c r="P396" i="2"/>
  <c r="R395" i="2"/>
  <c r="P395" i="2"/>
  <c r="R394" i="2"/>
  <c r="P394" i="2"/>
  <c r="R393" i="2"/>
  <c r="P393" i="2"/>
  <c r="R392" i="2"/>
  <c r="P392" i="2"/>
  <c r="R391" i="2"/>
  <c r="P391" i="2"/>
  <c r="R390" i="2"/>
  <c r="P390" i="2"/>
  <c r="R389" i="2"/>
  <c r="P389" i="2"/>
  <c r="R388" i="2"/>
  <c r="P388" i="2"/>
  <c r="R387" i="2"/>
  <c r="P387" i="2"/>
  <c r="R386" i="2"/>
  <c r="P386" i="2"/>
  <c r="R385" i="2"/>
  <c r="P385" i="2"/>
  <c r="R384" i="2"/>
  <c r="P384" i="2"/>
  <c r="R383" i="2"/>
  <c r="P383" i="2"/>
  <c r="R382" i="2"/>
  <c r="P382" i="2"/>
  <c r="R381" i="2"/>
  <c r="P381" i="2"/>
  <c r="R380" i="2"/>
  <c r="P380" i="2"/>
  <c r="R379" i="2"/>
  <c r="P379" i="2"/>
  <c r="R378" i="2"/>
  <c r="P378" i="2"/>
  <c r="R377" i="2"/>
  <c r="P377" i="2"/>
  <c r="R376" i="2"/>
  <c r="P376" i="2"/>
  <c r="R375" i="2"/>
  <c r="P375" i="2"/>
  <c r="R374" i="2"/>
  <c r="P374" i="2"/>
  <c r="R373" i="2"/>
  <c r="P373" i="2"/>
  <c r="R372" i="2"/>
  <c r="P372" i="2"/>
  <c r="R371" i="2"/>
  <c r="P371" i="2"/>
  <c r="R370" i="2"/>
  <c r="P370" i="2"/>
  <c r="R369" i="2"/>
  <c r="P369" i="2"/>
  <c r="R368" i="2"/>
  <c r="P368" i="2"/>
  <c r="R367" i="2"/>
  <c r="P367" i="2"/>
  <c r="R366" i="2"/>
  <c r="P366" i="2"/>
  <c r="R365" i="2"/>
  <c r="P365" i="2"/>
  <c r="R364" i="2"/>
  <c r="P364" i="2"/>
  <c r="R363" i="2"/>
  <c r="P363" i="2"/>
  <c r="R362" i="2"/>
  <c r="P362" i="2"/>
  <c r="R361" i="2"/>
  <c r="P361" i="2"/>
  <c r="R360" i="2"/>
  <c r="P360" i="2"/>
  <c r="R359" i="2"/>
  <c r="P359" i="2"/>
  <c r="R358" i="2"/>
  <c r="P358" i="2"/>
  <c r="R357" i="2"/>
  <c r="P357" i="2"/>
  <c r="R356" i="2"/>
  <c r="P356" i="2"/>
  <c r="R355" i="2"/>
  <c r="P355" i="2"/>
  <c r="R354" i="2"/>
  <c r="P354" i="2"/>
  <c r="R353" i="2"/>
  <c r="P353" i="2"/>
  <c r="R352" i="2"/>
  <c r="P352" i="2"/>
  <c r="R351" i="2"/>
  <c r="P351" i="2"/>
  <c r="R350" i="2"/>
  <c r="P350" i="2"/>
  <c r="R349" i="2"/>
  <c r="P349" i="2"/>
  <c r="R348" i="2"/>
  <c r="P348" i="2"/>
  <c r="R347" i="2"/>
  <c r="P347" i="2"/>
  <c r="R346" i="2"/>
  <c r="P346" i="2"/>
  <c r="R345" i="2"/>
  <c r="P345" i="2"/>
  <c r="R344" i="2"/>
  <c r="P344" i="2"/>
  <c r="R343" i="2"/>
  <c r="P343" i="2"/>
  <c r="R342" i="2"/>
  <c r="P342" i="2"/>
  <c r="R341" i="2"/>
  <c r="P341" i="2"/>
  <c r="R340" i="2"/>
  <c r="P340" i="2"/>
  <c r="R339" i="2"/>
  <c r="P339" i="2"/>
  <c r="R338" i="2"/>
  <c r="P338" i="2"/>
  <c r="R337" i="2"/>
  <c r="P337" i="2"/>
  <c r="R336" i="2"/>
  <c r="P336" i="2"/>
  <c r="R335" i="2"/>
  <c r="P335" i="2"/>
  <c r="R334" i="2"/>
  <c r="P334" i="2"/>
  <c r="R333" i="2"/>
  <c r="P333" i="2"/>
  <c r="R332" i="2"/>
  <c r="P332" i="2"/>
  <c r="R331" i="2"/>
  <c r="P331" i="2"/>
  <c r="R330" i="2"/>
  <c r="P330" i="2"/>
  <c r="R329" i="2"/>
  <c r="P329" i="2"/>
  <c r="R328" i="2"/>
  <c r="P328" i="2"/>
  <c r="R327" i="2"/>
  <c r="P327" i="2"/>
  <c r="R326" i="2"/>
  <c r="P326" i="2"/>
  <c r="R325" i="2"/>
  <c r="P325" i="2"/>
  <c r="R324" i="2"/>
  <c r="P324" i="2"/>
  <c r="R323" i="2"/>
  <c r="P323" i="2"/>
  <c r="R322" i="2"/>
  <c r="P322" i="2"/>
  <c r="R321" i="2"/>
  <c r="P321" i="2"/>
  <c r="R320" i="2"/>
  <c r="P320" i="2"/>
  <c r="R319" i="2"/>
  <c r="P319" i="2"/>
  <c r="R318" i="2"/>
  <c r="P318" i="2"/>
  <c r="R317" i="2"/>
  <c r="P317" i="2"/>
  <c r="R316" i="2"/>
  <c r="P316" i="2"/>
  <c r="R315" i="2"/>
  <c r="P315" i="2"/>
  <c r="R314" i="2"/>
  <c r="P314" i="2"/>
  <c r="R313" i="2"/>
  <c r="P313" i="2"/>
  <c r="R312" i="2"/>
  <c r="P312" i="2"/>
  <c r="R311" i="2"/>
  <c r="P311" i="2"/>
  <c r="R310" i="2"/>
  <c r="P310" i="2"/>
  <c r="R309" i="2"/>
  <c r="P309" i="2"/>
  <c r="R308" i="2"/>
  <c r="P308" i="2"/>
  <c r="R307" i="2"/>
  <c r="P307" i="2"/>
  <c r="R306" i="2"/>
  <c r="P306" i="2"/>
  <c r="R305" i="2"/>
  <c r="P305" i="2"/>
  <c r="R304" i="2"/>
  <c r="P304" i="2"/>
  <c r="R303" i="2"/>
  <c r="P303" i="2"/>
  <c r="R302" i="2"/>
  <c r="P302" i="2"/>
  <c r="R301" i="2"/>
  <c r="P301" i="2"/>
  <c r="R300" i="2"/>
  <c r="P300" i="2"/>
  <c r="R299" i="2"/>
  <c r="P299" i="2"/>
  <c r="R298" i="2"/>
  <c r="P298" i="2"/>
  <c r="R297" i="2"/>
  <c r="P297" i="2"/>
  <c r="R296" i="2"/>
  <c r="P296" i="2"/>
  <c r="R295" i="2"/>
  <c r="P295" i="2"/>
  <c r="R294" i="2"/>
  <c r="P294" i="2"/>
  <c r="R293" i="2"/>
  <c r="P293" i="2"/>
  <c r="R292" i="2"/>
  <c r="P292" i="2"/>
  <c r="R291" i="2"/>
  <c r="P291" i="2"/>
  <c r="R290" i="2"/>
  <c r="P290" i="2"/>
  <c r="R289" i="2"/>
  <c r="P289" i="2"/>
  <c r="R288" i="2"/>
  <c r="P288" i="2"/>
  <c r="R287" i="2"/>
  <c r="P287" i="2"/>
  <c r="R286" i="2"/>
  <c r="P286" i="2"/>
  <c r="R285" i="2"/>
  <c r="P285" i="2"/>
  <c r="R284" i="2"/>
  <c r="P284" i="2"/>
  <c r="R283" i="2"/>
  <c r="P283" i="2"/>
  <c r="R282" i="2"/>
  <c r="P282" i="2"/>
  <c r="R281" i="2"/>
  <c r="P281" i="2"/>
  <c r="R280" i="2"/>
  <c r="P280" i="2"/>
  <c r="R279" i="2"/>
  <c r="P279" i="2"/>
  <c r="R278" i="2"/>
  <c r="P278" i="2"/>
  <c r="R277" i="2"/>
  <c r="P277" i="2"/>
  <c r="R276" i="2"/>
  <c r="P276" i="2"/>
  <c r="R275" i="2"/>
  <c r="P275" i="2"/>
  <c r="R274" i="2"/>
  <c r="P274" i="2"/>
  <c r="R273" i="2"/>
  <c r="P273" i="2"/>
  <c r="R272" i="2"/>
  <c r="P272" i="2"/>
  <c r="R271" i="2"/>
  <c r="P271" i="2"/>
  <c r="R270" i="2"/>
  <c r="P270" i="2"/>
  <c r="R269" i="2"/>
  <c r="P269" i="2"/>
  <c r="R268" i="2"/>
  <c r="P268" i="2"/>
  <c r="R267" i="2"/>
  <c r="P267" i="2"/>
  <c r="R266" i="2"/>
  <c r="P266" i="2"/>
  <c r="R265" i="2"/>
  <c r="P265" i="2"/>
  <c r="R264" i="2"/>
  <c r="P264" i="2"/>
  <c r="R263" i="2"/>
  <c r="P263" i="2"/>
  <c r="R262" i="2"/>
  <c r="P262" i="2"/>
  <c r="R261" i="2"/>
  <c r="P261" i="2"/>
  <c r="R260" i="2"/>
  <c r="P260" i="2"/>
  <c r="R259" i="2"/>
  <c r="P259" i="2"/>
  <c r="R258" i="2"/>
  <c r="P258" i="2"/>
  <c r="R257" i="2"/>
  <c r="P257" i="2"/>
  <c r="R256" i="2"/>
  <c r="P256" i="2"/>
  <c r="R255" i="2"/>
  <c r="P255" i="2"/>
  <c r="R254" i="2"/>
  <c r="P254" i="2"/>
  <c r="R253" i="2"/>
  <c r="P253" i="2"/>
  <c r="R252" i="2"/>
  <c r="P252" i="2"/>
  <c r="R251" i="2"/>
  <c r="P251" i="2"/>
  <c r="R250" i="2"/>
  <c r="P250" i="2"/>
  <c r="R249" i="2"/>
  <c r="P249" i="2"/>
  <c r="R248" i="2"/>
  <c r="P248" i="2"/>
  <c r="R247" i="2"/>
  <c r="P247" i="2"/>
  <c r="R246" i="2"/>
  <c r="P246" i="2"/>
  <c r="R245" i="2"/>
  <c r="P245" i="2"/>
  <c r="R244" i="2"/>
  <c r="P244" i="2"/>
  <c r="R243" i="2"/>
  <c r="P243" i="2"/>
  <c r="R242" i="2"/>
  <c r="P242" i="2"/>
  <c r="R241" i="2"/>
  <c r="P241" i="2"/>
  <c r="R240" i="2"/>
  <c r="P240" i="2"/>
  <c r="R239" i="2"/>
  <c r="P239" i="2"/>
  <c r="R238" i="2"/>
  <c r="P238" i="2"/>
  <c r="R237" i="2"/>
  <c r="P237" i="2"/>
  <c r="R236" i="2"/>
  <c r="P236" i="2"/>
  <c r="R235" i="2"/>
  <c r="P235" i="2"/>
  <c r="R234" i="2"/>
  <c r="P234" i="2"/>
  <c r="R233" i="2"/>
  <c r="P233" i="2"/>
  <c r="R232" i="2"/>
  <c r="P232" i="2"/>
  <c r="R231" i="2"/>
  <c r="P231" i="2"/>
  <c r="R230" i="2"/>
  <c r="P230" i="2"/>
  <c r="R229" i="2"/>
  <c r="P229" i="2"/>
  <c r="R228" i="2"/>
  <c r="P228" i="2"/>
  <c r="R227" i="2"/>
  <c r="P227" i="2"/>
  <c r="R226" i="2"/>
  <c r="P226" i="2"/>
  <c r="R225" i="2"/>
  <c r="P225" i="2"/>
  <c r="R224" i="2"/>
  <c r="P224" i="2"/>
  <c r="R223" i="2"/>
  <c r="P223" i="2"/>
  <c r="R222" i="2"/>
  <c r="P222" i="2"/>
  <c r="R221" i="2"/>
  <c r="P221" i="2"/>
  <c r="R220" i="2"/>
  <c r="P220" i="2"/>
  <c r="R219" i="2"/>
  <c r="P219" i="2"/>
  <c r="R218" i="2"/>
  <c r="P218" i="2"/>
  <c r="R217" i="2"/>
  <c r="P217" i="2"/>
  <c r="R216" i="2"/>
  <c r="P216" i="2"/>
  <c r="R215" i="2"/>
  <c r="P215" i="2"/>
  <c r="R214" i="2"/>
  <c r="P214" i="2"/>
  <c r="R213" i="2"/>
  <c r="P213" i="2"/>
  <c r="R212" i="2"/>
  <c r="P212" i="2"/>
  <c r="R211" i="2"/>
  <c r="P211" i="2"/>
  <c r="R210" i="2"/>
  <c r="P210" i="2"/>
  <c r="R209" i="2"/>
  <c r="P209" i="2"/>
  <c r="R208" i="2"/>
  <c r="P208" i="2"/>
  <c r="R207" i="2"/>
  <c r="P207" i="2"/>
  <c r="R206" i="2"/>
  <c r="P206" i="2"/>
  <c r="R205" i="2"/>
  <c r="P205" i="2"/>
  <c r="R204" i="2"/>
  <c r="P204" i="2"/>
  <c r="R203" i="2"/>
  <c r="P203" i="2"/>
  <c r="R202" i="2"/>
  <c r="P202" i="2"/>
  <c r="R201" i="2"/>
  <c r="P201" i="2"/>
  <c r="R200" i="2"/>
  <c r="P200" i="2"/>
  <c r="R199" i="2"/>
  <c r="P199" i="2"/>
  <c r="R198" i="2"/>
  <c r="P198" i="2"/>
  <c r="R197" i="2"/>
  <c r="P197" i="2"/>
  <c r="R196" i="2"/>
  <c r="P196" i="2"/>
  <c r="R195" i="2"/>
  <c r="P195" i="2"/>
  <c r="R194" i="2"/>
  <c r="P194" i="2"/>
  <c r="R193" i="2"/>
  <c r="P193" i="2"/>
  <c r="R192" i="2"/>
  <c r="P192" i="2"/>
  <c r="R191" i="2"/>
  <c r="P191" i="2"/>
  <c r="R190" i="2"/>
  <c r="P190" i="2"/>
  <c r="R189" i="2"/>
  <c r="P189" i="2"/>
  <c r="R188" i="2"/>
  <c r="P188" i="2"/>
  <c r="R187" i="2"/>
  <c r="P187" i="2"/>
  <c r="R186" i="2"/>
  <c r="P186" i="2"/>
  <c r="R185" i="2"/>
  <c r="P185" i="2"/>
  <c r="R184" i="2"/>
  <c r="P184" i="2"/>
  <c r="R183" i="2"/>
  <c r="P183" i="2"/>
  <c r="R182" i="2"/>
  <c r="P182" i="2"/>
  <c r="R181" i="2"/>
  <c r="P181" i="2"/>
  <c r="R180" i="2"/>
  <c r="P180" i="2"/>
  <c r="R179" i="2"/>
  <c r="P179" i="2"/>
  <c r="R178" i="2"/>
  <c r="P178" i="2"/>
  <c r="R177" i="2"/>
  <c r="P177" i="2"/>
  <c r="R176" i="2"/>
  <c r="P176" i="2"/>
  <c r="R175" i="2"/>
  <c r="P175" i="2"/>
  <c r="R174" i="2"/>
  <c r="P174" i="2"/>
  <c r="R173" i="2"/>
  <c r="P173" i="2"/>
  <c r="R172" i="2"/>
  <c r="P172" i="2"/>
  <c r="R171" i="2"/>
  <c r="P171" i="2"/>
  <c r="R170" i="2"/>
  <c r="P170" i="2"/>
  <c r="R169" i="2"/>
  <c r="P169" i="2"/>
  <c r="R168" i="2"/>
  <c r="P168" i="2"/>
  <c r="R167" i="2"/>
  <c r="P167" i="2"/>
  <c r="R166" i="2"/>
  <c r="P166" i="2"/>
  <c r="R165" i="2"/>
  <c r="P165" i="2"/>
  <c r="R164" i="2"/>
  <c r="P164" i="2"/>
  <c r="R163" i="2"/>
  <c r="P163" i="2"/>
  <c r="R162" i="2"/>
  <c r="P162" i="2"/>
  <c r="R161" i="2"/>
  <c r="P161" i="2"/>
  <c r="R160" i="2"/>
  <c r="P160" i="2"/>
  <c r="R159" i="2"/>
  <c r="P159" i="2"/>
  <c r="R158" i="2"/>
  <c r="P158" i="2"/>
  <c r="R157" i="2"/>
  <c r="P157" i="2"/>
  <c r="R156" i="2"/>
  <c r="P156" i="2"/>
  <c r="R155" i="2"/>
  <c r="P155" i="2"/>
  <c r="R154" i="2"/>
  <c r="P154" i="2"/>
  <c r="R153" i="2"/>
  <c r="P153" i="2"/>
  <c r="R152" i="2"/>
  <c r="P152" i="2"/>
  <c r="R151" i="2"/>
  <c r="P151" i="2"/>
  <c r="R150" i="2"/>
  <c r="P150" i="2"/>
  <c r="R149" i="2"/>
  <c r="P149" i="2"/>
  <c r="R148" i="2"/>
  <c r="P148" i="2"/>
  <c r="R147" i="2"/>
  <c r="P147" i="2"/>
  <c r="R146" i="2"/>
  <c r="P146" i="2"/>
  <c r="R145" i="2"/>
  <c r="P145" i="2"/>
  <c r="R144" i="2"/>
  <c r="P144" i="2"/>
  <c r="R143" i="2"/>
  <c r="P143" i="2"/>
  <c r="R142" i="2"/>
  <c r="P142" i="2"/>
  <c r="R141" i="2"/>
  <c r="P141" i="2"/>
  <c r="R140" i="2"/>
  <c r="P140" i="2"/>
  <c r="R139" i="2"/>
  <c r="P139" i="2"/>
  <c r="R138" i="2"/>
  <c r="P138" i="2"/>
  <c r="R137" i="2"/>
  <c r="P137" i="2"/>
  <c r="R136" i="2"/>
  <c r="P136" i="2"/>
  <c r="R135" i="2"/>
  <c r="P135" i="2"/>
  <c r="R134" i="2"/>
  <c r="P134" i="2"/>
  <c r="R133" i="2"/>
  <c r="P133" i="2"/>
  <c r="R132" i="2"/>
  <c r="P132" i="2"/>
  <c r="R131" i="2"/>
  <c r="P131" i="2"/>
  <c r="R130" i="2"/>
  <c r="P130" i="2"/>
  <c r="R129" i="2"/>
  <c r="P129" i="2"/>
  <c r="R128" i="2"/>
  <c r="P128" i="2"/>
  <c r="R127" i="2"/>
  <c r="P127" i="2"/>
  <c r="R126" i="2"/>
  <c r="P126" i="2"/>
  <c r="R125" i="2"/>
  <c r="P125" i="2"/>
  <c r="R124" i="2"/>
  <c r="P124" i="2"/>
  <c r="R123" i="2"/>
  <c r="P123" i="2"/>
  <c r="R122" i="2"/>
  <c r="P122" i="2"/>
  <c r="R121" i="2"/>
  <c r="P121" i="2"/>
  <c r="R120" i="2"/>
  <c r="P120" i="2"/>
  <c r="R119" i="2"/>
  <c r="P119" i="2"/>
  <c r="R118" i="2"/>
  <c r="P118" i="2"/>
  <c r="R117" i="2"/>
  <c r="P117" i="2"/>
  <c r="R116" i="2"/>
  <c r="P116" i="2"/>
  <c r="R115" i="2"/>
  <c r="P115" i="2"/>
  <c r="R114" i="2"/>
  <c r="P114" i="2"/>
  <c r="R113" i="2"/>
  <c r="P113" i="2"/>
  <c r="R112" i="2"/>
  <c r="P112" i="2"/>
  <c r="R111" i="2"/>
  <c r="P111" i="2"/>
  <c r="R110" i="2"/>
  <c r="P110" i="2"/>
  <c r="R109" i="2"/>
  <c r="P109" i="2"/>
  <c r="R108" i="2"/>
  <c r="P108" i="2"/>
  <c r="R107" i="2"/>
  <c r="P107" i="2"/>
  <c r="R106" i="2"/>
  <c r="P106" i="2"/>
  <c r="R105" i="2"/>
  <c r="P105" i="2"/>
  <c r="R104" i="2"/>
  <c r="P104" i="2"/>
  <c r="R103" i="2"/>
  <c r="P103" i="2"/>
  <c r="R102" i="2"/>
  <c r="P102" i="2"/>
  <c r="R101" i="2"/>
  <c r="P101" i="2"/>
  <c r="R100" i="2"/>
  <c r="P100" i="2"/>
  <c r="R99" i="2"/>
  <c r="P99" i="2"/>
  <c r="R98" i="2"/>
  <c r="P98" i="2"/>
  <c r="R97" i="2"/>
  <c r="P97" i="2"/>
  <c r="R96" i="2"/>
  <c r="P96" i="2"/>
  <c r="R95" i="2"/>
  <c r="P95" i="2"/>
  <c r="R94" i="2"/>
  <c r="P94" i="2"/>
  <c r="R93" i="2"/>
  <c r="P93" i="2"/>
  <c r="R92" i="2"/>
  <c r="P92" i="2"/>
  <c r="R91" i="2"/>
  <c r="P91" i="2"/>
  <c r="R90" i="2"/>
  <c r="P90" i="2"/>
  <c r="R89" i="2"/>
  <c r="P89" i="2"/>
  <c r="R88" i="2"/>
  <c r="P88" i="2"/>
  <c r="R87" i="2"/>
  <c r="P87" i="2"/>
  <c r="R86" i="2"/>
  <c r="P86" i="2"/>
  <c r="R85" i="2"/>
  <c r="P85" i="2"/>
  <c r="R84" i="2"/>
  <c r="P84" i="2"/>
  <c r="R83" i="2"/>
  <c r="P83" i="2"/>
  <c r="R82" i="2"/>
  <c r="P82" i="2"/>
  <c r="R81" i="2"/>
  <c r="P81" i="2"/>
  <c r="R80" i="2"/>
  <c r="P80" i="2"/>
  <c r="R79" i="2"/>
  <c r="P79" i="2"/>
  <c r="R78" i="2"/>
  <c r="P78" i="2"/>
  <c r="R77" i="2"/>
  <c r="P77" i="2"/>
  <c r="R76" i="2"/>
  <c r="P76" i="2"/>
  <c r="R75" i="2"/>
  <c r="P75" i="2"/>
  <c r="R74" i="2"/>
  <c r="P74" i="2"/>
  <c r="R73" i="2"/>
  <c r="P73" i="2"/>
  <c r="R72" i="2"/>
  <c r="P72" i="2"/>
  <c r="R71" i="2"/>
  <c r="P71" i="2"/>
  <c r="R70" i="2"/>
  <c r="P70" i="2"/>
  <c r="R69" i="2"/>
  <c r="P69" i="2"/>
  <c r="R68" i="2"/>
  <c r="P68" i="2"/>
  <c r="R67" i="2"/>
  <c r="P67" i="2"/>
  <c r="R66" i="2"/>
  <c r="P66" i="2"/>
  <c r="R65" i="2"/>
  <c r="P65" i="2"/>
  <c r="R64" i="2"/>
  <c r="P64" i="2"/>
  <c r="R63" i="2"/>
  <c r="P63" i="2"/>
  <c r="R62" i="2"/>
  <c r="P62" i="2"/>
  <c r="R61" i="2"/>
  <c r="P61" i="2"/>
  <c r="R60" i="2"/>
  <c r="P60" i="2"/>
  <c r="R59" i="2"/>
  <c r="P59" i="2"/>
  <c r="R58" i="2"/>
  <c r="P58" i="2"/>
  <c r="R57" i="2"/>
  <c r="P57" i="2"/>
  <c r="R56" i="2"/>
  <c r="P56" i="2"/>
  <c r="R55" i="2"/>
  <c r="P55" i="2"/>
  <c r="R54" i="2"/>
  <c r="P54" i="2"/>
  <c r="R53" i="2"/>
  <c r="P53" i="2"/>
  <c r="R52" i="2"/>
  <c r="P52" i="2"/>
  <c r="R51" i="2"/>
  <c r="P51" i="2"/>
  <c r="R50" i="2"/>
  <c r="P50" i="2"/>
  <c r="R49" i="2"/>
  <c r="P49" i="2"/>
  <c r="R48" i="2"/>
  <c r="P48" i="2"/>
  <c r="R47" i="2"/>
  <c r="P47" i="2"/>
  <c r="R46" i="2"/>
  <c r="P46" i="2"/>
  <c r="R45" i="2"/>
  <c r="P45" i="2"/>
  <c r="R44" i="2"/>
  <c r="P44" i="2"/>
  <c r="R43" i="2"/>
  <c r="P43" i="2"/>
  <c r="R42" i="2"/>
  <c r="P42" i="2"/>
  <c r="R41" i="2"/>
  <c r="P41" i="2"/>
  <c r="R40" i="2"/>
  <c r="P40" i="2"/>
  <c r="R39" i="2"/>
  <c r="P39" i="2"/>
  <c r="R38" i="2"/>
  <c r="P38" i="2"/>
  <c r="R37" i="2"/>
  <c r="P37" i="2"/>
  <c r="R36" i="2"/>
  <c r="P36" i="2"/>
  <c r="R35" i="2"/>
  <c r="P35" i="2"/>
  <c r="R34" i="2"/>
  <c r="P34" i="2"/>
  <c r="R33" i="2"/>
  <c r="P33" i="2"/>
  <c r="R32" i="2"/>
  <c r="P32" i="2"/>
  <c r="R31" i="2"/>
  <c r="P31" i="2"/>
  <c r="R30" i="2"/>
  <c r="P30" i="2"/>
  <c r="R29" i="2"/>
  <c r="P29" i="2"/>
  <c r="R28" i="2"/>
  <c r="P28" i="2"/>
  <c r="R27" i="2"/>
  <c r="P27" i="2"/>
  <c r="R26" i="2"/>
  <c r="P26" i="2"/>
  <c r="R25" i="2"/>
  <c r="P25" i="2"/>
  <c r="R24" i="2"/>
  <c r="P24" i="2"/>
  <c r="R23" i="2"/>
  <c r="P23" i="2"/>
  <c r="R22" i="2"/>
  <c r="P22" i="2"/>
  <c r="R21" i="2"/>
  <c r="P21" i="2"/>
  <c r="R20" i="2"/>
  <c r="P20" i="2"/>
  <c r="R19" i="2"/>
  <c r="P19" i="2"/>
  <c r="R18" i="2"/>
  <c r="P18" i="2"/>
  <c r="R17" i="2"/>
  <c r="P17" i="2"/>
  <c r="R16" i="2"/>
  <c r="P16" i="2"/>
  <c r="R15" i="2"/>
  <c r="P15" i="2"/>
  <c r="R14" i="2"/>
  <c r="P14" i="2"/>
  <c r="R13" i="2"/>
  <c r="P13" i="2"/>
  <c r="R12" i="2"/>
  <c r="P12" i="2"/>
  <c r="R11" i="2"/>
  <c r="P11" i="2"/>
  <c r="R10" i="2"/>
  <c r="P10" i="2"/>
  <c r="R9" i="2"/>
  <c r="P9" i="2"/>
  <c r="R8" i="2"/>
  <c r="P8" i="2"/>
  <c r="R7" i="2"/>
  <c r="P7" i="2"/>
  <c r="R6" i="2"/>
  <c r="P6" i="2"/>
  <c r="R5" i="2"/>
  <c r="P5" i="2"/>
  <c r="R4" i="2"/>
  <c r="P4" i="2"/>
  <c r="R3" i="2"/>
  <c r="P3" i="2"/>
  <c r="R2" i="2"/>
  <c r="P2" i="2"/>
  <c r="B32" i="1"/>
  <c r="C28" i="1"/>
  <c r="C27" i="1"/>
  <c r="C26" i="1"/>
  <c r="C25" i="1"/>
  <c r="C22" i="1"/>
  <c r="C8" i="1"/>
  <c r="C7" i="1"/>
  <c r="J16" i="3" l="1"/>
  <c r="E16" i="3"/>
  <c r="F16" i="3"/>
  <c r="G16" i="3"/>
  <c r="H16" i="3"/>
  <c r="D16" i="3"/>
  <c r="I16" i="3"/>
  <c r="J10" i="3"/>
  <c r="E10" i="3"/>
  <c r="F10" i="3"/>
  <c r="H10" i="3"/>
  <c r="D10" i="3"/>
  <c r="I10" i="3"/>
  <c r="G10" i="3"/>
  <c r="B48" i="8"/>
  <c r="B54" i="8"/>
  <c r="C54" i="8"/>
  <c r="C55" i="8"/>
  <c r="B41" i="8"/>
  <c r="B59" i="8"/>
  <c r="C41" i="8"/>
  <c r="C42" i="8"/>
  <c r="B46" i="8"/>
  <c r="B47" i="8"/>
  <c r="C48" i="8"/>
  <c r="B49" i="8"/>
  <c r="C49" i="8"/>
  <c r="C53" i="8"/>
  <c r="C59" i="8"/>
  <c r="C44" i="8"/>
  <c r="B50" i="8"/>
  <c r="B57" i="8"/>
  <c r="C57" i="8"/>
  <c r="C46" i="8"/>
  <c r="B42" i="8"/>
  <c r="B43" i="8"/>
  <c r="C47" i="8"/>
  <c r="B55" i="8"/>
  <c r="B56" i="8"/>
  <c r="C56" i="8"/>
  <c r="B52" i="8"/>
  <c r="B60" i="8"/>
  <c r="C43" i="8"/>
  <c r="B51" i="8"/>
  <c r="C51" i="8"/>
  <c r="B58" i="8"/>
  <c r="C58" i="8"/>
  <c r="B45" i="8"/>
  <c r="C60" i="8"/>
  <c r="B61" i="8"/>
  <c r="C62" i="8"/>
  <c r="B44" i="8"/>
  <c r="C45" i="8"/>
  <c r="C50" i="8"/>
  <c r="C52" i="8"/>
  <c r="B53" i="8"/>
  <c r="C61" i="8"/>
  <c r="B62" i="8"/>
  <c r="C29" i="8"/>
  <c r="B32" i="8"/>
  <c r="C34" i="8"/>
  <c r="B38" i="8"/>
  <c r="C38" i="8"/>
  <c r="B18" i="8"/>
  <c r="B24" i="8"/>
  <c r="B26" i="8"/>
  <c r="C26" i="8"/>
  <c r="C28" i="8"/>
  <c r="B31" i="8"/>
  <c r="C33" i="8"/>
  <c r="B35" i="8"/>
  <c r="C35" i="8"/>
  <c r="C18" i="8"/>
  <c r="B36" i="8"/>
  <c r="C36" i="8"/>
  <c r="B37" i="8"/>
  <c r="C39" i="8"/>
  <c r="C40" i="8"/>
  <c r="C24" i="8"/>
  <c r="B27" i="8"/>
  <c r="C27" i="8"/>
  <c r="B30" i="8"/>
  <c r="C32" i="8"/>
  <c r="B33" i="8"/>
  <c r="B39" i="8"/>
  <c r="B16" i="8"/>
  <c r="C16" i="8"/>
  <c r="C22" i="8"/>
  <c r="B23" i="8"/>
  <c r="B25" i="8"/>
  <c r="B28" i="8"/>
  <c r="C31" i="8"/>
  <c r="B34" i="8"/>
  <c r="B40" i="8"/>
  <c r="B17" i="8"/>
  <c r="B20" i="8"/>
  <c r="C21" i="8"/>
  <c r="C25" i="8"/>
  <c r="B19" i="8"/>
  <c r="C37" i="8"/>
  <c r="C17" i="8"/>
  <c r="C19" i="8"/>
  <c r="C20" i="8"/>
  <c r="B21" i="8"/>
  <c r="C23" i="8"/>
  <c r="B29" i="8"/>
  <c r="C30" i="8"/>
  <c r="B3" i="8"/>
  <c r="C2" i="8"/>
  <c r="B2" i="8"/>
  <c r="B7" i="8"/>
  <c r="B6" i="8"/>
  <c r="C15" i="8"/>
  <c r="C6" i="8"/>
  <c r="C3" i="8"/>
  <c r="C1" i="8"/>
  <c r="B1" i="8"/>
  <c r="C14" i="8"/>
  <c r="C13" i="8"/>
  <c r="B15" i="8"/>
  <c r="C12" i="8"/>
  <c r="B12" i="8"/>
  <c r="B14" i="8"/>
  <c r="C9" i="8"/>
  <c r="B9" i="8"/>
  <c r="C7" i="8"/>
  <c r="B11" i="8"/>
  <c r="C8" i="8"/>
  <c r="B8" i="8"/>
  <c r="C5" i="8"/>
  <c r="C11" i="8"/>
  <c r="B5" i="8"/>
  <c r="C10" i="8"/>
  <c r="C4" i="8"/>
  <c r="B4" i="8"/>
  <c r="B13" i="8"/>
  <c r="B10" i="8"/>
  <c r="S290" i="14"/>
  <c r="S289" i="14"/>
  <c r="S288" i="14"/>
  <c r="S287" i="14"/>
  <c r="S286" i="14"/>
  <c r="S285" i="14"/>
  <c r="S284" i="14"/>
  <c r="S283" i="14"/>
  <c r="S282" i="14"/>
  <c r="S281" i="14"/>
  <c r="S280" i="14"/>
  <c r="S279" i="14"/>
  <c r="S278" i="14"/>
  <c r="S277" i="14"/>
  <c r="S276" i="14"/>
  <c r="S275" i="14"/>
  <c r="S274" i="14"/>
  <c r="S273" i="14"/>
  <c r="S272" i="14"/>
  <c r="S271" i="14"/>
  <c r="S270" i="14"/>
  <c r="S269" i="14"/>
  <c r="S268" i="14"/>
  <c r="S267" i="14"/>
  <c r="S266" i="14"/>
  <c r="S265" i="14"/>
  <c r="S264" i="14"/>
  <c r="S263" i="14"/>
  <c r="S262" i="14"/>
  <c r="S261" i="14"/>
  <c r="S260" i="14"/>
  <c r="S259" i="14"/>
  <c r="S258" i="14"/>
  <c r="S257" i="14"/>
  <c r="S256" i="14"/>
  <c r="S255" i="14"/>
  <c r="S254" i="14"/>
  <c r="S253" i="14"/>
  <c r="S252" i="14"/>
  <c r="S251" i="14"/>
  <c r="S250" i="14"/>
  <c r="S249" i="14"/>
  <c r="S248" i="14"/>
  <c r="S247" i="14"/>
  <c r="S246" i="14"/>
  <c r="S245" i="14"/>
  <c r="S244" i="14"/>
  <c r="S243" i="14"/>
  <c r="S242" i="14"/>
  <c r="S241" i="14"/>
  <c r="S240" i="14"/>
  <c r="S189" i="14"/>
  <c r="S130" i="14"/>
  <c r="S127" i="14"/>
  <c r="S124" i="14"/>
  <c r="S121" i="14"/>
  <c r="S118" i="14"/>
  <c r="S116" i="14"/>
  <c r="S112" i="14"/>
  <c r="S109" i="14"/>
  <c r="S106" i="14"/>
  <c r="S104" i="14"/>
  <c r="S101" i="14"/>
  <c r="S98" i="14"/>
  <c r="S92" i="14"/>
  <c r="S88" i="14"/>
  <c r="S86" i="14"/>
  <c r="S76" i="13"/>
  <c r="S71" i="13"/>
  <c r="S65" i="13"/>
  <c r="S59" i="13"/>
  <c r="O50" i="6"/>
  <c r="O39" i="6"/>
  <c r="O20" i="6"/>
  <c r="O16" i="6"/>
  <c r="O4" i="6"/>
  <c r="C26" i="5"/>
  <c r="AM12" i="5"/>
  <c r="AI12" i="5"/>
  <c r="AA12" i="5"/>
  <c r="S12" i="5"/>
  <c r="AO11" i="5"/>
  <c r="AL11" i="5"/>
  <c r="AJ11" i="5"/>
  <c r="AA9" i="5"/>
  <c r="S9" i="5"/>
  <c r="AP7" i="5"/>
  <c r="AM7" i="5"/>
  <c r="AK7" i="5"/>
  <c r="AI7" i="5"/>
  <c r="L5" i="3"/>
  <c r="M5" i="3" s="1"/>
  <c r="S239" i="14"/>
  <c r="S238" i="14"/>
  <c r="S237" i="14"/>
  <c r="S236" i="14"/>
  <c r="S235" i="14"/>
  <c r="S234" i="14"/>
  <c r="S233" i="14"/>
  <c r="S232" i="14"/>
  <c r="S231" i="14"/>
  <c r="S230" i="14"/>
  <c r="S229" i="14"/>
  <c r="S228" i="14"/>
  <c r="S227" i="14"/>
  <c r="S226" i="14"/>
  <c r="S225" i="14"/>
  <c r="S224" i="14"/>
  <c r="S223" i="14"/>
  <c r="S222" i="14"/>
  <c r="S221" i="14"/>
  <c r="S220" i="14"/>
  <c r="S219" i="14"/>
  <c r="S218" i="14"/>
  <c r="S217" i="14"/>
  <c r="S216" i="14"/>
  <c r="S215" i="14"/>
  <c r="S214" i="14"/>
  <c r="S213" i="14"/>
  <c r="S212" i="14"/>
  <c r="S211" i="14"/>
  <c r="S210" i="14"/>
  <c r="S209" i="14"/>
  <c r="S208" i="14"/>
  <c r="S207" i="14"/>
  <c r="S206" i="14"/>
  <c r="S205" i="14"/>
  <c r="S204" i="14"/>
  <c r="S203" i="14"/>
  <c r="S202" i="14"/>
  <c r="S201" i="14"/>
  <c r="S200" i="14"/>
  <c r="S199" i="14"/>
  <c r="S198" i="14"/>
  <c r="S197" i="14"/>
  <c r="S196" i="14"/>
  <c r="S195" i="14"/>
  <c r="S194" i="14"/>
  <c r="S193" i="14"/>
  <c r="S192" i="14"/>
  <c r="S191" i="14"/>
  <c r="S190" i="14"/>
  <c r="S132" i="14"/>
  <c r="S129" i="14"/>
  <c r="S126" i="14"/>
  <c r="S123" i="14"/>
  <c r="S120" i="14"/>
  <c r="S117" i="14"/>
  <c r="S114" i="14"/>
  <c r="S111" i="14"/>
  <c r="S108" i="14"/>
  <c r="S105" i="14"/>
  <c r="S102" i="14"/>
  <c r="S99" i="14"/>
  <c r="S96" i="14"/>
  <c r="S94" i="14"/>
  <c r="S91" i="14"/>
  <c r="S89" i="14"/>
  <c r="S77" i="13"/>
  <c r="S74" i="13"/>
  <c r="S70" i="13"/>
  <c r="S69" i="13"/>
  <c r="S64" i="13"/>
  <c r="S60" i="13"/>
  <c r="O19" i="6"/>
  <c r="O7" i="6"/>
  <c r="O5" i="6"/>
  <c r="S14" i="5"/>
  <c r="AN13" i="5"/>
  <c r="AL13" i="5"/>
  <c r="AI13" i="5"/>
  <c r="AN12" i="5"/>
  <c r="AK12" i="5"/>
  <c r="K12" i="5"/>
  <c r="I4" i="4" a="1"/>
  <c r="I4" i="4" s="1"/>
  <c r="AC3" i="4" a="1"/>
  <c r="AC3" i="4" s="1"/>
  <c r="P3" i="4" a="1"/>
  <c r="P3" i="4" s="1"/>
  <c r="AC2" i="4" a="1"/>
  <c r="AC2" i="4" s="1"/>
  <c r="O2" i="4" a="1"/>
  <c r="O2" i="4" s="1"/>
  <c r="K17" i="3"/>
  <c r="H14" i="3"/>
  <c r="E14" i="3"/>
  <c r="D14" i="3"/>
  <c r="J13" i="3"/>
  <c r="H13" i="3"/>
  <c r="L12" i="3"/>
  <c r="M12" i="3" s="1"/>
  <c r="P619" i="2"/>
  <c r="P616" i="2"/>
  <c r="S188" i="14"/>
  <c r="S187" i="14"/>
  <c r="S186" i="14"/>
  <c r="S185" i="14"/>
  <c r="S184" i="14"/>
  <c r="S183" i="14"/>
  <c r="S182" i="14"/>
  <c r="S181" i="14"/>
  <c r="S180" i="14"/>
  <c r="S179" i="14"/>
  <c r="S178" i="14"/>
  <c r="S177" i="14"/>
  <c r="S176" i="14"/>
  <c r="S175" i="14"/>
  <c r="S174" i="14"/>
  <c r="S173" i="14"/>
  <c r="S172" i="14"/>
  <c r="S171" i="14"/>
  <c r="S170" i="14"/>
  <c r="S169" i="14"/>
  <c r="S168" i="14"/>
  <c r="S167" i="14"/>
  <c r="S166" i="14"/>
  <c r="S165" i="14"/>
  <c r="S164" i="14"/>
  <c r="S163" i="14"/>
  <c r="S162" i="14"/>
  <c r="S161" i="14"/>
  <c r="S160" i="14"/>
  <c r="S159" i="14"/>
  <c r="S158" i="14"/>
  <c r="S157" i="14"/>
  <c r="S156" i="14"/>
  <c r="S155" i="14"/>
  <c r="S154" i="14"/>
  <c r="S153" i="14"/>
  <c r="S152" i="14"/>
  <c r="S151" i="14"/>
  <c r="S150" i="14"/>
  <c r="S149" i="14"/>
  <c r="S148" i="14"/>
  <c r="S147" i="14"/>
  <c r="S146" i="14"/>
  <c r="S145" i="14"/>
  <c r="S144" i="14"/>
  <c r="S143" i="14"/>
  <c r="S142" i="14"/>
  <c r="S141" i="14"/>
  <c r="S140" i="14"/>
  <c r="S139" i="14"/>
  <c r="S138" i="14"/>
  <c r="S137" i="14"/>
  <c r="S134" i="14"/>
  <c r="S133" i="14"/>
  <c r="S131" i="14"/>
  <c r="S128" i="14"/>
  <c r="S125" i="14"/>
  <c r="S122" i="14"/>
  <c r="S119" i="14"/>
  <c r="S115" i="14"/>
  <c r="S113" i="14"/>
  <c r="S110" i="14"/>
  <c r="S107" i="14"/>
  <c r="S103" i="14"/>
  <c r="S100" i="14"/>
  <c r="S97" i="14"/>
  <c r="S95" i="14"/>
  <c r="S93" i="14"/>
  <c r="S90" i="14"/>
  <c r="S87" i="14"/>
  <c r="S75" i="13"/>
  <c r="S68" i="13"/>
  <c r="S63" i="13"/>
  <c r="S58" i="13"/>
  <c r="O47" i="6"/>
  <c r="O45" i="6"/>
  <c r="O41" i="6"/>
  <c r="O37" i="6"/>
  <c r="O35" i="6"/>
  <c r="AM10" i="5"/>
  <c r="AJ10" i="5"/>
  <c r="AA10" i="5"/>
  <c r="AA3" i="5"/>
  <c r="S3" i="5"/>
  <c r="AE7" i="4" a="1"/>
  <c r="AE7" i="4" s="1"/>
  <c r="R7" i="4" a="1"/>
  <c r="R7" i="4" s="1"/>
  <c r="F7" i="4" a="1"/>
  <c r="F7" i="4" s="1"/>
  <c r="Y6" i="4" a="1"/>
  <c r="Y6" i="4" s="1"/>
  <c r="M6" i="4" a="1"/>
  <c r="M6" i="4" s="1"/>
  <c r="AH4" i="4" a="1"/>
  <c r="AH4" i="4" s="1"/>
  <c r="V4" i="4" a="1"/>
  <c r="V4" i="4" s="1"/>
  <c r="H4" i="4" a="1"/>
  <c r="H4" i="4" s="1"/>
  <c r="Z3" i="4" a="1"/>
  <c r="Z3" i="4" s="1"/>
  <c r="O3" i="4" a="1"/>
  <c r="O3" i="4" s="1"/>
  <c r="AG2" i="4" a="1"/>
  <c r="AG2" i="4" s="1"/>
  <c r="U2" i="4" a="1"/>
  <c r="U2" i="4" s="1"/>
  <c r="F2" i="4" a="1"/>
  <c r="F2" i="4" s="1"/>
  <c r="N621" i="2"/>
  <c r="P617" i="2"/>
  <c r="S136" i="14"/>
  <c r="S135" i="14"/>
  <c r="C33" i="4"/>
  <c r="Y13" i="4" a="1"/>
  <c r="Y13" i="4" s="1"/>
  <c r="T13" i="4" a="1"/>
  <c r="T13" i="4" s="1"/>
  <c r="I12" i="4" a="1"/>
  <c r="I12" i="4" s="1"/>
  <c r="J6" i="4" a="1"/>
  <c r="J6" i="4" s="1"/>
  <c r="AD4" i="4" a="1"/>
  <c r="Q4" i="4" a="1"/>
  <c r="D4" i="4" a="1"/>
  <c r="D4" i="4" s="1"/>
  <c r="W3" i="4" a="1"/>
  <c r="W3" i="4" s="1"/>
  <c r="I3" i="4" a="1"/>
  <c r="I3" i="4" s="1"/>
  <c r="AB2" i="4" a="1"/>
  <c r="AB2" i="4" s="1"/>
  <c r="N2" i="4" a="1"/>
  <c r="N2" i="4" s="1"/>
  <c r="J15" i="3"/>
  <c r="I15" i="3"/>
  <c r="H15" i="3"/>
  <c r="G15" i="3"/>
  <c r="F15" i="3"/>
  <c r="E15" i="3"/>
  <c r="D15" i="3"/>
  <c r="J14" i="3"/>
  <c r="I14" i="3"/>
  <c r="G14" i="3"/>
  <c r="F14" i="3"/>
  <c r="I13" i="3"/>
  <c r="G13" i="3"/>
  <c r="F13" i="3"/>
  <c r="E13" i="3"/>
  <c r="D13" i="3"/>
  <c r="L11" i="3"/>
  <c r="M11" i="3" s="1"/>
  <c r="L8" i="3"/>
  <c r="M8" i="3" s="1"/>
  <c r="L6" i="3"/>
  <c r="M6" i="3" s="1"/>
  <c r="S85" i="14"/>
  <c r="S84" i="14"/>
  <c r="S83" i="14"/>
  <c r="S82" i="14"/>
  <c r="S81" i="14"/>
  <c r="S80" i="14"/>
  <c r="S79" i="14"/>
  <c r="S78" i="14"/>
  <c r="S77" i="14"/>
  <c r="S76" i="14"/>
  <c r="S75" i="14"/>
  <c r="S74" i="14"/>
  <c r="S73" i="14"/>
  <c r="S72" i="14"/>
  <c r="S71" i="14"/>
  <c r="S70" i="14"/>
  <c r="S69" i="14"/>
  <c r="S68" i="14"/>
  <c r="S67" i="14"/>
  <c r="S66" i="14"/>
  <c r="S65" i="14"/>
  <c r="S64" i="14"/>
  <c r="S63" i="14"/>
  <c r="S62" i="14"/>
  <c r="S61" i="14"/>
  <c r="S60" i="14"/>
  <c r="S59" i="14"/>
  <c r="S58" i="14"/>
  <c r="S57" i="14"/>
  <c r="S56" i="14"/>
  <c r="S55" i="14"/>
  <c r="S54" i="14"/>
  <c r="S53" i="14"/>
  <c r="S52" i="14"/>
  <c r="S51" i="14"/>
  <c r="S50" i="14"/>
  <c r="S49" i="14"/>
  <c r="S48" i="14"/>
  <c r="S47" i="14"/>
  <c r="S46" i="14"/>
  <c r="S45" i="14"/>
  <c r="S44" i="14"/>
  <c r="S43" i="14"/>
  <c r="S42" i="14"/>
  <c r="S41" i="14"/>
  <c r="S40" i="14"/>
  <c r="S39" i="14"/>
  <c r="S38" i="14"/>
  <c r="S37" i="14"/>
  <c r="S36" i="14"/>
  <c r="S35" i="14"/>
  <c r="S34" i="14"/>
  <c r="S73" i="13"/>
  <c r="S67" i="13"/>
  <c r="S62" i="13"/>
  <c r="O49" i="6"/>
  <c r="O46" i="6"/>
  <c r="O40" i="6"/>
  <c r="O15" i="6"/>
  <c r="O13" i="6"/>
  <c r="O11" i="6"/>
  <c r="O9" i="6"/>
  <c r="AG15" i="5"/>
  <c r="AF15" i="5"/>
  <c r="AD15" i="5"/>
  <c r="AB15" i="5"/>
  <c r="Z15" i="5"/>
  <c r="X15" i="5"/>
  <c r="V15" i="5"/>
  <c r="T15" i="5"/>
  <c r="R15" i="5"/>
  <c r="P15" i="5"/>
  <c r="N15" i="5"/>
  <c r="L15" i="5"/>
  <c r="J15" i="5"/>
  <c r="H15" i="5"/>
  <c r="F15" i="5"/>
  <c r="D15" i="5"/>
  <c r="AO14" i="5"/>
  <c r="AN14" i="5"/>
  <c r="AL14" i="5"/>
  <c r="AJ14" i="5"/>
  <c r="AP9" i="5"/>
  <c r="AO9" i="5"/>
  <c r="AN9" i="5"/>
  <c r="AM9" i="5"/>
  <c r="AL9" i="5"/>
  <c r="AK9" i="5"/>
  <c r="AJ9" i="5"/>
  <c r="AQ9" i="5" s="1"/>
  <c r="AI9" i="5"/>
  <c r="K9" i="5"/>
  <c r="AP8" i="5"/>
  <c r="AN8" i="5"/>
  <c r="AM8" i="5"/>
  <c r="AK8" i="5"/>
  <c r="AI8" i="5"/>
  <c r="AA7" i="5"/>
  <c r="AA4" i="5"/>
  <c r="AB7" i="4" a="1"/>
  <c r="AB7" i="4" s="1"/>
  <c r="M7" i="4" a="1"/>
  <c r="M7" i="4" s="1"/>
  <c r="AG6" i="4" a="1"/>
  <c r="AG6" i="4" s="1"/>
  <c r="V6" i="4" a="1"/>
  <c r="V6" i="4" s="1"/>
  <c r="I6" i="4" a="1"/>
  <c r="I6" i="4" s="1"/>
  <c r="AC4" i="4" a="1"/>
  <c r="AC4" i="4" s="1"/>
  <c r="P4" i="4" a="1"/>
  <c r="P4" i="4" s="1"/>
  <c r="AD3" i="4" a="1"/>
  <c r="AD3" i="4" s="1"/>
  <c r="Q3" i="4" a="1"/>
  <c r="Q3" i="4" s="1"/>
  <c r="D3" i="4" a="1"/>
  <c r="D3" i="4" s="1"/>
  <c r="V2" i="4" a="1"/>
  <c r="V2" i="4" s="1"/>
  <c r="H2" i="4" a="1"/>
  <c r="H2" i="4" s="1"/>
  <c r="S33" i="14"/>
  <c r="S32" i="14"/>
  <c r="S31" i="14"/>
  <c r="S30" i="14"/>
  <c r="S29" i="14"/>
  <c r="S28" i="14"/>
  <c r="S27" i="14"/>
  <c r="S26" i="14"/>
  <c r="S25" i="14"/>
  <c r="S24" i="14"/>
  <c r="S23" i="14"/>
  <c r="S22" i="14"/>
  <c r="S21" i="14"/>
  <c r="S20" i="14"/>
  <c r="S19" i="14"/>
  <c r="S18" i="14"/>
  <c r="S17" i="14"/>
  <c r="S16" i="14"/>
  <c r="S15" i="14"/>
  <c r="S14" i="14"/>
  <c r="S13" i="14"/>
  <c r="S12" i="14"/>
  <c r="S11" i="14"/>
  <c r="S10" i="14"/>
  <c r="S9" i="14"/>
  <c r="S8" i="14"/>
  <c r="S7" i="14"/>
  <c r="S6" i="14"/>
  <c r="S78" i="13"/>
  <c r="S72" i="13"/>
  <c r="S66" i="13"/>
  <c r="S61" i="13"/>
  <c r="S57" i="13"/>
  <c r="O42" i="6"/>
  <c r="O14" i="6"/>
  <c r="O8" i="6"/>
  <c r="O6" i="6"/>
  <c r="AA14" i="5"/>
  <c r="K14" i="5"/>
  <c r="AO13" i="5"/>
  <c r="AK13" i="5"/>
  <c r="AA13" i="5"/>
  <c r="AP11" i="5"/>
  <c r="AM11" i="5"/>
  <c r="AK11" i="5"/>
  <c r="K11" i="5"/>
  <c r="K8" i="5"/>
  <c r="AN3" i="5"/>
  <c r="AK3" i="5"/>
  <c r="T4" i="4" a="1"/>
  <c r="T4" i="4" s="1"/>
  <c r="G4" i="4" a="1"/>
  <c r="G4" i="4" s="1"/>
  <c r="Y3" i="4" a="1"/>
  <c r="Y3" i="4" s="1"/>
  <c r="L3" i="4" a="1"/>
  <c r="L3" i="4" s="1"/>
  <c r="AE2" i="4" a="1"/>
  <c r="AE2" i="4" s="1"/>
  <c r="Q2" i="4" a="1"/>
  <c r="Q2" i="4" s="1"/>
  <c r="D2" i="4" a="1"/>
  <c r="D2" i="4" s="1"/>
  <c r="P618" i="2"/>
  <c r="S56" i="13"/>
  <c r="S55" i="13"/>
  <c r="S54" i="13"/>
  <c r="S53" i="13"/>
  <c r="S52" i="13"/>
  <c r="S51" i="13"/>
  <c r="S50" i="13"/>
  <c r="S49" i="13"/>
  <c r="S48" i="13"/>
  <c r="S47" i="13"/>
  <c r="S46" i="13"/>
  <c r="S45" i="13"/>
  <c r="S44" i="13"/>
  <c r="S43" i="13"/>
  <c r="S42" i="13"/>
  <c r="S41" i="13"/>
  <c r="S40" i="13"/>
  <c r="S39" i="13"/>
  <c r="S38" i="13"/>
  <c r="S37" i="13"/>
  <c r="S36" i="13"/>
  <c r="S35" i="13"/>
  <c r="S34" i="13"/>
  <c r="S33" i="13"/>
  <c r="S32" i="13"/>
  <c r="S31" i="13"/>
  <c r="S30" i="13"/>
  <c r="S29" i="13"/>
  <c r="S28" i="13"/>
  <c r="S27" i="13"/>
  <c r="S26" i="13"/>
  <c r="S25" i="13"/>
  <c r="S24" i="13"/>
  <c r="S23" i="13"/>
  <c r="S22" i="13"/>
  <c r="S21" i="13"/>
  <c r="S20" i="13"/>
  <c r="S19" i="13"/>
  <c r="S18" i="13"/>
  <c r="S17" i="13"/>
  <c r="S16" i="13"/>
  <c r="S15" i="13"/>
  <c r="S14" i="13"/>
  <c r="S13" i="13"/>
  <c r="S12" i="13"/>
  <c r="S11" i="13"/>
  <c r="S10" i="13"/>
  <c r="S9" i="13"/>
  <c r="S8" i="13"/>
  <c r="S7" i="13"/>
  <c r="S6" i="13"/>
  <c r="O60" i="6"/>
  <c r="O52" i="6"/>
  <c r="O48" i="6"/>
  <c r="O44" i="6"/>
  <c r="AP13" i="5"/>
  <c r="AM13" i="5"/>
  <c r="AJ13" i="5"/>
  <c r="S13" i="5"/>
  <c r="K13" i="5"/>
  <c r="AO12" i="5"/>
  <c r="AL12" i="5"/>
  <c r="AP10" i="5"/>
  <c r="AO10" i="5"/>
  <c r="AN10" i="5"/>
  <c r="AL10" i="5"/>
  <c r="AK10" i="5"/>
  <c r="AI10" i="5"/>
  <c r="S10" i="5"/>
  <c r="K10" i="5"/>
  <c r="S8" i="5"/>
  <c r="C24" i="4"/>
  <c r="AD6" i="4" a="1"/>
  <c r="AD6" i="4" s="1"/>
  <c r="Q6" i="4" a="1"/>
  <c r="Q6" i="4" s="1"/>
  <c r="D6" i="4" a="1"/>
  <c r="D6" i="4" s="1"/>
  <c r="R4" i="4" a="1"/>
  <c r="R4" i="4" s="1"/>
  <c r="E4" i="4" a="1"/>
  <c r="E4" i="4" s="1"/>
  <c r="V3" i="4" a="1"/>
  <c r="V3" i="4" s="1"/>
  <c r="H3" i="4" a="1"/>
  <c r="H3" i="4" s="1"/>
  <c r="Z2" i="4" a="1"/>
  <c r="Z2" i="4" s="1"/>
  <c r="M2" i="4" a="1"/>
  <c r="M2" i="4" s="1"/>
  <c r="D28" i="7"/>
  <c r="C27" i="7"/>
  <c r="F15" i="7"/>
  <c r="N77" i="6"/>
  <c r="M77" i="6"/>
  <c r="L77" i="6"/>
  <c r="K77" i="6"/>
  <c r="J77" i="6"/>
  <c r="I77" i="6"/>
  <c r="H77" i="6"/>
  <c r="G77" i="6"/>
  <c r="F77" i="6"/>
  <c r="E77" i="6"/>
  <c r="D77" i="6"/>
  <c r="C77" i="6"/>
  <c r="B77" i="6"/>
  <c r="O76" i="6"/>
  <c r="O75" i="6"/>
  <c r="O74" i="6"/>
  <c r="O73" i="6"/>
  <c r="O72" i="6"/>
  <c r="O71" i="6"/>
  <c r="O70" i="6"/>
  <c r="O69" i="6"/>
  <c r="O68" i="6"/>
  <c r="O67" i="6"/>
  <c r="O66" i="6"/>
  <c r="O65" i="6"/>
  <c r="O64" i="6"/>
  <c r="O63" i="6"/>
  <c r="O62" i="6"/>
  <c r="O61" i="6"/>
  <c r="O59" i="6"/>
  <c r="O58" i="6"/>
  <c r="O57" i="6"/>
  <c r="O56" i="6"/>
  <c r="O55" i="6"/>
  <c r="O54" i="6"/>
  <c r="O53" i="6"/>
  <c r="O51" i="6"/>
  <c r="O43" i="6"/>
  <c r="O38" i="6"/>
  <c r="O36" i="6"/>
  <c r="O21" i="6"/>
  <c r="O17" i="6"/>
  <c r="AH15" i="5"/>
  <c r="AE15" i="5"/>
  <c r="AC15" i="5"/>
  <c r="Y15" i="5"/>
  <c r="W15" i="5"/>
  <c r="U15" i="5"/>
  <c r="Q15" i="5"/>
  <c r="O15" i="5"/>
  <c r="M15" i="5"/>
  <c r="I15" i="5"/>
  <c r="G15" i="5"/>
  <c r="E15" i="5"/>
  <c r="C15" i="5"/>
  <c r="AP14" i="5"/>
  <c r="AM14" i="5"/>
  <c r="AK14" i="5"/>
  <c r="AI14" i="5"/>
  <c r="S11" i="5"/>
  <c r="AP5" i="5"/>
  <c r="AO5" i="5"/>
  <c r="AM5" i="5"/>
  <c r="AK5" i="5"/>
  <c r="AJ5" i="5"/>
  <c r="AP4" i="5"/>
  <c r="AO4" i="5"/>
  <c r="AN4" i="5"/>
  <c r="AM4" i="5"/>
  <c r="AL4" i="5"/>
  <c r="AK4" i="5"/>
  <c r="AJ4" i="5"/>
  <c r="AQ4" i="5" s="1"/>
  <c r="AI4" i="5"/>
  <c r="S4" i="5"/>
  <c r="K4" i="5"/>
  <c r="AP3" i="5"/>
  <c r="AO3" i="5"/>
  <c r="AM3" i="5"/>
  <c r="AL3" i="5"/>
  <c r="AJ3" i="5"/>
  <c r="AI3" i="5"/>
  <c r="K3" i="5"/>
  <c r="AT14" i="4"/>
  <c r="AS14" i="4"/>
  <c r="C14" i="4"/>
  <c r="C15" i="4" s="1"/>
  <c r="O621" i="2"/>
  <c r="M621" i="2"/>
  <c r="L621" i="2"/>
  <c r="P620" i="2"/>
  <c r="P614" i="2"/>
  <c r="O34" i="6"/>
  <c r="O33" i="6"/>
  <c r="O32" i="6"/>
  <c r="O31" i="6"/>
  <c r="O30" i="6"/>
  <c r="O29" i="6"/>
  <c r="O28" i="6"/>
  <c r="O27" i="6"/>
  <c r="O26" i="6"/>
  <c r="O25" i="6"/>
  <c r="O24" i="6"/>
  <c r="O23" i="6"/>
  <c r="O22" i="6"/>
  <c r="O18" i="6"/>
  <c r="O12" i="6"/>
  <c r="O10" i="6"/>
  <c r="C31" i="5"/>
  <c r="AP12" i="5"/>
  <c r="AJ12" i="5"/>
  <c r="AN11" i="5"/>
  <c r="AI11" i="5"/>
  <c r="AA11" i="5"/>
  <c r="AO8" i="5"/>
  <c r="AL8" i="5"/>
  <c r="AJ8" i="5"/>
  <c r="AA8" i="5"/>
  <c r="AO7" i="5"/>
  <c r="AN7" i="5"/>
  <c r="AL7" i="5"/>
  <c r="AJ7" i="5"/>
  <c r="AN5" i="5"/>
  <c r="AL5" i="5"/>
  <c r="AI5" i="5"/>
  <c r="AA5" i="5"/>
  <c r="Q12" i="4" a="1"/>
  <c r="X11" i="4" a="1"/>
  <c r="N11" i="4" a="1"/>
  <c r="N11" i="4" s="1"/>
  <c r="E11" i="4" a="1"/>
  <c r="E11" i="4" s="1"/>
  <c r="Y10" i="4" a="1"/>
  <c r="Y10" i="4" s="1"/>
  <c r="O10" i="4" a="1"/>
  <c r="O10" i="4" s="1"/>
  <c r="E10" i="4" a="1"/>
  <c r="E10" i="4" s="1"/>
  <c r="X9" i="4" a="1"/>
  <c r="X9" i="4" s="1"/>
  <c r="N9" i="4" a="1"/>
  <c r="N9" i="4" s="1"/>
  <c r="E9" i="4" a="1"/>
  <c r="E9" i="4" s="1"/>
  <c r="Z8" i="4" a="1"/>
  <c r="Z8" i="4" s="1"/>
  <c r="O8" i="4" a="1"/>
  <c r="O8" i="4" s="1"/>
  <c r="G8" i="4" a="1"/>
  <c r="G8" i="4" s="1"/>
  <c r="S7" i="5"/>
  <c r="K7" i="5"/>
  <c r="AP6" i="5"/>
  <c r="AO6" i="5"/>
  <c r="AN6" i="5"/>
  <c r="AM6" i="5"/>
  <c r="AL6" i="5"/>
  <c r="AK6" i="5"/>
  <c r="AJ6" i="5"/>
  <c r="AQ6" i="5" s="1"/>
  <c r="AI6" i="5"/>
  <c r="AA6" i="5"/>
  <c r="S6" i="5"/>
  <c r="K6" i="5"/>
  <c r="S5" i="5"/>
  <c r="K5" i="5"/>
  <c r="V12" i="4" a="1"/>
  <c r="V12" i="4" s="1"/>
  <c r="J12" i="4" a="1"/>
  <c r="J12" i="4" s="1"/>
  <c r="AE11" i="4" a="1"/>
  <c r="AE11" i="4" s="1"/>
  <c r="T11" i="4" a="1"/>
  <c r="T11" i="4" s="1"/>
  <c r="I11" i="4" a="1"/>
  <c r="I11" i="4" s="1"/>
  <c r="AE10" i="4" a="1"/>
  <c r="AE10" i="4" s="1"/>
  <c r="U10" i="4" a="1"/>
  <c r="U10" i="4" s="1"/>
  <c r="I10" i="4" a="1"/>
  <c r="I10" i="4" s="1"/>
  <c r="AD9" i="4" a="1"/>
  <c r="AD9" i="4" s="1"/>
  <c r="T9" i="4" a="1"/>
  <c r="T9" i="4" s="1"/>
  <c r="G9" i="4" a="1"/>
  <c r="G9" i="4" s="1"/>
  <c r="X8" i="4" a="1"/>
  <c r="X8" i="4" s="1"/>
  <c r="M8" i="4" a="1"/>
  <c r="M8" i="4" s="1"/>
  <c r="D8" i="4" a="1"/>
  <c r="D8" i="4" s="1"/>
  <c r="U7" i="4" a="1"/>
  <c r="U7" i="4" s="1"/>
  <c r="H7" i="4" a="1"/>
  <c r="H7" i="4" s="1"/>
  <c r="AC6" i="4" a="1"/>
  <c r="AC6" i="4" s="1"/>
  <c r="P6" i="4" a="1"/>
  <c r="P6" i="4" s="1"/>
  <c r="E6" i="4" a="1"/>
  <c r="E6" i="4" s="1"/>
  <c r="X4" i="4" a="1"/>
  <c r="X4" i="4" s="1"/>
  <c r="N4" i="4" a="1"/>
  <c r="N4" i="4" s="1"/>
  <c r="AG3" i="4" a="1"/>
  <c r="AG3" i="4" s="1"/>
  <c r="U3" i="4" a="1"/>
  <c r="U3" i="4" s="1"/>
  <c r="G3" i="4" a="1"/>
  <c r="G3" i="4" s="1"/>
  <c r="Y2" i="4" a="1"/>
  <c r="Y2" i="4" s="1"/>
  <c r="L9" i="3"/>
  <c r="M9" i="3" s="1"/>
  <c r="L7" i="3"/>
  <c r="M7" i="3" s="1"/>
  <c r="L4" i="3"/>
  <c r="AG5" i="4" a="1"/>
  <c r="AG5" i="4" s="1"/>
  <c r="AF5" i="4" a="1"/>
  <c r="AF5" i="4" s="1"/>
  <c r="AE5" i="4" a="1"/>
  <c r="AE5" i="4" s="1"/>
  <c r="AD5" i="4" a="1"/>
  <c r="AD5" i="4" s="1"/>
  <c r="N5" i="4" a="1"/>
  <c r="N5" i="4" s="1"/>
  <c r="M5" i="4" a="1"/>
  <c r="M5" i="4" s="1"/>
  <c r="L5" i="4" a="1"/>
  <c r="L5" i="4" s="1"/>
  <c r="J5" i="4" a="1"/>
  <c r="J5" i="4" s="1"/>
  <c r="I5" i="4" a="1"/>
  <c r="I5" i="4" s="1"/>
  <c r="H5" i="4" a="1"/>
  <c r="H5" i="4" s="1"/>
  <c r="G5" i="4" a="1"/>
  <c r="G5" i="4" s="1"/>
  <c r="F5" i="4" a="1"/>
  <c r="F5" i="4" s="1"/>
  <c r="E5" i="4" a="1"/>
  <c r="E5" i="4" s="1"/>
  <c r="D5" i="4" a="1"/>
  <c r="D5" i="4" s="1"/>
  <c r="J4" i="4" a="1"/>
  <c r="J4" i="4" s="1"/>
  <c r="AE3" i="4" a="1"/>
  <c r="AE3" i="4" s="1"/>
  <c r="R3" i="4" a="1"/>
  <c r="R3" i="4" s="1"/>
  <c r="E3" i="4" a="1"/>
  <c r="E3" i="4" s="1"/>
  <c r="W2" i="4" a="1"/>
  <c r="W2" i="4" s="1"/>
  <c r="I2" i="4" a="1"/>
  <c r="I2" i="4" s="1"/>
  <c r="P615" i="2"/>
  <c r="S2" i="2"/>
  <c r="C21" i="1"/>
  <c r="C16" i="1"/>
  <c r="C15" i="1"/>
  <c r="C14" i="1"/>
  <c r="C10" i="1"/>
  <c r="AH9" i="4" a="1"/>
  <c r="AH9" i="4" s="1"/>
  <c r="Y9" i="4" a="1"/>
  <c r="Y9" i="4" s="1"/>
  <c r="L9" i="4" a="1"/>
  <c r="L9" i="4" s="1"/>
  <c r="AH8" i="4" a="1"/>
  <c r="AH8" i="4" s="1"/>
  <c r="Y8" i="4" a="1"/>
  <c r="Y8" i="4" s="1"/>
  <c r="N8" i="4" a="1"/>
  <c r="N8" i="4" s="1"/>
  <c r="AH7" i="4" a="1"/>
  <c r="AH7" i="4" s="1"/>
  <c r="V7" i="4" a="1"/>
  <c r="V7" i="4" s="1"/>
  <c r="J7" i="4" a="1"/>
  <c r="J7" i="4" s="1"/>
  <c r="AE6" i="4" a="1"/>
  <c r="AE6" i="4" s="1"/>
  <c r="R6" i="4" a="1"/>
  <c r="R6" i="4" s="1"/>
  <c r="F6" i="4" a="1"/>
  <c r="F6" i="4" s="1"/>
  <c r="Y4" i="4" a="1"/>
  <c r="Y4" i="4" s="1"/>
  <c r="L4" i="4" a="1"/>
  <c r="L4" i="4" s="1"/>
  <c r="AF3" i="4" a="1"/>
  <c r="AF3" i="4" s="1"/>
  <c r="T3" i="4" a="1"/>
  <c r="T3" i="4" s="1"/>
  <c r="F3" i="4" a="1"/>
  <c r="F3" i="4" s="1"/>
  <c r="X2" i="4" a="1"/>
  <c r="X2" i="4" s="1"/>
  <c r="J2" i="4" a="1"/>
  <c r="J2" i="4" s="1"/>
  <c r="W4" i="4" l="1" a="1"/>
  <c r="J8" i="4" a="1"/>
  <c r="J8" i="4" s="1"/>
  <c r="R12" i="4" a="1"/>
  <c r="R12" i="4" s="1"/>
  <c r="H8" i="4" a="1"/>
  <c r="H8" i="4" s="1"/>
  <c r="AE4" i="4" a="1"/>
  <c r="I7" i="4" a="1"/>
  <c r="I7" i="4" s="1"/>
  <c r="D12" i="4" a="1"/>
  <c r="AH5" i="4" a="1"/>
  <c r="AH5" i="4" s="1"/>
  <c r="L16" i="3"/>
  <c r="M16" i="3" s="1"/>
  <c r="E7" i="4" a="1"/>
  <c r="P13" i="4" a="1"/>
  <c r="X6" i="4" a="1"/>
  <c r="G13" i="4" a="1"/>
  <c r="L6" i="4" a="1"/>
  <c r="AF13" i="4" a="1"/>
  <c r="Z12" i="4" a="1"/>
  <c r="AG4" i="4" a="1"/>
  <c r="V8" i="4" a="1"/>
  <c r="H13" i="4" a="1"/>
  <c r="H13" i="4" s="1"/>
  <c r="AD12" i="4" a="1"/>
  <c r="AD12" i="4" s="1"/>
  <c r="AC8" i="4" a="1"/>
  <c r="Q8" i="4" a="1"/>
  <c r="Q8" i="4" s="1"/>
  <c r="N6" i="4" a="1"/>
  <c r="AG7" i="4" a="1"/>
  <c r="W7" i="4" a="1"/>
  <c r="W7" i="4" s="1"/>
  <c r="E2" i="4" a="1"/>
  <c r="AC12" i="4" a="1"/>
  <c r="AC12" i="4" s="1"/>
  <c r="L2" i="4" a="1"/>
  <c r="AQ8" i="5"/>
  <c r="AQ7" i="5"/>
  <c r="L13" i="3"/>
  <c r="M13" i="3" s="1"/>
  <c r="W4" i="4"/>
  <c r="AQ12" i="5"/>
  <c r="X11" i="4"/>
  <c r="L10" i="3"/>
  <c r="M10" i="3" s="1"/>
  <c r="T16" i="5"/>
  <c r="L16" i="5"/>
  <c r="D16" i="5"/>
  <c r="AQ14" i="5"/>
  <c r="C27" i="4"/>
  <c r="Z12" i="4"/>
  <c r="AG4" i="4"/>
  <c r="G13" i="4"/>
  <c r="L6" i="4"/>
  <c r="P13" i="4"/>
  <c r="X6" i="4"/>
  <c r="AF13" i="4"/>
  <c r="E7" i="4"/>
  <c r="AQ10" i="5"/>
  <c r="AD4" i="4"/>
  <c r="Q4" i="4"/>
  <c r="AB16" i="5"/>
  <c r="D17" i="5" s="1"/>
  <c r="AE4" i="4"/>
  <c r="Q12" i="4"/>
  <c r="L15" i="3"/>
  <c r="M15" i="3" s="1"/>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136" i="14"/>
  <c r="C137" i="14"/>
  <c r="C88" i="14"/>
  <c r="C91" i="14"/>
  <c r="C98" i="14"/>
  <c r="C101" i="14"/>
  <c r="C102" i="14"/>
  <c r="C104" i="14"/>
  <c r="C105" i="14"/>
  <c r="C108" i="14"/>
  <c r="C111" i="14"/>
  <c r="C116" i="14"/>
  <c r="C117" i="14"/>
  <c r="C120" i="14"/>
  <c r="C123" i="14"/>
  <c r="C126" i="14"/>
  <c r="C129" i="14"/>
  <c r="C132" i="14"/>
  <c r="C134" i="14"/>
  <c r="C135"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87" i="14"/>
  <c r="C92" i="14"/>
  <c r="C93" i="14"/>
  <c r="C95" i="14"/>
  <c r="C96" i="14"/>
  <c r="C97" i="14"/>
  <c r="C100" i="14"/>
  <c r="C103" i="14"/>
  <c r="C106" i="14"/>
  <c r="C109" i="14"/>
  <c r="C112" i="14"/>
  <c r="C115" i="14"/>
  <c r="C118" i="14"/>
  <c r="C121" i="14"/>
  <c r="C124" i="14"/>
  <c r="C127" i="14"/>
  <c r="C130" i="14"/>
  <c r="C133"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89" i="14"/>
  <c r="C90" i="14"/>
  <c r="C94" i="14"/>
  <c r="C99" i="14"/>
  <c r="C107" i="14"/>
  <c r="C110" i="14"/>
  <c r="C113" i="14"/>
  <c r="C114" i="14"/>
  <c r="C119" i="14"/>
  <c r="C122" i="14"/>
  <c r="C125" i="14"/>
  <c r="C128" i="14"/>
  <c r="C131"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6" i="14"/>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62" i="13"/>
  <c r="C73" i="13"/>
  <c r="C74" i="13"/>
  <c r="C58" i="13"/>
  <c r="C63" i="13"/>
  <c r="C64" i="13"/>
  <c r="C68" i="13"/>
  <c r="C69" i="13"/>
  <c r="C75" i="13"/>
  <c r="C59" i="13"/>
  <c r="C65" i="13"/>
  <c r="C70" i="13"/>
  <c r="C71" i="13"/>
  <c r="C76" i="13"/>
  <c r="C77" i="13"/>
  <c r="C66" i="13"/>
  <c r="C72" i="13"/>
  <c r="C78" i="13"/>
  <c r="C60" i="13"/>
  <c r="C61" i="13"/>
  <c r="C67" i="13"/>
  <c r="C6" i="13"/>
  <c r="C16" i="5"/>
  <c r="AQ3" i="5"/>
  <c r="AJ15" i="5"/>
  <c r="M4" i="3"/>
  <c r="K5" i="4"/>
  <c r="AO2" i="4"/>
  <c r="P291" i="14"/>
  <c r="O291" i="14"/>
  <c r="N291" i="14"/>
  <c r="M291" i="14"/>
  <c r="L291" i="14"/>
  <c r="K291" i="14"/>
  <c r="J291" i="14"/>
  <c r="O77" i="6"/>
  <c r="AQ11" i="5"/>
  <c r="C31" i="4"/>
  <c r="Z13" i="4" a="1"/>
  <c r="Z13" i="4" s="1"/>
  <c r="O13" i="4" a="1"/>
  <c r="O13" i="4" s="1"/>
  <c r="E13" i="4" a="1"/>
  <c r="E13" i="4" s="1"/>
  <c r="X12" i="4" a="1"/>
  <c r="X12" i="4" s="1"/>
  <c r="M12" i="4" a="1"/>
  <c r="M12" i="4" s="1"/>
  <c r="AF11" i="4" a="1"/>
  <c r="AF11" i="4" s="1"/>
  <c r="U11" i="4" a="1"/>
  <c r="U11" i="4" s="1"/>
  <c r="J11" i="4" a="1"/>
  <c r="J11" i="4" s="1"/>
  <c r="AG10" i="4" a="1"/>
  <c r="AG10" i="4" s="1"/>
  <c r="T10" i="4" a="1"/>
  <c r="T10" i="4" s="1"/>
  <c r="G10" i="4" a="1"/>
  <c r="G10" i="4" s="1"/>
  <c r="Z9" i="4" a="1"/>
  <c r="Z9" i="4" s="1"/>
  <c r="Q9" i="4" a="1"/>
  <c r="Q9" i="4" s="1"/>
  <c r="D9" i="4" a="1"/>
  <c r="D9" i="4" s="1"/>
  <c r="T8" i="4" a="1"/>
  <c r="T8" i="4" s="1"/>
  <c r="E8" i="4" a="1"/>
  <c r="E8" i="4" s="1"/>
  <c r="X7" i="4" a="1"/>
  <c r="X7" i="4" s="1"/>
  <c r="L7" i="4" a="1"/>
  <c r="L7" i="4" s="1"/>
  <c r="AF6" i="4" a="1"/>
  <c r="AF6" i="4" s="1"/>
  <c r="T6" i="4" a="1"/>
  <c r="T6" i="4" s="1"/>
  <c r="G6" i="4" a="1"/>
  <c r="G6" i="4" s="1"/>
  <c r="Z4" i="4" a="1"/>
  <c r="Z4" i="4" s="1"/>
  <c r="AP4" i="4" s="1"/>
  <c r="M4" i="4" a="1"/>
  <c r="M4" i="4" s="1"/>
  <c r="AB3" i="4" a="1"/>
  <c r="AB3" i="4" s="1"/>
  <c r="N3" i="4" a="1"/>
  <c r="N3" i="4" s="1"/>
  <c r="AH2" i="4" a="1"/>
  <c r="AH2" i="4" s="1"/>
  <c r="R2" i="4" a="1"/>
  <c r="R2" i="4" s="1"/>
  <c r="G2" i="4" a="1"/>
  <c r="G2" i="4" s="1"/>
  <c r="C33" i="5"/>
  <c r="J17" i="3"/>
  <c r="I17" i="3"/>
  <c r="H17" i="3"/>
  <c r="G17" i="3"/>
  <c r="F17" i="3"/>
  <c r="E17" i="3"/>
  <c r="D17" i="3"/>
  <c r="L14" i="3"/>
  <c r="M14" i="3" s="1"/>
  <c r="AM3" i="4"/>
  <c r="P12" i="4" a="1"/>
  <c r="P12" i="4" s="1"/>
  <c r="F12" i="4" a="1"/>
  <c r="F12" i="4" s="1"/>
  <c r="Z11" i="4" a="1"/>
  <c r="Z11" i="4" s="1"/>
  <c r="P11" i="4" a="1"/>
  <c r="P11" i="4" s="1"/>
  <c r="G11" i="4" a="1"/>
  <c r="G11" i="4" s="1"/>
  <c r="AB10" i="4" a="1"/>
  <c r="AB10" i="4" s="1"/>
  <c r="Q10" i="4" a="1"/>
  <c r="Q10" i="4" s="1"/>
  <c r="F10" i="4" a="1"/>
  <c r="F10" i="4" s="1"/>
  <c r="AB9" i="4" a="1"/>
  <c r="AB9" i="4" s="1"/>
  <c r="O9" i="4" a="1"/>
  <c r="O9" i="4" s="1"/>
  <c r="AG8" i="4" a="1"/>
  <c r="AG8" i="4" s="1"/>
  <c r="W8" i="4" a="1"/>
  <c r="W8" i="4" s="1"/>
  <c r="L8" i="4" a="1"/>
  <c r="L8" i="4" s="1"/>
  <c r="AD7" i="4" a="1"/>
  <c r="AD7" i="4" s="1"/>
  <c r="Q7" i="4" a="1"/>
  <c r="Q7" i="4" s="1"/>
  <c r="C34" i="5"/>
  <c r="AA15" i="5"/>
  <c r="S15" i="5"/>
  <c r="C30" i="4"/>
  <c r="AE13" i="4" a="1"/>
  <c r="AE13" i="4" s="1"/>
  <c r="R13" i="4" a="1"/>
  <c r="R13" i="4" s="1"/>
  <c r="F13" i="4" a="1"/>
  <c r="F13" i="4" s="1"/>
  <c r="AB12" i="4" a="1"/>
  <c r="AB12" i="4" s="1"/>
  <c r="O12" i="4" a="1"/>
  <c r="O12" i="4" s="1"/>
  <c r="E12" i="4" a="1"/>
  <c r="E12" i="4" s="1"/>
  <c r="Y11" i="4" a="1"/>
  <c r="Y11" i="4" s="1"/>
  <c r="M11" i="4" a="1"/>
  <c r="M11" i="4" s="1"/>
  <c r="D11" i="4" a="1"/>
  <c r="D11" i="4" s="1"/>
  <c r="X10" i="4" a="1"/>
  <c r="X10" i="4" s="1"/>
  <c r="M10" i="4" a="1"/>
  <c r="M10" i="4" s="1"/>
  <c r="AG9" i="4" a="1"/>
  <c r="AG9" i="4" s="1"/>
  <c r="V9" i="4" a="1"/>
  <c r="V9" i="4" s="1"/>
  <c r="J9" i="4" a="1"/>
  <c r="J9" i="4" s="1"/>
  <c r="AF8" i="4" a="1"/>
  <c r="AF8" i="4" s="1"/>
  <c r="AD11" i="4" a="1"/>
  <c r="AD11" i="4" s="1"/>
  <c r="R11" i="4" a="1"/>
  <c r="R11" i="4" s="1"/>
  <c r="AH10" i="4" a="1"/>
  <c r="AH10" i="4" s="1"/>
  <c r="W10" i="4" a="1"/>
  <c r="W10" i="4" s="1"/>
  <c r="L10" i="4" a="1"/>
  <c r="L10" i="4" s="1"/>
  <c r="AF9" i="4" a="1"/>
  <c r="AF9" i="4" s="1"/>
  <c r="U9" i="4" a="1"/>
  <c r="U9" i="4" s="1"/>
  <c r="I9" i="4" a="1"/>
  <c r="I9" i="4" s="1"/>
  <c r="AD8" i="4" a="1"/>
  <c r="AD8" i="4" s="1"/>
  <c r="U8" i="4" a="1"/>
  <c r="U8" i="4" s="1"/>
  <c r="I8" i="4" a="1"/>
  <c r="I8" i="4" s="1"/>
  <c r="AC7" i="4" a="1"/>
  <c r="AC7" i="4" s="1"/>
  <c r="P7" i="4" a="1"/>
  <c r="P7" i="4" s="1"/>
  <c r="D7" i="4" a="1"/>
  <c r="D7" i="4" s="1"/>
  <c r="W6" i="4" a="1"/>
  <c r="W6" i="4" s="1"/>
  <c r="AO3" i="4"/>
  <c r="C35" i="5"/>
  <c r="AD13" i="4" a="1"/>
  <c r="AD13" i="4" s="1"/>
  <c r="U13" i="4" a="1"/>
  <c r="U13" i="4" s="1"/>
  <c r="I13" i="4" a="1"/>
  <c r="I13" i="4" s="1"/>
  <c r="AE12" i="4" a="1"/>
  <c r="AE12" i="4" s="1"/>
  <c r="T12" i="4" a="1"/>
  <c r="T12" i="4" s="1"/>
  <c r="H12" i="4" a="1"/>
  <c r="H12" i="4" s="1"/>
  <c r="AC11" i="4" a="1"/>
  <c r="AC11" i="4" s="1"/>
  <c r="Q11" i="4" a="1"/>
  <c r="Q11" i="4" s="1"/>
  <c r="H11" i="4" a="1"/>
  <c r="H11" i="4" s="1"/>
  <c r="AF10" i="4" a="1"/>
  <c r="AF10" i="4" s="1"/>
  <c r="V10" i="4" a="1"/>
  <c r="V10" i="4" s="1"/>
  <c r="J10" i="4" a="1"/>
  <c r="J10" i="4" s="1"/>
  <c r="AE9" i="4" a="1"/>
  <c r="AE9" i="4" s="1"/>
  <c r="R9" i="4" a="1"/>
  <c r="R9" i="4" s="1"/>
  <c r="H9" i="4" a="1"/>
  <c r="H9" i="4" s="1"/>
  <c r="P79" i="13"/>
  <c r="O79" i="13"/>
  <c r="N79" i="13"/>
  <c r="M79" i="13"/>
  <c r="L79" i="13"/>
  <c r="K79" i="13"/>
  <c r="J79" i="13"/>
  <c r="C29" i="5"/>
  <c r="AN15" i="5"/>
  <c r="AK15" i="5"/>
  <c r="C32" i="4"/>
  <c r="AB13" i="4" a="1"/>
  <c r="AB13" i="4" s="1"/>
  <c r="V13" i="4" a="1"/>
  <c r="V13" i="4" s="1"/>
  <c r="L13" i="4" a="1"/>
  <c r="L13" i="4" s="1"/>
  <c r="AH12" i="4" a="1"/>
  <c r="AH12" i="4" s="1"/>
  <c r="W12" i="4" a="1"/>
  <c r="W12" i="4" s="1"/>
  <c r="L12" i="4" a="1"/>
  <c r="L12" i="4" s="1"/>
  <c r="AH11" i="4" a="1"/>
  <c r="AH11" i="4" s="1"/>
  <c r="W11" i="4" a="1"/>
  <c r="W11" i="4" s="1"/>
  <c r="AC10" i="4" a="1"/>
  <c r="AC10" i="4" s="1"/>
  <c r="P10" i="4" a="1"/>
  <c r="P10" i="4" s="1"/>
  <c r="AF7" i="4" a="1"/>
  <c r="AF7" i="4" s="1"/>
  <c r="T7" i="4" a="1"/>
  <c r="T7" i="4" s="1"/>
  <c r="G7" i="4" a="1"/>
  <c r="G7" i="4" s="1"/>
  <c r="AB6" i="4" a="1"/>
  <c r="AB6" i="4" s="1"/>
  <c r="C30" i="5"/>
  <c r="AQ13" i="5"/>
  <c r="AC13" i="4" a="1"/>
  <c r="AC13" i="4" s="1"/>
  <c r="Q13" i="4" a="1"/>
  <c r="Q13" i="4" s="1"/>
  <c r="J13" i="4" a="1"/>
  <c r="J13" i="4" s="1"/>
  <c r="AF12" i="4" a="1"/>
  <c r="AF12" i="4" s="1"/>
  <c r="U12" i="4" a="1"/>
  <c r="U12" i="4" s="1"/>
  <c r="G12" i="4" a="1"/>
  <c r="G12" i="4" s="1"/>
  <c r="AB11" i="4" a="1"/>
  <c r="AB11" i="4" s="1"/>
  <c r="O11" i="4" a="1"/>
  <c r="O11" i="4" s="1"/>
  <c r="F11" i="4" a="1"/>
  <c r="F11" i="4" s="1"/>
  <c r="Z10" i="4" a="1"/>
  <c r="Z10" i="4" s="1"/>
  <c r="N10" i="4" a="1"/>
  <c r="N10" i="4" s="1"/>
  <c r="D10" i="4" a="1"/>
  <c r="D10" i="4" s="1"/>
  <c r="W9" i="4" a="1"/>
  <c r="W9" i="4" s="1"/>
  <c r="M9" i="4" a="1"/>
  <c r="M9" i="4" s="1"/>
  <c r="AE8" i="4" a="1"/>
  <c r="AE8" i="4" s="1"/>
  <c r="R8" i="4" a="1"/>
  <c r="R8" i="4" s="1"/>
  <c r="F27" i="7"/>
  <c r="D29" i="7" s="1"/>
  <c r="C32" i="5"/>
  <c r="AQ5" i="5"/>
  <c r="AP15" i="5"/>
  <c r="AO15" i="5"/>
  <c r="AM15" i="5"/>
  <c r="AL15" i="5"/>
  <c r="AI15" i="5"/>
  <c r="K15" i="5"/>
  <c r="C29" i="4"/>
  <c r="AH13" i="4" a="1"/>
  <c r="AH13" i="4" s="1"/>
  <c r="X13" i="4" a="1"/>
  <c r="X13" i="4" s="1"/>
  <c r="N13" i="4" a="1"/>
  <c r="N13" i="4" s="1"/>
  <c r="D13" i="4" a="1"/>
  <c r="D13" i="4" s="1"/>
  <c r="Y12" i="4" a="1"/>
  <c r="Y12" i="4" s="1"/>
  <c r="N12" i="4" a="1"/>
  <c r="N12" i="4" s="1"/>
  <c r="AG11" i="4" a="1"/>
  <c r="AG11" i="4" s="1"/>
  <c r="V11" i="4" a="1"/>
  <c r="V11" i="4" s="1"/>
  <c r="L11" i="4" a="1"/>
  <c r="L11" i="4" s="1"/>
  <c r="AD10" i="4" a="1"/>
  <c r="AD10" i="4" s="1"/>
  <c r="R10" i="4" a="1"/>
  <c r="R10" i="4" s="1"/>
  <c r="AO6" i="4"/>
  <c r="AH6" i="4" a="1"/>
  <c r="AH6" i="4" s="1"/>
  <c r="H6" i="4" a="1"/>
  <c r="H6" i="4" s="1"/>
  <c r="O4" i="4" a="1"/>
  <c r="O4" i="4" s="1"/>
  <c r="M3" i="4" a="1"/>
  <c r="M3" i="4" s="1"/>
  <c r="T2" i="4" a="1"/>
  <c r="T2" i="4" s="1"/>
  <c r="P621" i="2"/>
  <c r="H10" i="4" a="1"/>
  <c r="H10" i="4" s="1"/>
  <c r="AN10" i="4" s="1"/>
  <c r="AC9" i="4" a="1"/>
  <c r="AC9" i="4" s="1"/>
  <c r="P9" i="4" a="1"/>
  <c r="P9" i="4" s="1"/>
  <c r="F9" i="4" a="1"/>
  <c r="F9" i="4" s="1"/>
  <c r="AL9" i="4" s="1"/>
  <c r="AB8" i="4" a="1"/>
  <c r="AB8" i="4" s="1"/>
  <c r="P8" i="4" a="1"/>
  <c r="P8" i="4" s="1"/>
  <c r="AN8" i="4" s="1"/>
  <c r="F8" i="4" a="1"/>
  <c r="F8" i="4" s="1"/>
  <c r="Y7" i="4" a="1"/>
  <c r="Y7" i="4" s="1"/>
  <c r="N7" i="4" a="1"/>
  <c r="N7" i="4" s="1"/>
  <c r="U6" i="4" a="1"/>
  <c r="U6" i="4" s="1"/>
  <c r="AK6" i="4" s="1"/>
  <c r="AB4" i="4" a="1"/>
  <c r="AB4" i="4" s="1"/>
  <c r="AH3" i="4" a="1"/>
  <c r="AH3" i="4" s="1"/>
  <c r="AF2" i="4" a="1"/>
  <c r="AF2" i="4" s="1"/>
  <c r="Z7" i="4" a="1"/>
  <c r="Z7" i="4" s="1"/>
  <c r="AP7" i="4" s="1"/>
  <c r="O7" i="4" a="1"/>
  <c r="O7" i="4" s="1"/>
  <c r="Z6" i="4" a="1"/>
  <c r="Z6" i="4" s="1"/>
  <c r="O6" i="4" a="1"/>
  <c r="O6" i="4" s="1"/>
  <c r="AF4" i="4" a="1"/>
  <c r="AF4" i="4" s="1"/>
  <c r="U4" i="4" a="1"/>
  <c r="U4" i="4" s="1"/>
  <c r="F4" i="4" a="1"/>
  <c r="F4" i="4" s="1"/>
  <c r="X3" i="4" a="1"/>
  <c r="X3" i="4" s="1"/>
  <c r="J3" i="4" a="1"/>
  <c r="J3" i="4" s="1"/>
  <c r="AD2" i="4" a="1"/>
  <c r="AD2" i="4" s="1"/>
  <c r="P2" i="4" a="1"/>
  <c r="P2" i="4" s="1"/>
  <c r="C28" i="4"/>
  <c r="AG13" i="4" a="1"/>
  <c r="AG13" i="4" s="1"/>
  <c r="W13" i="4" a="1"/>
  <c r="W13" i="4" s="1"/>
  <c r="M13" i="4" a="1"/>
  <c r="M13" i="4" s="1"/>
  <c r="AG12" i="4" a="1"/>
  <c r="AG12" i="4" s="1"/>
  <c r="AC5" i="4" a="1"/>
  <c r="AC5" i="4" s="1"/>
  <c r="AB5" i="4" a="1"/>
  <c r="AB5" i="4" s="1"/>
  <c r="Z5" i="4" a="1"/>
  <c r="Z5" i="4" s="1"/>
  <c r="Y5" i="4" a="1"/>
  <c r="Y5" i="4" s="1"/>
  <c r="X5" i="4" a="1"/>
  <c r="X5" i="4" s="1"/>
  <c r="W5" i="4" a="1"/>
  <c r="W5" i="4" s="1"/>
  <c r="V5" i="4" a="1"/>
  <c r="V5" i="4" s="1"/>
  <c r="U5" i="4" a="1"/>
  <c r="U5" i="4" s="1"/>
  <c r="T5" i="4" a="1"/>
  <c r="T5" i="4" s="1"/>
  <c r="R5" i="4" a="1"/>
  <c r="R5" i="4" s="1"/>
  <c r="Q5" i="4" a="1"/>
  <c r="Q5" i="4" s="1"/>
  <c r="AO5" i="4" s="1"/>
  <c r="P5" i="4" a="1"/>
  <c r="P5" i="4" s="1"/>
  <c r="AN5" i="4" s="1"/>
  <c r="O5" i="4" a="1"/>
  <c r="O5" i="4" s="1"/>
  <c r="V8" i="4" l="1"/>
  <c r="AP8" i="4"/>
  <c r="AG7" i="4"/>
  <c r="D12" i="4"/>
  <c r="AC8" i="4"/>
  <c r="N6" i="4"/>
  <c r="AL6" i="4" s="1"/>
  <c r="AL7" i="4"/>
  <c r="AI11" i="4"/>
  <c r="AO11" i="4"/>
  <c r="AL11" i="4"/>
  <c r="AP12" i="4"/>
  <c r="AM7" i="4"/>
  <c r="AN11" i="4"/>
  <c r="AN6" i="4"/>
  <c r="AA4" i="4"/>
  <c r="E2" i="4"/>
  <c r="L2" i="4"/>
  <c r="W14" i="4"/>
  <c r="AK5" i="4"/>
  <c r="AK10" i="4"/>
  <c r="AI4" i="4"/>
  <c r="AP5" i="4"/>
  <c r="AI5" i="4"/>
  <c r="AJ6" i="4"/>
  <c r="AO10" i="4"/>
  <c r="AO9" i="4"/>
  <c r="AA5" i="4"/>
  <c r="AN13" i="4"/>
  <c r="AO4" i="4"/>
  <c r="AI3" i="4"/>
  <c r="AJ17" i="5"/>
  <c r="AP13" i="4"/>
  <c r="AM12" i="4"/>
  <c r="AM4" i="4"/>
  <c r="AL4" i="4"/>
  <c r="AP3" i="4"/>
  <c r="AD14" i="4"/>
  <c r="C34" i="4"/>
  <c r="D7" i="14"/>
  <c r="E7" i="14" s="1"/>
  <c r="F7" i="14"/>
  <c r="G7" i="14"/>
  <c r="H7" i="14"/>
  <c r="I7" i="14"/>
  <c r="J7" i="14"/>
  <c r="K7" i="14"/>
  <c r="L7" i="14"/>
  <c r="M7" i="14"/>
  <c r="N7" i="14"/>
  <c r="O7" i="14"/>
  <c r="P7" i="14"/>
  <c r="D8" i="14"/>
  <c r="E8" i="14" s="1"/>
  <c r="F8" i="14"/>
  <c r="G8" i="14"/>
  <c r="H8" i="14"/>
  <c r="I8" i="14"/>
  <c r="J8" i="14"/>
  <c r="K8" i="14"/>
  <c r="L8" i="14"/>
  <c r="M8" i="14"/>
  <c r="N8" i="14"/>
  <c r="O8" i="14"/>
  <c r="P8" i="14"/>
  <c r="D9" i="14"/>
  <c r="E9" i="14" s="1"/>
  <c r="F9" i="14"/>
  <c r="G9" i="14"/>
  <c r="H9" i="14"/>
  <c r="I9" i="14"/>
  <c r="J9" i="14"/>
  <c r="K9" i="14"/>
  <c r="L9" i="14"/>
  <c r="M9" i="14"/>
  <c r="N9" i="14"/>
  <c r="O9" i="14"/>
  <c r="P9" i="14"/>
  <c r="D10" i="14"/>
  <c r="E10" i="14" s="1"/>
  <c r="F10" i="14"/>
  <c r="G10" i="14"/>
  <c r="H10" i="14"/>
  <c r="I10" i="14"/>
  <c r="J10" i="14"/>
  <c r="K10" i="14"/>
  <c r="L10" i="14"/>
  <c r="M10" i="14"/>
  <c r="N10" i="14"/>
  <c r="O10" i="14"/>
  <c r="P10" i="14"/>
  <c r="D11" i="14"/>
  <c r="E11" i="14" s="1"/>
  <c r="F11" i="14"/>
  <c r="G11" i="14"/>
  <c r="H11" i="14"/>
  <c r="I11" i="14"/>
  <c r="J11" i="14"/>
  <c r="K11" i="14"/>
  <c r="L11" i="14"/>
  <c r="M11" i="14"/>
  <c r="N11" i="14"/>
  <c r="O11" i="14"/>
  <c r="P11" i="14"/>
  <c r="D12" i="14"/>
  <c r="E12" i="14" s="1"/>
  <c r="F12" i="14"/>
  <c r="G12" i="14"/>
  <c r="H12" i="14"/>
  <c r="I12" i="14"/>
  <c r="J12" i="14"/>
  <c r="K12" i="14"/>
  <c r="L12" i="14"/>
  <c r="M12" i="14"/>
  <c r="N12" i="14"/>
  <c r="O12" i="14"/>
  <c r="P12" i="14"/>
  <c r="D13" i="14"/>
  <c r="E13" i="14" s="1"/>
  <c r="F13" i="14"/>
  <c r="G13" i="14"/>
  <c r="H13" i="14"/>
  <c r="I13" i="14"/>
  <c r="J13" i="14"/>
  <c r="K13" i="14"/>
  <c r="L13" i="14"/>
  <c r="M13" i="14"/>
  <c r="N13" i="14"/>
  <c r="O13" i="14"/>
  <c r="P13" i="14"/>
  <c r="D14" i="14"/>
  <c r="E14" i="14" s="1"/>
  <c r="F14" i="14"/>
  <c r="G14" i="14"/>
  <c r="H14" i="14"/>
  <c r="I14" i="14"/>
  <c r="J14" i="14"/>
  <c r="K14" i="14"/>
  <c r="L14" i="14"/>
  <c r="M14" i="14"/>
  <c r="N14" i="14"/>
  <c r="O14" i="14"/>
  <c r="P14" i="14"/>
  <c r="D15" i="14"/>
  <c r="E15" i="14" s="1"/>
  <c r="F15" i="14"/>
  <c r="G15" i="14"/>
  <c r="H15" i="14"/>
  <c r="I15" i="14"/>
  <c r="J15" i="14"/>
  <c r="K15" i="14"/>
  <c r="L15" i="14"/>
  <c r="M15" i="14"/>
  <c r="N15" i="14"/>
  <c r="O15" i="14"/>
  <c r="P15" i="14"/>
  <c r="D16" i="14"/>
  <c r="E16" i="14" s="1"/>
  <c r="F16" i="14"/>
  <c r="G16" i="14"/>
  <c r="H16" i="14"/>
  <c r="I16" i="14"/>
  <c r="J16" i="14"/>
  <c r="K16" i="14"/>
  <c r="L16" i="14"/>
  <c r="M16" i="14"/>
  <c r="N16" i="14"/>
  <c r="O16" i="14"/>
  <c r="P16" i="14"/>
  <c r="D17" i="14"/>
  <c r="E17" i="14" s="1"/>
  <c r="F17" i="14"/>
  <c r="G17" i="14"/>
  <c r="H17" i="14"/>
  <c r="I17" i="14"/>
  <c r="J17" i="14"/>
  <c r="K17" i="14"/>
  <c r="L17" i="14"/>
  <c r="M17" i="14"/>
  <c r="N17" i="14"/>
  <c r="O17" i="14"/>
  <c r="P17" i="14"/>
  <c r="D18" i="14"/>
  <c r="E18" i="14" s="1"/>
  <c r="F18" i="14"/>
  <c r="G18" i="14"/>
  <c r="H18" i="14"/>
  <c r="I18" i="14"/>
  <c r="J18" i="14"/>
  <c r="K18" i="14"/>
  <c r="L18" i="14"/>
  <c r="M18" i="14"/>
  <c r="N18" i="14"/>
  <c r="O18" i="14"/>
  <c r="P18" i="14"/>
  <c r="D19" i="14"/>
  <c r="E19" i="14" s="1"/>
  <c r="F19" i="14"/>
  <c r="G19" i="14"/>
  <c r="H19" i="14"/>
  <c r="I19" i="14"/>
  <c r="J19" i="14"/>
  <c r="K19" i="14"/>
  <c r="L19" i="14"/>
  <c r="M19" i="14"/>
  <c r="N19" i="14"/>
  <c r="O19" i="14"/>
  <c r="P19" i="14"/>
  <c r="D20" i="14"/>
  <c r="E20" i="14" s="1"/>
  <c r="F20" i="14"/>
  <c r="G20" i="14"/>
  <c r="H20" i="14"/>
  <c r="I20" i="14"/>
  <c r="J20" i="14"/>
  <c r="K20" i="14"/>
  <c r="L20" i="14"/>
  <c r="M20" i="14"/>
  <c r="N20" i="14"/>
  <c r="O20" i="14"/>
  <c r="P20" i="14"/>
  <c r="D21" i="14"/>
  <c r="E21" i="14" s="1"/>
  <c r="F21" i="14"/>
  <c r="G21" i="14"/>
  <c r="H21" i="14"/>
  <c r="I21" i="14"/>
  <c r="J21" i="14"/>
  <c r="K21" i="14"/>
  <c r="L21" i="14"/>
  <c r="M21" i="14"/>
  <c r="N21" i="14"/>
  <c r="O21" i="14"/>
  <c r="P21" i="14"/>
  <c r="D22" i="14"/>
  <c r="E22" i="14" s="1"/>
  <c r="F22" i="14"/>
  <c r="G22" i="14"/>
  <c r="H22" i="14"/>
  <c r="I22" i="14"/>
  <c r="J22" i="14"/>
  <c r="K22" i="14"/>
  <c r="L22" i="14"/>
  <c r="M22" i="14"/>
  <c r="N22" i="14"/>
  <c r="O22" i="14"/>
  <c r="P22" i="14"/>
  <c r="D23" i="14"/>
  <c r="E23" i="14" s="1"/>
  <c r="F23" i="14"/>
  <c r="G23" i="14"/>
  <c r="H23" i="14"/>
  <c r="I23" i="14"/>
  <c r="J23" i="14"/>
  <c r="K23" i="14"/>
  <c r="L23" i="14"/>
  <c r="M23" i="14"/>
  <c r="N23" i="14"/>
  <c r="O23" i="14"/>
  <c r="P23" i="14"/>
  <c r="D24" i="14"/>
  <c r="E24" i="14" s="1"/>
  <c r="F24" i="14"/>
  <c r="G24" i="14"/>
  <c r="H24" i="14"/>
  <c r="I24" i="14"/>
  <c r="J24" i="14"/>
  <c r="K24" i="14"/>
  <c r="L24" i="14"/>
  <c r="M24" i="14"/>
  <c r="N24" i="14"/>
  <c r="O24" i="14"/>
  <c r="P24" i="14"/>
  <c r="D25" i="14"/>
  <c r="E25" i="14" s="1"/>
  <c r="F25" i="14"/>
  <c r="G25" i="14"/>
  <c r="H25" i="14"/>
  <c r="I25" i="14"/>
  <c r="J25" i="14"/>
  <c r="K25" i="14"/>
  <c r="L25" i="14"/>
  <c r="M25" i="14"/>
  <c r="N25" i="14"/>
  <c r="O25" i="14"/>
  <c r="P25" i="14"/>
  <c r="D26" i="14"/>
  <c r="E26" i="14" s="1"/>
  <c r="F26" i="14"/>
  <c r="G26" i="14"/>
  <c r="H26" i="14"/>
  <c r="I26" i="14"/>
  <c r="J26" i="14"/>
  <c r="K26" i="14"/>
  <c r="L26" i="14"/>
  <c r="M26" i="14"/>
  <c r="N26" i="14"/>
  <c r="O26" i="14"/>
  <c r="P26" i="14"/>
  <c r="D27" i="14"/>
  <c r="E27" i="14" s="1"/>
  <c r="F27" i="14"/>
  <c r="G27" i="14"/>
  <c r="H27" i="14"/>
  <c r="I27" i="14"/>
  <c r="J27" i="14"/>
  <c r="K27" i="14"/>
  <c r="L27" i="14"/>
  <c r="M27" i="14"/>
  <c r="N27" i="14"/>
  <c r="O27" i="14"/>
  <c r="P27" i="14"/>
  <c r="D28" i="14"/>
  <c r="E28" i="14" s="1"/>
  <c r="F28" i="14"/>
  <c r="G28" i="14"/>
  <c r="H28" i="14"/>
  <c r="I28" i="14"/>
  <c r="J28" i="14"/>
  <c r="K28" i="14"/>
  <c r="L28" i="14"/>
  <c r="M28" i="14"/>
  <c r="N28" i="14"/>
  <c r="O28" i="14"/>
  <c r="P28" i="14"/>
  <c r="D29" i="14"/>
  <c r="E29" i="14" s="1"/>
  <c r="F29" i="14"/>
  <c r="G29" i="14"/>
  <c r="H29" i="14"/>
  <c r="I29" i="14"/>
  <c r="J29" i="14"/>
  <c r="K29" i="14"/>
  <c r="L29" i="14"/>
  <c r="M29" i="14"/>
  <c r="N29" i="14"/>
  <c r="O29" i="14"/>
  <c r="P29" i="14"/>
  <c r="D30" i="14"/>
  <c r="E30" i="14" s="1"/>
  <c r="F30" i="14"/>
  <c r="G30" i="14"/>
  <c r="H30" i="14"/>
  <c r="I30" i="14"/>
  <c r="J30" i="14"/>
  <c r="K30" i="14"/>
  <c r="L30" i="14"/>
  <c r="M30" i="14"/>
  <c r="N30" i="14"/>
  <c r="O30" i="14"/>
  <c r="P30" i="14"/>
  <c r="D31" i="14"/>
  <c r="E31" i="14" s="1"/>
  <c r="F31" i="14"/>
  <c r="G31" i="14"/>
  <c r="H31" i="14"/>
  <c r="I31" i="14"/>
  <c r="J31" i="14"/>
  <c r="K31" i="14"/>
  <c r="L31" i="14"/>
  <c r="M31" i="14"/>
  <c r="N31" i="14"/>
  <c r="O31" i="14"/>
  <c r="P31" i="14"/>
  <c r="D32" i="14"/>
  <c r="E32" i="14" s="1"/>
  <c r="F32" i="14"/>
  <c r="G32" i="14"/>
  <c r="H32" i="14"/>
  <c r="I32" i="14"/>
  <c r="J32" i="14"/>
  <c r="K32" i="14"/>
  <c r="L32" i="14"/>
  <c r="M32" i="14"/>
  <c r="N32" i="14"/>
  <c r="O32" i="14"/>
  <c r="P32" i="14"/>
  <c r="D33" i="14"/>
  <c r="E33" i="14" s="1"/>
  <c r="F33" i="14"/>
  <c r="G33" i="14"/>
  <c r="H33" i="14"/>
  <c r="I33" i="14"/>
  <c r="J33" i="14"/>
  <c r="K33" i="14"/>
  <c r="L33" i="14"/>
  <c r="M33" i="14"/>
  <c r="N33" i="14"/>
  <c r="O33" i="14"/>
  <c r="P33" i="14"/>
  <c r="D34" i="14"/>
  <c r="E34" i="14" s="1"/>
  <c r="F34" i="14"/>
  <c r="G34" i="14"/>
  <c r="H34" i="14"/>
  <c r="I34" i="14"/>
  <c r="J34" i="14"/>
  <c r="K34" i="14"/>
  <c r="L34" i="14"/>
  <c r="M34" i="14"/>
  <c r="N34" i="14"/>
  <c r="O34" i="14"/>
  <c r="P34" i="14"/>
  <c r="D35" i="14"/>
  <c r="E35" i="14" s="1"/>
  <c r="F35" i="14"/>
  <c r="G35" i="14"/>
  <c r="H35" i="14"/>
  <c r="I35" i="14"/>
  <c r="J35" i="14"/>
  <c r="K35" i="14"/>
  <c r="L35" i="14"/>
  <c r="M35" i="14"/>
  <c r="N35" i="14"/>
  <c r="O35" i="14"/>
  <c r="P35" i="14"/>
  <c r="D36" i="14"/>
  <c r="E36" i="14" s="1"/>
  <c r="F36" i="14"/>
  <c r="G36" i="14"/>
  <c r="H36" i="14"/>
  <c r="I36" i="14"/>
  <c r="J36" i="14"/>
  <c r="K36" i="14"/>
  <c r="L36" i="14"/>
  <c r="M36" i="14"/>
  <c r="N36" i="14"/>
  <c r="O36" i="14"/>
  <c r="P36" i="14"/>
  <c r="D37" i="14"/>
  <c r="E37" i="14" s="1"/>
  <c r="F37" i="14"/>
  <c r="G37" i="14"/>
  <c r="H37" i="14"/>
  <c r="I37" i="14"/>
  <c r="J37" i="14"/>
  <c r="K37" i="14"/>
  <c r="L37" i="14"/>
  <c r="M37" i="14"/>
  <c r="N37" i="14"/>
  <c r="O37" i="14"/>
  <c r="P37" i="14"/>
  <c r="D38" i="14"/>
  <c r="E38" i="14" s="1"/>
  <c r="F38" i="14"/>
  <c r="G38" i="14"/>
  <c r="H38" i="14"/>
  <c r="I38" i="14"/>
  <c r="J38" i="14"/>
  <c r="K38" i="14"/>
  <c r="L38" i="14"/>
  <c r="M38" i="14"/>
  <c r="N38" i="14"/>
  <c r="O38" i="14"/>
  <c r="P38" i="14"/>
  <c r="D39" i="14"/>
  <c r="E39" i="14" s="1"/>
  <c r="F39" i="14"/>
  <c r="G39" i="14"/>
  <c r="H39" i="14"/>
  <c r="I39" i="14"/>
  <c r="J39" i="14"/>
  <c r="K39" i="14"/>
  <c r="L39" i="14"/>
  <c r="M39" i="14"/>
  <c r="N39" i="14"/>
  <c r="O39" i="14"/>
  <c r="P39" i="14"/>
  <c r="D40" i="14"/>
  <c r="E40" i="14" s="1"/>
  <c r="F40" i="14"/>
  <c r="G40" i="14"/>
  <c r="H40" i="14"/>
  <c r="I40" i="14"/>
  <c r="J40" i="14"/>
  <c r="K40" i="14"/>
  <c r="L40" i="14"/>
  <c r="M40" i="14"/>
  <c r="N40" i="14"/>
  <c r="O40" i="14"/>
  <c r="P40" i="14"/>
  <c r="D41" i="14"/>
  <c r="E41" i="14" s="1"/>
  <c r="F41" i="14"/>
  <c r="G41" i="14"/>
  <c r="H41" i="14"/>
  <c r="I41" i="14"/>
  <c r="J41" i="14"/>
  <c r="K41" i="14"/>
  <c r="L41" i="14"/>
  <c r="M41" i="14"/>
  <c r="N41" i="14"/>
  <c r="O41" i="14"/>
  <c r="P41" i="14"/>
  <c r="D42" i="14"/>
  <c r="E42" i="14" s="1"/>
  <c r="F42" i="14"/>
  <c r="G42" i="14"/>
  <c r="H42" i="14"/>
  <c r="I42" i="14"/>
  <c r="J42" i="14"/>
  <c r="K42" i="14"/>
  <c r="L42" i="14"/>
  <c r="M42" i="14"/>
  <c r="N42" i="14"/>
  <c r="O42" i="14"/>
  <c r="P42" i="14"/>
  <c r="D43" i="14"/>
  <c r="E43" i="14" s="1"/>
  <c r="F43" i="14"/>
  <c r="G43" i="14"/>
  <c r="H43" i="14"/>
  <c r="I43" i="14"/>
  <c r="J43" i="14"/>
  <c r="K43" i="14"/>
  <c r="L43" i="14"/>
  <c r="M43" i="14"/>
  <c r="N43" i="14"/>
  <c r="O43" i="14"/>
  <c r="P43" i="14"/>
  <c r="D44" i="14"/>
  <c r="E44" i="14" s="1"/>
  <c r="F44" i="14"/>
  <c r="G44" i="14"/>
  <c r="H44" i="14"/>
  <c r="I44" i="14"/>
  <c r="J44" i="14"/>
  <c r="K44" i="14"/>
  <c r="L44" i="14"/>
  <c r="M44" i="14"/>
  <c r="N44" i="14"/>
  <c r="O44" i="14"/>
  <c r="P44" i="14"/>
  <c r="D45" i="14"/>
  <c r="E45" i="14" s="1"/>
  <c r="F45" i="14"/>
  <c r="G45" i="14"/>
  <c r="H45" i="14"/>
  <c r="I45" i="14"/>
  <c r="J45" i="14"/>
  <c r="K45" i="14"/>
  <c r="L45" i="14"/>
  <c r="M45" i="14"/>
  <c r="N45" i="14"/>
  <c r="O45" i="14"/>
  <c r="P45" i="14"/>
  <c r="D46" i="14"/>
  <c r="E46" i="14" s="1"/>
  <c r="F46" i="14"/>
  <c r="G46" i="14"/>
  <c r="H46" i="14"/>
  <c r="I46" i="14"/>
  <c r="J46" i="14"/>
  <c r="K46" i="14"/>
  <c r="L46" i="14"/>
  <c r="M46" i="14"/>
  <c r="N46" i="14"/>
  <c r="O46" i="14"/>
  <c r="P46" i="14"/>
  <c r="D47" i="14"/>
  <c r="E47" i="14" s="1"/>
  <c r="F47" i="14"/>
  <c r="G47" i="14"/>
  <c r="H47" i="14"/>
  <c r="I47" i="14"/>
  <c r="J47" i="14"/>
  <c r="K47" i="14"/>
  <c r="L47" i="14"/>
  <c r="M47" i="14"/>
  <c r="N47" i="14"/>
  <c r="O47" i="14"/>
  <c r="P47" i="14"/>
  <c r="D48" i="14"/>
  <c r="E48" i="14" s="1"/>
  <c r="F48" i="14"/>
  <c r="G48" i="14"/>
  <c r="H48" i="14"/>
  <c r="I48" i="14"/>
  <c r="J48" i="14"/>
  <c r="K48" i="14"/>
  <c r="L48" i="14"/>
  <c r="M48" i="14"/>
  <c r="N48" i="14"/>
  <c r="O48" i="14"/>
  <c r="P48" i="14"/>
  <c r="D49" i="14"/>
  <c r="E49" i="14" s="1"/>
  <c r="F49" i="14"/>
  <c r="G49" i="14"/>
  <c r="H49" i="14"/>
  <c r="I49" i="14"/>
  <c r="J49" i="14"/>
  <c r="K49" i="14"/>
  <c r="L49" i="14"/>
  <c r="M49" i="14"/>
  <c r="N49" i="14"/>
  <c r="O49" i="14"/>
  <c r="P49" i="14"/>
  <c r="D50" i="14"/>
  <c r="E50" i="14" s="1"/>
  <c r="F50" i="14"/>
  <c r="G50" i="14"/>
  <c r="H50" i="14"/>
  <c r="I50" i="14"/>
  <c r="J50" i="14"/>
  <c r="K50" i="14"/>
  <c r="L50" i="14"/>
  <c r="M50" i="14"/>
  <c r="N50" i="14"/>
  <c r="O50" i="14"/>
  <c r="P50" i="14"/>
  <c r="D51" i="14"/>
  <c r="E51" i="14" s="1"/>
  <c r="F51" i="14"/>
  <c r="G51" i="14"/>
  <c r="H51" i="14"/>
  <c r="I51" i="14"/>
  <c r="J51" i="14"/>
  <c r="K51" i="14"/>
  <c r="L51" i="14"/>
  <c r="M51" i="14"/>
  <c r="N51" i="14"/>
  <c r="O51" i="14"/>
  <c r="P51" i="14"/>
  <c r="D52" i="14"/>
  <c r="E52" i="14" s="1"/>
  <c r="F52" i="14"/>
  <c r="G52" i="14"/>
  <c r="H52" i="14"/>
  <c r="I52" i="14"/>
  <c r="J52" i="14"/>
  <c r="K52" i="14"/>
  <c r="L52" i="14"/>
  <c r="M52" i="14"/>
  <c r="N52" i="14"/>
  <c r="O52" i="14"/>
  <c r="P52" i="14"/>
  <c r="D53" i="14"/>
  <c r="E53" i="14" s="1"/>
  <c r="F53" i="14"/>
  <c r="G53" i="14"/>
  <c r="H53" i="14"/>
  <c r="I53" i="14"/>
  <c r="J53" i="14"/>
  <c r="K53" i="14"/>
  <c r="L53" i="14"/>
  <c r="M53" i="14"/>
  <c r="N53" i="14"/>
  <c r="O53" i="14"/>
  <c r="P53" i="14"/>
  <c r="D54" i="14"/>
  <c r="E54" i="14" s="1"/>
  <c r="F54" i="14"/>
  <c r="G54" i="14"/>
  <c r="H54" i="14"/>
  <c r="I54" i="14"/>
  <c r="J54" i="14"/>
  <c r="K54" i="14"/>
  <c r="L54" i="14"/>
  <c r="M54" i="14"/>
  <c r="N54" i="14"/>
  <c r="O54" i="14"/>
  <c r="P54" i="14"/>
  <c r="D55" i="14"/>
  <c r="E55" i="14" s="1"/>
  <c r="F55" i="14"/>
  <c r="G55" i="14"/>
  <c r="H55" i="14"/>
  <c r="I55" i="14"/>
  <c r="J55" i="14"/>
  <c r="K55" i="14"/>
  <c r="L55" i="14"/>
  <c r="M55" i="14"/>
  <c r="N55" i="14"/>
  <c r="O55" i="14"/>
  <c r="P55" i="14"/>
  <c r="D56" i="14"/>
  <c r="E56" i="14" s="1"/>
  <c r="F56" i="14"/>
  <c r="G56" i="14"/>
  <c r="H56" i="14"/>
  <c r="I56" i="14"/>
  <c r="J56" i="14"/>
  <c r="K56" i="14"/>
  <c r="L56" i="14"/>
  <c r="M56" i="14"/>
  <c r="N56" i="14"/>
  <c r="O56" i="14"/>
  <c r="P56" i="14"/>
  <c r="D57" i="14"/>
  <c r="E57" i="14" s="1"/>
  <c r="F57" i="14"/>
  <c r="G57" i="14"/>
  <c r="H57" i="14"/>
  <c r="I57" i="14"/>
  <c r="J57" i="14"/>
  <c r="K57" i="14"/>
  <c r="L57" i="14"/>
  <c r="M57" i="14"/>
  <c r="N57" i="14"/>
  <c r="O57" i="14"/>
  <c r="P57" i="14"/>
  <c r="D58" i="14"/>
  <c r="E58" i="14" s="1"/>
  <c r="F58" i="14"/>
  <c r="G58" i="14"/>
  <c r="H58" i="14"/>
  <c r="I58" i="14"/>
  <c r="J58" i="14"/>
  <c r="K58" i="14"/>
  <c r="L58" i="14"/>
  <c r="M58" i="14"/>
  <c r="N58" i="14"/>
  <c r="O58" i="14"/>
  <c r="P58" i="14"/>
  <c r="D59" i="14"/>
  <c r="E59" i="14" s="1"/>
  <c r="F59" i="14"/>
  <c r="G59" i="14"/>
  <c r="H59" i="14"/>
  <c r="I59" i="14"/>
  <c r="J59" i="14"/>
  <c r="K59" i="14"/>
  <c r="L59" i="14"/>
  <c r="M59" i="14"/>
  <c r="N59" i="14"/>
  <c r="O59" i="14"/>
  <c r="P59" i="14"/>
  <c r="D60" i="14"/>
  <c r="E60" i="14" s="1"/>
  <c r="F60" i="14"/>
  <c r="G60" i="14"/>
  <c r="H60" i="14"/>
  <c r="I60" i="14"/>
  <c r="J60" i="14"/>
  <c r="K60" i="14"/>
  <c r="L60" i="14"/>
  <c r="M60" i="14"/>
  <c r="N60" i="14"/>
  <c r="O60" i="14"/>
  <c r="P60" i="14"/>
  <c r="D61" i="14"/>
  <c r="E61" i="14" s="1"/>
  <c r="F61" i="14"/>
  <c r="G61" i="14"/>
  <c r="H61" i="14"/>
  <c r="I61" i="14"/>
  <c r="J61" i="14"/>
  <c r="K61" i="14"/>
  <c r="L61" i="14"/>
  <c r="M61" i="14"/>
  <c r="N61" i="14"/>
  <c r="O61" i="14"/>
  <c r="P61" i="14"/>
  <c r="D62" i="14"/>
  <c r="E62" i="14" s="1"/>
  <c r="F62" i="14"/>
  <c r="G62" i="14"/>
  <c r="H62" i="14"/>
  <c r="I62" i="14"/>
  <c r="J62" i="14"/>
  <c r="K62" i="14"/>
  <c r="L62" i="14"/>
  <c r="M62" i="14"/>
  <c r="N62" i="14"/>
  <c r="O62" i="14"/>
  <c r="P62" i="14"/>
  <c r="D63" i="14"/>
  <c r="E63" i="14" s="1"/>
  <c r="F63" i="14"/>
  <c r="G63" i="14"/>
  <c r="H63" i="14"/>
  <c r="I63" i="14"/>
  <c r="J63" i="14"/>
  <c r="K63" i="14"/>
  <c r="L63" i="14"/>
  <c r="M63" i="14"/>
  <c r="N63" i="14"/>
  <c r="O63" i="14"/>
  <c r="P63" i="14"/>
  <c r="D64" i="14"/>
  <c r="E64" i="14" s="1"/>
  <c r="F64" i="14"/>
  <c r="G64" i="14"/>
  <c r="H64" i="14"/>
  <c r="I64" i="14"/>
  <c r="J64" i="14"/>
  <c r="K64" i="14"/>
  <c r="L64" i="14"/>
  <c r="M64" i="14"/>
  <c r="N64" i="14"/>
  <c r="O64" i="14"/>
  <c r="P64" i="14"/>
  <c r="D65" i="14"/>
  <c r="E65" i="14" s="1"/>
  <c r="F65" i="14"/>
  <c r="G65" i="14"/>
  <c r="H65" i="14"/>
  <c r="I65" i="14"/>
  <c r="J65" i="14"/>
  <c r="K65" i="14"/>
  <c r="L65" i="14"/>
  <c r="M65" i="14"/>
  <c r="N65" i="14"/>
  <c r="O65" i="14"/>
  <c r="P65" i="14"/>
  <c r="D66" i="14"/>
  <c r="E66" i="14" s="1"/>
  <c r="F66" i="14"/>
  <c r="G66" i="14"/>
  <c r="H66" i="14"/>
  <c r="I66" i="14"/>
  <c r="J66" i="14"/>
  <c r="K66" i="14"/>
  <c r="L66" i="14"/>
  <c r="M66" i="14"/>
  <c r="N66" i="14"/>
  <c r="O66" i="14"/>
  <c r="P66" i="14"/>
  <c r="D67" i="14"/>
  <c r="E67" i="14" s="1"/>
  <c r="F67" i="14"/>
  <c r="G67" i="14"/>
  <c r="H67" i="14"/>
  <c r="I67" i="14"/>
  <c r="J67" i="14"/>
  <c r="K67" i="14"/>
  <c r="L67" i="14"/>
  <c r="M67" i="14"/>
  <c r="N67" i="14"/>
  <c r="O67" i="14"/>
  <c r="P67" i="14"/>
  <c r="D68" i="14"/>
  <c r="E68" i="14" s="1"/>
  <c r="F68" i="14"/>
  <c r="G68" i="14"/>
  <c r="H68" i="14"/>
  <c r="I68" i="14"/>
  <c r="J68" i="14"/>
  <c r="K68" i="14"/>
  <c r="L68" i="14"/>
  <c r="M68" i="14"/>
  <c r="N68" i="14"/>
  <c r="O68" i="14"/>
  <c r="P68" i="14"/>
  <c r="D69" i="14"/>
  <c r="E69" i="14" s="1"/>
  <c r="F69" i="14"/>
  <c r="G69" i="14"/>
  <c r="H69" i="14"/>
  <c r="I69" i="14"/>
  <c r="J69" i="14"/>
  <c r="K69" i="14"/>
  <c r="L69" i="14"/>
  <c r="M69" i="14"/>
  <c r="N69" i="14"/>
  <c r="O69" i="14"/>
  <c r="P69" i="14"/>
  <c r="D70" i="14"/>
  <c r="E70" i="14" s="1"/>
  <c r="F70" i="14"/>
  <c r="G70" i="14"/>
  <c r="H70" i="14"/>
  <c r="I70" i="14"/>
  <c r="J70" i="14"/>
  <c r="K70" i="14"/>
  <c r="L70" i="14"/>
  <c r="M70" i="14"/>
  <c r="N70" i="14"/>
  <c r="O70" i="14"/>
  <c r="P70" i="14"/>
  <c r="D71" i="14"/>
  <c r="E71" i="14" s="1"/>
  <c r="F71" i="14"/>
  <c r="G71" i="14"/>
  <c r="H71" i="14"/>
  <c r="I71" i="14"/>
  <c r="J71" i="14"/>
  <c r="K71" i="14"/>
  <c r="L71" i="14"/>
  <c r="M71" i="14"/>
  <c r="N71" i="14"/>
  <c r="O71" i="14"/>
  <c r="P71" i="14"/>
  <c r="D72" i="14"/>
  <c r="E72" i="14" s="1"/>
  <c r="F72" i="14"/>
  <c r="G72" i="14"/>
  <c r="H72" i="14"/>
  <c r="I72" i="14"/>
  <c r="J72" i="14"/>
  <c r="K72" i="14"/>
  <c r="L72" i="14"/>
  <c r="M72" i="14"/>
  <c r="N72" i="14"/>
  <c r="O72" i="14"/>
  <c r="P72" i="14"/>
  <c r="D73" i="14"/>
  <c r="E73" i="14" s="1"/>
  <c r="F73" i="14"/>
  <c r="G73" i="14"/>
  <c r="H73" i="14"/>
  <c r="I73" i="14"/>
  <c r="J73" i="14"/>
  <c r="K73" i="14"/>
  <c r="L73" i="14"/>
  <c r="M73" i="14"/>
  <c r="N73" i="14"/>
  <c r="O73" i="14"/>
  <c r="P73" i="14"/>
  <c r="D74" i="14"/>
  <c r="E74" i="14" s="1"/>
  <c r="F74" i="14"/>
  <c r="G74" i="14"/>
  <c r="H74" i="14"/>
  <c r="I74" i="14"/>
  <c r="J74" i="14"/>
  <c r="K74" i="14"/>
  <c r="L74" i="14"/>
  <c r="M74" i="14"/>
  <c r="N74" i="14"/>
  <c r="O74" i="14"/>
  <c r="P74" i="14"/>
  <c r="D75" i="14"/>
  <c r="E75" i="14" s="1"/>
  <c r="F75" i="14"/>
  <c r="G75" i="14"/>
  <c r="H75" i="14"/>
  <c r="I75" i="14"/>
  <c r="J75" i="14"/>
  <c r="K75" i="14"/>
  <c r="L75" i="14"/>
  <c r="M75" i="14"/>
  <c r="N75" i="14"/>
  <c r="O75" i="14"/>
  <c r="P75" i="14"/>
  <c r="D76" i="14"/>
  <c r="E76" i="14" s="1"/>
  <c r="F76" i="14"/>
  <c r="G76" i="14"/>
  <c r="H76" i="14"/>
  <c r="I76" i="14"/>
  <c r="J76" i="14"/>
  <c r="K76" i="14"/>
  <c r="L76" i="14"/>
  <c r="M76" i="14"/>
  <c r="N76" i="14"/>
  <c r="O76" i="14"/>
  <c r="P76" i="14"/>
  <c r="D77" i="14"/>
  <c r="E77" i="14" s="1"/>
  <c r="F77" i="14"/>
  <c r="G77" i="14"/>
  <c r="H77" i="14"/>
  <c r="I77" i="14"/>
  <c r="J77" i="14"/>
  <c r="K77" i="14"/>
  <c r="L77" i="14"/>
  <c r="M77" i="14"/>
  <c r="N77" i="14"/>
  <c r="O77" i="14"/>
  <c r="P77" i="14"/>
  <c r="D78" i="14"/>
  <c r="E78" i="14" s="1"/>
  <c r="F78" i="14"/>
  <c r="G78" i="14"/>
  <c r="H78" i="14"/>
  <c r="I78" i="14"/>
  <c r="J78" i="14"/>
  <c r="K78" i="14"/>
  <c r="L78" i="14"/>
  <c r="M78" i="14"/>
  <c r="N78" i="14"/>
  <c r="O78" i="14"/>
  <c r="P78" i="14"/>
  <c r="D79" i="14"/>
  <c r="E79" i="14" s="1"/>
  <c r="F79" i="14"/>
  <c r="G79" i="14"/>
  <c r="H79" i="14"/>
  <c r="I79" i="14"/>
  <c r="J79" i="14"/>
  <c r="K79" i="14"/>
  <c r="L79" i="14"/>
  <c r="M79" i="14"/>
  <c r="N79" i="14"/>
  <c r="O79" i="14"/>
  <c r="P79" i="14"/>
  <c r="D80" i="14"/>
  <c r="E80" i="14" s="1"/>
  <c r="F80" i="14"/>
  <c r="G80" i="14"/>
  <c r="H80" i="14"/>
  <c r="I80" i="14"/>
  <c r="J80" i="14"/>
  <c r="K80" i="14"/>
  <c r="L80" i="14"/>
  <c r="M80" i="14"/>
  <c r="N80" i="14"/>
  <c r="O80" i="14"/>
  <c r="P80" i="14"/>
  <c r="D81" i="14"/>
  <c r="E81" i="14" s="1"/>
  <c r="F81" i="14"/>
  <c r="G81" i="14"/>
  <c r="H81" i="14"/>
  <c r="I81" i="14"/>
  <c r="J81" i="14"/>
  <c r="K81" i="14"/>
  <c r="L81" i="14"/>
  <c r="M81" i="14"/>
  <c r="N81" i="14"/>
  <c r="O81" i="14"/>
  <c r="P81" i="14"/>
  <c r="D82" i="14"/>
  <c r="E82" i="14" s="1"/>
  <c r="F82" i="14"/>
  <c r="G82" i="14"/>
  <c r="H82" i="14"/>
  <c r="I82" i="14"/>
  <c r="J82" i="14"/>
  <c r="K82" i="14"/>
  <c r="L82" i="14"/>
  <c r="M82" i="14"/>
  <c r="N82" i="14"/>
  <c r="O82" i="14"/>
  <c r="P82" i="14"/>
  <c r="D83" i="14"/>
  <c r="E83" i="14" s="1"/>
  <c r="F83" i="14"/>
  <c r="G83" i="14"/>
  <c r="H83" i="14"/>
  <c r="I83" i="14"/>
  <c r="J83" i="14"/>
  <c r="K83" i="14"/>
  <c r="L83" i="14"/>
  <c r="M83" i="14"/>
  <c r="N83" i="14"/>
  <c r="O83" i="14"/>
  <c r="P83" i="14"/>
  <c r="D84" i="14"/>
  <c r="E84" i="14" s="1"/>
  <c r="F84" i="14"/>
  <c r="G84" i="14"/>
  <c r="H84" i="14"/>
  <c r="I84" i="14"/>
  <c r="J84" i="14"/>
  <c r="K84" i="14"/>
  <c r="L84" i="14"/>
  <c r="M84" i="14"/>
  <c r="N84" i="14"/>
  <c r="O84" i="14"/>
  <c r="P84" i="14"/>
  <c r="D85" i="14"/>
  <c r="E85" i="14" s="1"/>
  <c r="F85" i="14"/>
  <c r="G85" i="14"/>
  <c r="H85" i="14"/>
  <c r="I85" i="14"/>
  <c r="J85" i="14"/>
  <c r="K85" i="14"/>
  <c r="L85" i="14"/>
  <c r="M85" i="14"/>
  <c r="N85" i="14"/>
  <c r="O85" i="14"/>
  <c r="P85" i="14"/>
  <c r="D86" i="14"/>
  <c r="E86" i="14" s="1"/>
  <c r="F86" i="14"/>
  <c r="G86" i="14"/>
  <c r="H86" i="14"/>
  <c r="I86" i="14"/>
  <c r="J86" i="14"/>
  <c r="K86" i="14"/>
  <c r="L86" i="14"/>
  <c r="M86" i="14"/>
  <c r="N86" i="14"/>
  <c r="O86" i="14"/>
  <c r="P86" i="14"/>
  <c r="D136" i="14"/>
  <c r="E136" i="14" s="1"/>
  <c r="F136" i="14"/>
  <c r="G136" i="14"/>
  <c r="H136" i="14"/>
  <c r="I136" i="14"/>
  <c r="J136" i="14"/>
  <c r="K136" i="14"/>
  <c r="L136" i="14"/>
  <c r="M136" i="14"/>
  <c r="N136" i="14"/>
  <c r="O136" i="14"/>
  <c r="P136" i="14"/>
  <c r="D137" i="14"/>
  <c r="E137" i="14" s="1"/>
  <c r="F137" i="14"/>
  <c r="G137" i="14"/>
  <c r="H137" i="14"/>
  <c r="I137" i="14"/>
  <c r="J137" i="14"/>
  <c r="K137" i="14"/>
  <c r="L137" i="14"/>
  <c r="M137" i="14"/>
  <c r="N137" i="14"/>
  <c r="O137" i="14"/>
  <c r="P137" i="14"/>
  <c r="D88" i="14"/>
  <c r="E88" i="14" s="1"/>
  <c r="F88" i="14"/>
  <c r="G88" i="14"/>
  <c r="H88" i="14"/>
  <c r="I88" i="14"/>
  <c r="J88" i="14"/>
  <c r="K88" i="14"/>
  <c r="L88" i="14"/>
  <c r="M88" i="14"/>
  <c r="N88" i="14"/>
  <c r="O88" i="14"/>
  <c r="P88" i="14"/>
  <c r="D91" i="14"/>
  <c r="E91" i="14" s="1"/>
  <c r="F91" i="14"/>
  <c r="G91" i="14"/>
  <c r="H91" i="14"/>
  <c r="I91" i="14"/>
  <c r="J91" i="14"/>
  <c r="K91" i="14"/>
  <c r="L91" i="14"/>
  <c r="M91" i="14"/>
  <c r="N91" i="14"/>
  <c r="O91" i="14"/>
  <c r="P91" i="14"/>
  <c r="D98" i="14"/>
  <c r="E98" i="14" s="1"/>
  <c r="F98" i="14"/>
  <c r="G98" i="14"/>
  <c r="H98" i="14"/>
  <c r="I98" i="14"/>
  <c r="J98" i="14"/>
  <c r="K98" i="14"/>
  <c r="L98" i="14"/>
  <c r="M98" i="14"/>
  <c r="N98" i="14"/>
  <c r="O98" i="14"/>
  <c r="P98" i="14"/>
  <c r="D101" i="14"/>
  <c r="E101" i="14" s="1"/>
  <c r="F101" i="14"/>
  <c r="G101" i="14"/>
  <c r="H101" i="14"/>
  <c r="I101" i="14"/>
  <c r="J101" i="14"/>
  <c r="K101" i="14"/>
  <c r="L101" i="14"/>
  <c r="M101" i="14"/>
  <c r="N101" i="14"/>
  <c r="O101" i="14"/>
  <c r="P101" i="14"/>
  <c r="D102" i="14"/>
  <c r="E102" i="14" s="1"/>
  <c r="F102" i="14"/>
  <c r="G102" i="14"/>
  <c r="H102" i="14"/>
  <c r="I102" i="14"/>
  <c r="J102" i="14"/>
  <c r="K102" i="14"/>
  <c r="L102" i="14"/>
  <c r="M102" i="14"/>
  <c r="N102" i="14"/>
  <c r="O102" i="14"/>
  <c r="P102" i="14"/>
  <c r="D104" i="14"/>
  <c r="E104" i="14" s="1"/>
  <c r="F104" i="14"/>
  <c r="G104" i="14"/>
  <c r="H104" i="14"/>
  <c r="I104" i="14"/>
  <c r="J104" i="14"/>
  <c r="K104" i="14"/>
  <c r="L104" i="14"/>
  <c r="M104" i="14"/>
  <c r="N104" i="14"/>
  <c r="O104" i="14"/>
  <c r="P104" i="14"/>
  <c r="G105" i="14"/>
  <c r="I105" i="14"/>
  <c r="J105" i="14"/>
  <c r="K105" i="14"/>
  <c r="L105" i="14"/>
  <c r="M105" i="14"/>
  <c r="N105" i="14"/>
  <c r="O105" i="14"/>
  <c r="P105" i="14"/>
  <c r="D105" i="14"/>
  <c r="E105" i="14" s="1"/>
  <c r="F105" i="14"/>
  <c r="H105" i="14"/>
  <c r="D108" i="14"/>
  <c r="E108" i="14" s="1"/>
  <c r="F108" i="14"/>
  <c r="G108" i="14"/>
  <c r="H108" i="14"/>
  <c r="I108" i="14"/>
  <c r="J108" i="14"/>
  <c r="K108" i="14"/>
  <c r="L108" i="14"/>
  <c r="M108" i="14"/>
  <c r="N108" i="14"/>
  <c r="O108" i="14"/>
  <c r="P108" i="14"/>
  <c r="D111" i="14"/>
  <c r="E111" i="14" s="1"/>
  <c r="F111" i="14"/>
  <c r="G111" i="14"/>
  <c r="H111" i="14"/>
  <c r="I111" i="14"/>
  <c r="J111" i="14"/>
  <c r="K111" i="14"/>
  <c r="L111" i="14"/>
  <c r="M111" i="14"/>
  <c r="N111" i="14"/>
  <c r="O111" i="14"/>
  <c r="P111" i="14"/>
  <c r="D116" i="14"/>
  <c r="E116" i="14" s="1"/>
  <c r="F116" i="14"/>
  <c r="G116" i="14"/>
  <c r="H116" i="14"/>
  <c r="I116" i="14"/>
  <c r="J116" i="14"/>
  <c r="K116" i="14"/>
  <c r="L116" i="14"/>
  <c r="M116" i="14"/>
  <c r="N116" i="14"/>
  <c r="O116" i="14"/>
  <c r="P116" i="14"/>
  <c r="D117" i="14"/>
  <c r="E117" i="14" s="1"/>
  <c r="F117" i="14"/>
  <c r="G117" i="14"/>
  <c r="H117" i="14"/>
  <c r="I117" i="14"/>
  <c r="J117" i="14"/>
  <c r="K117" i="14"/>
  <c r="L117" i="14"/>
  <c r="M117" i="14"/>
  <c r="N117" i="14"/>
  <c r="O117" i="14"/>
  <c r="P117" i="14"/>
  <c r="D120" i="14"/>
  <c r="E120" i="14" s="1"/>
  <c r="F120" i="14"/>
  <c r="G120" i="14"/>
  <c r="H120" i="14"/>
  <c r="I120" i="14"/>
  <c r="J120" i="14"/>
  <c r="K120" i="14"/>
  <c r="L120" i="14"/>
  <c r="M120" i="14"/>
  <c r="N120" i="14"/>
  <c r="O120" i="14"/>
  <c r="P120" i="14"/>
  <c r="D123" i="14"/>
  <c r="E123" i="14" s="1"/>
  <c r="F123" i="14"/>
  <c r="G123" i="14"/>
  <c r="H123" i="14"/>
  <c r="I123" i="14"/>
  <c r="J123" i="14"/>
  <c r="K123" i="14"/>
  <c r="L123" i="14"/>
  <c r="M123" i="14"/>
  <c r="N123" i="14"/>
  <c r="O123" i="14"/>
  <c r="P123" i="14"/>
  <c r="D126" i="14"/>
  <c r="E126" i="14" s="1"/>
  <c r="F126" i="14"/>
  <c r="G126" i="14"/>
  <c r="H126" i="14"/>
  <c r="I126" i="14"/>
  <c r="J126" i="14"/>
  <c r="K126" i="14"/>
  <c r="L126" i="14"/>
  <c r="M126" i="14"/>
  <c r="N126" i="14"/>
  <c r="O126" i="14"/>
  <c r="P126" i="14"/>
  <c r="D129" i="14"/>
  <c r="E129" i="14" s="1"/>
  <c r="F129" i="14"/>
  <c r="G129" i="14"/>
  <c r="H129" i="14"/>
  <c r="I129" i="14"/>
  <c r="J129" i="14"/>
  <c r="K129" i="14"/>
  <c r="L129" i="14"/>
  <c r="M129" i="14"/>
  <c r="N129" i="14"/>
  <c r="O129" i="14"/>
  <c r="P129" i="14"/>
  <c r="D132" i="14"/>
  <c r="E132" i="14" s="1"/>
  <c r="F132" i="14"/>
  <c r="G132" i="14"/>
  <c r="H132" i="14"/>
  <c r="I132" i="14"/>
  <c r="J132" i="14"/>
  <c r="K132" i="14"/>
  <c r="L132" i="14"/>
  <c r="M132" i="14"/>
  <c r="N132" i="14"/>
  <c r="O132" i="14"/>
  <c r="P132" i="14"/>
  <c r="D134" i="14"/>
  <c r="E134" i="14" s="1"/>
  <c r="F134" i="14"/>
  <c r="G134" i="14"/>
  <c r="H134" i="14"/>
  <c r="I134" i="14"/>
  <c r="J134" i="14"/>
  <c r="K134" i="14"/>
  <c r="L134" i="14"/>
  <c r="M134" i="14"/>
  <c r="N134" i="14"/>
  <c r="O134" i="14"/>
  <c r="P134" i="14"/>
  <c r="D135" i="14"/>
  <c r="E135" i="14" s="1"/>
  <c r="F135" i="14"/>
  <c r="G135" i="14"/>
  <c r="H135" i="14"/>
  <c r="I135" i="14"/>
  <c r="J135" i="14"/>
  <c r="K135" i="14"/>
  <c r="L135" i="14"/>
  <c r="M135" i="14"/>
  <c r="N135" i="14"/>
  <c r="O135" i="14"/>
  <c r="P135" i="14"/>
  <c r="D138" i="14"/>
  <c r="E138" i="14" s="1"/>
  <c r="F138" i="14"/>
  <c r="G138" i="14"/>
  <c r="H138" i="14"/>
  <c r="I138" i="14"/>
  <c r="J138" i="14"/>
  <c r="K138" i="14"/>
  <c r="L138" i="14"/>
  <c r="M138" i="14"/>
  <c r="N138" i="14"/>
  <c r="O138" i="14"/>
  <c r="P138" i="14"/>
  <c r="D139" i="14"/>
  <c r="E139" i="14" s="1"/>
  <c r="F139" i="14"/>
  <c r="G139" i="14"/>
  <c r="H139" i="14"/>
  <c r="I139" i="14"/>
  <c r="J139" i="14"/>
  <c r="K139" i="14"/>
  <c r="L139" i="14"/>
  <c r="M139" i="14"/>
  <c r="N139" i="14"/>
  <c r="O139" i="14"/>
  <c r="P139" i="14"/>
  <c r="D140" i="14"/>
  <c r="E140" i="14" s="1"/>
  <c r="F140" i="14"/>
  <c r="G140" i="14"/>
  <c r="H140" i="14"/>
  <c r="I140" i="14"/>
  <c r="J140" i="14"/>
  <c r="K140" i="14"/>
  <c r="L140" i="14"/>
  <c r="M140" i="14"/>
  <c r="N140" i="14"/>
  <c r="O140" i="14"/>
  <c r="P140" i="14"/>
  <c r="D141" i="14"/>
  <c r="E141" i="14" s="1"/>
  <c r="F141" i="14"/>
  <c r="G141" i="14"/>
  <c r="H141" i="14"/>
  <c r="I141" i="14"/>
  <c r="J141" i="14"/>
  <c r="K141" i="14"/>
  <c r="L141" i="14"/>
  <c r="M141" i="14"/>
  <c r="N141" i="14"/>
  <c r="O141" i="14"/>
  <c r="P141" i="14"/>
  <c r="D142" i="14"/>
  <c r="E142" i="14" s="1"/>
  <c r="F142" i="14"/>
  <c r="G142" i="14"/>
  <c r="H142" i="14"/>
  <c r="I142" i="14"/>
  <c r="J142" i="14"/>
  <c r="K142" i="14"/>
  <c r="L142" i="14"/>
  <c r="M142" i="14"/>
  <c r="N142" i="14"/>
  <c r="O142" i="14"/>
  <c r="P142" i="14"/>
  <c r="D143" i="14"/>
  <c r="E143" i="14" s="1"/>
  <c r="F143" i="14"/>
  <c r="G143" i="14"/>
  <c r="H143" i="14"/>
  <c r="I143" i="14"/>
  <c r="J143" i="14"/>
  <c r="K143" i="14"/>
  <c r="L143" i="14"/>
  <c r="M143" i="14"/>
  <c r="N143" i="14"/>
  <c r="O143" i="14"/>
  <c r="P143" i="14"/>
  <c r="D144" i="14"/>
  <c r="E144" i="14" s="1"/>
  <c r="F144" i="14"/>
  <c r="G144" i="14"/>
  <c r="H144" i="14"/>
  <c r="I144" i="14"/>
  <c r="J144" i="14"/>
  <c r="K144" i="14"/>
  <c r="L144" i="14"/>
  <c r="M144" i="14"/>
  <c r="N144" i="14"/>
  <c r="O144" i="14"/>
  <c r="P144" i="14"/>
  <c r="D145" i="14"/>
  <c r="E145" i="14" s="1"/>
  <c r="F145" i="14"/>
  <c r="G145" i="14"/>
  <c r="H145" i="14"/>
  <c r="I145" i="14"/>
  <c r="J145" i="14"/>
  <c r="K145" i="14"/>
  <c r="L145" i="14"/>
  <c r="M145" i="14"/>
  <c r="N145" i="14"/>
  <c r="O145" i="14"/>
  <c r="P145" i="14"/>
  <c r="D146" i="14"/>
  <c r="E146" i="14" s="1"/>
  <c r="F146" i="14"/>
  <c r="G146" i="14"/>
  <c r="H146" i="14"/>
  <c r="I146" i="14"/>
  <c r="J146" i="14"/>
  <c r="K146" i="14"/>
  <c r="L146" i="14"/>
  <c r="M146" i="14"/>
  <c r="N146" i="14"/>
  <c r="O146" i="14"/>
  <c r="P146" i="14"/>
  <c r="D147" i="14"/>
  <c r="E147" i="14" s="1"/>
  <c r="F147" i="14"/>
  <c r="G147" i="14"/>
  <c r="H147" i="14"/>
  <c r="I147" i="14"/>
  <c r="J147" i="14"/>
  <c r="K147" i="14"/>
  <c r="L147" i="14"/>
  <c r="M147" i="14"/>
  <c r="N147" i="14"/>
  <c r="O147" i="14"/>
  <c r="P147" i="14"/>
  <c r="D148" i="14"/>
  <c r="E148" i="14" s="1"/>
  <c r="F148" i="14"/>
  <c r="G148" i="14"/>
  <c r="H148" i="14"/>
  <c r="I148" i="14"/>
  <c r="J148" i="14"/>
  <c r="K148" i="14"/>
  <c r="L148" i="14"/>
  <c r="M148" i="14"/>
  <c r="N148" i="14"/>
  <c r="O148" i="14"/>
  <c r="P148" i="14"/>
  <c r="D149" i="14"/>
  <c r="E149" i="14" s="1"/>
  <c r="F149" i="14"/>
  <c r="G149" i="14"/>
  <c r="H149" i="14"/>
  <c r="I149" i="14"/>
  <c r="J149" i="14"/>
  <c r="K149" i="14"/>
  <c r="L149" i="14"/>
  <c r="M149" i="14"/>
  <c r="N149" i="14"/>
  <c r="O149" i="14"/>
  <c r="P149" i="14"/>
  <c r="D150" i="14"/>
  <c r="E150" i="14" s="1"/>
  <c r="F150" i="14"/>
  <c r="G150" i="14"/>
  <c r="H150" i="14"/>
  <c r="I150" i="14"/>
  <c r="J150" i="14"/>
  <c r="K150" i="14"/>
  <c r="L150" i="14"/>
  <c r="M150" i="14"/>
  <c r="N150" i="14"/>
  <c r="O150" i="14"/>
  <c r="P150" i="14"/>
  <c r="D151" i="14"/>
  <c r="E151" i="14" s="1"/>
  <c r="F151" i="14"/>
  <c r="G151" i="14"/>
  <c r="H151" i="14"/>
  <c r="I151" i="14"/>
  <c r="J151" i="14"/>
  <c r="K151" i="14"/>
  <c r="L151" i="14"/>
  <c r="M151" i="14"/>
  <c r="N151" i="14"/>
  <c r="O151" i="14"/>
  <c r="P151" i="14"/>
  <c r="D152" i="14"/>
  <c r="E152" i="14" s="1"/>
  <c r="F152" i="14"/>
  <c r="G152" i="14"/>
  <c r="H152" i="14"/>
  <c r="I152" i="14"/>
  <c r="J152" i="14"/>
  <c r="K152" i="14"/>
  <c r="L152" i="14"/>
  <c r="M152" i="14"/>
  <c r="N152" i="14"/>
  <c r="O152" i="14"/>
  <c r="P152" i="14"/>
  <c r="D153" i="14"/>
  <c r="E153" i="14" s="1"/>
  <c r="F153" i="14"/>
  <c r="G153" i="14"/>
  <c r="H153" i="14"/>
  <c r="I153" i="14"/>
  <c r="J153" i="14"/>
  <c r="K153" i="14"/>
  <c r="L153" i="14"/>
  <c r="M153" i="14"/>
  <c r="N153" i="14"/>
  <c r="O153" i="14"/>
  <c r="P153" i="14"/>
  <c r="D154" i="14"/>
  <c r="E154" i="14" s="1"/>
  <c r="F154" i="14"/>
  <c r="G154" i="14"/>
  <c r="H154" i="14"/>
  <c r="I154" i="14"/>
  <c r="J154" i="14"/>
  <c r="K154" i="14"/>
  <c r="L154" i="14"/>
  <c r="M154" i="14"/>
  <c r="N154" i="14"/>
  <c r="O154" i="14"/>
  <c r="P154" i="14"/>
  <c r="D155" i="14"/>
  <c r="E155" i="14" s="1"/>
  <c r="F155" i="14"/>
  <c r="G155" i="14"/>
  <c r="H155" i="14"/>
  <c r="I155" i="14"/>
  <c r="J155" i="14"/>
  <c r="K155" i="14"/>
  <c r="L155" i="14"/>
  <c r="M155" i="14"/>
  <c r="N155" i="14"/>
  <c r="O155" i="14"/>
  <c r="P155" i="14"/>
  <c r="D156" i="14"/>
  <c r="E156" i="14" s="1"/>
  <c r="F156" i="14"/>
  <c r="G156" i="14"/>
  <c r="H156" i="14"/>
  <c r="I156" i="14"/>
  <c r="J156" i="14"/>
  <c r="K156" i="14"/>
  <c r="L156" i="14"/>
  <c r="M156" i="14"/>
  <c r="N156" i="14"/>
  <c r="O156" i="14"/>
  <c r="P156" i="14"/>
  <c r="D157" i="14"/>
  <c r="E157" i="14" s="1"/>
  <c r="F157" i="14"/>
  <c r="G157" i="14"/>
  <c r="H157" i="14"/>
  <c r="I157" i="14"/>
  <c r="J157" i="14"/>
  <c r="K157" i="14"/>
  <c r="L157" i="14"/>
  <c r="M157" i="14"/>
  <c r="N157" i="14"/>
  <c r="O157" i="14"/>
  <c r="P157" i="14"/>
  <c r="D158" i="14"/>
  <c r="E158" i="14" s="1"/>
  <c r="F158" i="14"/>
  <c r="G158" i="14"/>
  <c r="H158" i="14"/>
  <c r="I158" i="14"/>
  <c r="J158" i="14"/>
  <c r="K158" i="14"/>
  <c r="L158" i="14"/>
  <c r="M158" i="14"/>
  <c r="N158" i="14"/>
  <c r="O158" i="14"/>
  <c r="P158" i="14"/>
  <c r="D159" i="14"/>
  <c r="E159" i="14" s="1"/>
  <c r="F159" i="14"/>
  <c r="G159" i="14"/>
  <c r="H159" i="14"/>
  <c r="I159" i="14"/>
  <c r="J159" i="14"/>
  <c r="K159" i="14"/>
  <c r="L159" i="14"/>
  <c r="M159" i="14"/>
  <c r="N159" i="14"/>
  <c r="O159" i="14"/>
  <c r="P159" i="14"/>
  <c r="D160" i="14"/>
  <c r="E160" i="14" s="1"/>
  <c r="F160" i="14"/>
  <c r="G160" i="14"/>
  <c r="H160" i="14"/>
  <c r="I160" i="14"/>
  <c r="J160" i="14"/>
  <c r="K160" i="14"/>
  <c r="L160" i="14"/>
  <c r="M160" i="14"/>
  <c r="N160" i="14"/>
  <c r="O160" i="14"/>
  <c r="P160" i="14"/>
  <c r="D161" i="14"/>
  <c r="E161" i="14" s="1"/>
  <c r="F161" i="14"/>
  <c r="G161" i="14"/>
  <c r="H161" i="14"/>
  <c r="I161" i="14"/>
  <c r="J161" i="14"/>
  <c r="K161" i="14"/>
  <c r="L161" i="14"/>
  <c r="M161" i="14"/>
  <c r="N161" i="14"/>
  <c r="O161" i="14"/>
  <c r="P161" i="14"/>
  <c r="D162" i="14"/>
  <c r="E162" i="14" s="1"/>
  <c r="F162" i="14"/>
  <c r="G162" i="14"/>
  <c r="H162" i="14"/>
  <c r="I162" i="14"/>
  <c r="J162" i="14"/>
  <c r="K162" i="14"/>
  <c r="L162" i="14"/>
  <c r="M162" i="14"/>
  <c r="N162" i="14"/>
  <c r="O162" i="14"/>
  <c r="P162" i="14"/>
  <c r="D163" i="14"/>
  <c r="E163" i="14" s="1"/>
  <c r="F163" i="14"/>
  <c r="G163" i="14"/>
  <c r="H163" i="14"/>
  <c r="I163" i="14"/>
  <c r="J163" i="14"/>
  <c r="K163" i="14"/>
  <c r="L163" i="14"/>
  <c r="M163" i="14"/>
  <c r="N163" i="14"/>
  <c r="O163" i="14"/>
  <c r="P163" i="14"/>
  <c r="D164" i="14"/>
  <c r="E164" i="14" s="1"/>
  <c r="F164" i="14"/>
  <c r="G164" i="14"/>
  <c r="H164" i="14"/>
  <c r="I164" i="14"/>
  <c r="J164" i="14"/>
  <c r="K164" i="14"/>
  <c r="L164" i="14"/>
  <c r="M164" i="14"/>
  <c r="N164" i="14"/>
  <c r="O164" i="14"/>
  <c r="P164" i="14"/>
  <c r="D165" i="14"/>
  <c r="E165" i="14" s="1"/>
  <c r="F165" i="14"/>
  <c r="G165" i="14"/>
  <c r="H165" i="14"/>
  <c r="I165" i="14"/>
  <c r="J165" i="14"/>
  <c r="K165" i="14"/>
  <c r="L165" i="14"/>
  <c r="M165" i="14"/>
  <c r="N165" i="14"/>
  <c r="O165" i="14"/>
  <c r="P165" i="14"/>
  <c r="D166" i="14"/>
  <c r="E166" i="14" s="1"/>
  <c r="F166" i="14"/>
  <c r="G166" i="14"/>
  <c r="H166" i="14"/>
  <c r="I166" i="14"/>
  <c r="J166" i="14"/>
  <c r="K166" i="14"/>
  <c r="L166" i="14"/>
  <c r="M166" i="14"/>
  <c r="N166" i="14"/>
  <c r="O166" i="14"/>
  <c r="P166" i="14"/>
  <c r="D167" i="14"/>
  <c r="E167" i="14" s="1"/>
  <c r="F167" i="14"/>
  <c r="G167" i="14"/>
  <c r="H167" i="14"/>
  <c r="I167" i="14"/>
  <c r="J167" i="14"/>
  <c r="K167" i="14"/>
  <c r="L167" i="14"/>
  <c r="M167" i="14"/>
  <c r="N167" i="14"/>
  <c r="O167" i="14"/>
  <c r="P167" i="14"/>
  <c r="D168" i="14"/>
  <c r="E168" i="14" s="1"/>
  <c r="F168" i="14"/>
  <c r="G168" i="14"/>
  <c r="H168" i="14"/>
  <c r="I168" i="14"/>
  <c r="J168" i="14"/>
  <c r="K168" i="14"/>
  <c r="L168" i="14"/>
  <c r="M168" i="14"/>
  <c r="N168" i="14"/>
  <c r="O168" i="14"/>
  <c r="P168" i="14"/>
  <c r="D169" i="14"/>
  <c r="E169" i="14" s="1"/>
  <c r="F169" i="14"/>
  <c r="G169" i="14"/>
  <c r="H169" i="14"/>
  <c r="I169" i="14"/>
  <c r="J169" i="14"/>
  <c r="K169" i="14"/>
  <c r="L169" i="14"/>
  <c r="M169" i="14"/>
  <c r="N169" i="14"/>
  <c r="O169" i="14"/>
  <c r="P169" i="14"/>
  <c r="D170" i="14"/>
  <c r="E170" i="14" s="1"/>
  <c r="F170" i="14"/>
  <c r="G170" i="14"/>
  <c r="H170" i="14"/>
  <c r="I170" i="14"/>
  <c r="J170" i="14"/>
  <c r="K170" i="14"/>
  <c r="L170" i="14"/>
  <c r="M170" i="14"/>
  <c r="N170" i="14"/>
  <c r="O170" i="14"/>
  <c r="P170" i="14"/>
  <c r="D171" i="14"/>
  <c r="E171" i="14" s="1"/>
  <c r="F171" i="14"/>
  <c r="G171" i="14"/>
  <c r="H171" i="14"/>
  <c r="I171" i="14"/>
  <c r="J171" i="14"/>
  <c r="K171" i="14"/>
  <c r="L171" i="14"/>
  <c r="M171" i="14"/>
  <c r="N171" i="14"/>
  <c r="O171" i="14"/>
  <c r="P171" i="14"/>
  <c r="D172" i="14"/>
  <c r="E172" i="14" s="1"/>
  <c r="F172" i="14"/>
  <c r="G172" i="14"/>
  <c r="H172" i="14"/>
  <c r="I172" i="14"/>
  <c r="J172" i="14"/>
  <c r="K172" i="14"/>
  <c r="L172" i="14"/>
  <c r="M172" i="14"/>
  <c r="N172" i="14"/>
  <c r="O172" i="14"/>
  <c r="P172" i="14"/>
  <c r="D173" i="14"/>
  <c r="E173" i="14" s="1"/>
  <c r="F173" i="14"/>
  <c r="G173" i="14"/>
  <c r="H173" i="14"/>
  <c r="I173" i="14"/>
  <c r="J173" i="14"/>
  <c r="K173" i="14"/>
  <c r="L173" i="14"/>
  <c r="M173" i="14"/>
  <c r="N173" i="14"/>
  <c r="O173" i="14"/>
  <c r="P173" i="14"/>
  <c r="D174" i="14"/>
  <c r="E174" i="14" s="1"/>
  <c r="F174" i="14"/>
  <c r="G174" i="14"/>
  <c r="H174" i="14"/>
  <c r="I174" i="14"/>
  <c r="J174" i="14"/>
  <c r="K174" i="14"/>
  <c r="L174" i="14"/>
  <c r="M174" i="14"/>
  <c r="N174" i="14"/>
  <c r="O174" i="14"/>
  <c r="P174" i="14"/>
  <c r="D175" i="14"/>
  <c r="E175" i="14" s="1"/>
  <c r="F175" i="14"/>
  <c r="G175" i="14"/>
  <c r="H175" i="14"/>
  <c r="I175" i="14"/>
  <c r="J175" i="14"/>
  <c r="K175" i="14"/>
  <c r="L175" i="14"/>
  <c r="M175" i="14"/>
  <c r="N175" i="14"/>
  <c r="O175" i="14"/>
  <c r="P175" i="14"/>
  <c r="D176" i="14"/>
  <c r="E176" i="14" s="1"/>
  <c r="F176" i="14"/>
  <c r="G176" i="14"/>
  <c r="H176" i="14"/>
  <c r="I176" i="14"/>
  <c r="J176" i="14"/>
  <c r="K176" i="14"/>
  <c r="L176" i="14"/>
  <c r="M176" i="14"/>
  <c r="N176" i="14"/>
  <c r="O176" i="14"/>
  <c r="P176" i="14"/>
  <c r="D177" i="14"/>
  <c r="E177" i="14" s="1"/>
  <c r="F177" i="14"/>
  <c r="G177" i="14"/>
  <c r="H177" i="14"/>
  <c r="I177" i="14"/>
  <c r="J177" i="14"/>
  <c r="K177" i="14"/>
  <c r="L177" i="14"/>
  <c r="M177" i="14"/>
  <c r="N177" i="14"/>
  <c r="O177" i="14"/>
  <c r="P177" i="14"/>
  <c r="D178" i="14"/>
  <c r="E178" i="14" s="1"/>
  <c r="F178" i="14"/>
  <c r="G178" i="14"/>
  <c r="H178" i="14"/>
  <c r="I178" i="14"/>
  <c r="J178" i="14"/>
  <c r="K178" i="14"/>
  <c r="L178" i="14"/>
  <c r="M178" i="14"/>
  <c r="N178" i="14"/>
  <c r="O178" i="14"/>
  <c r="P178" i="14"/>
  <c r="D179" i="14"/>
  <c r="E179" i="14" s="1"/>
  <c r="F179" i="14"/>
  <c r="G179" i="14"/>
  <c r="H179" i="14"/>
  <c r="I179" i="14"/>
  <c r="J179" i="14"/>
  <c r="K179" i="14"/>
  <c r="L179" i="14"/>
  <c r="M179" i="14"/>
  <c r="N179" i="14"/>
  <c r="O179" i="14"/>
  <c r="P179" i="14"/>
  <c r="D180" i="14"/>
  <c r="E180" i="14" s="1"/>
  <c r="F180" i="14"/>
  <c r="G180" i="14"/>
  <c r="H180" i="14"/>
  <c r="I180" i="14"/>
  <c r="J180" i="14"/>
  <c r="K180" i="14"/>
  <c r="L180" i="14"/>
  <c r="M180" i="14"/>
  <c r="N180" i="14"/>
  <c r="O180" i="14"/>
  <c r="P180" i="14"/>
  <c r="D181" i="14"/>
  <c r="E181" i="14" s="1"/>
  <c r="F181" i="14"/>
  <c r="G181" i="14"/>
  <c r="H181" i="14"/>
  <c r="I181" i="14"/>
  <c r="J181" i="14"/>
  <c r="K181" i="14"/>
  <c r="L181" i="14"/>
  <c r="M181" i="14"/>
  <c r="N181" i="14"/>
  <c r="O181" i="14"/>
  <c r="P181" i="14"/>
  <c r="D182" i="14"/>
  <c r="E182" i="14" s="1"/>
  <c r="F182" i="14"/>
  <c r="G182" i="14"/>
  <c r="H182" i="14"/>
  <c r="I182" i="14"/>
  <c r="J182" i="14"/>
  <c r="K182" i="14"/>
  <c r="L182" i="14"/>
  <c r="M182" i="14"/>
  <c r="N182" i="14"/>
  <c r="O182" i="14"/>
  <c r="P182" i="14"/>
  <c r="D183" i="14"/>
  <c r="E183" i="14" s="1"/>
  <c r="F183" i="14"/>
  <c r="G183" i="14"/>
  <c r="H183" i="14"/>
  <c r="I183" i="14"/>
  <c r="J183" i="14"/>
  <c r="K183" i="14"/>
  <c r="L183" i="14"/>
  <c r="M183" i="14"/>
  <c r="N183" i="14"/>
  <c r="O183" i="14"/>
  <c r="P183" i="14"/>
  <c r="D184" i="14"/>
  <c r="E184" i="14" s="1"/>
  <c r="F184" i="14"/>
  <c r="G184" i="14"/>
  <c r="H184" i="14"/>
  <c r="I184" i="14"/>
  <c r="J184" i="14"/>
  <c r="K184" i="14"/>
  <c r="L184" i="14"/>
  <c r="M184" i="14"/>
  <c r="N184" i="14"/>
  <c r="O184" i="14"/>
  <c r="P184" i="14"/>
  <c r="D185" i="14"/>
  <c r="E185" i="14" s="1"/>
  <c r="F185" i="14"/>
  <c r="G185" i="14"/>
  <c r="H185" i="14"/>
  <c r="I185" i="14"/>
  <c r="J185" i="14"/>
  <c r="K185" i="14"/>
  <c r="L185" i="14"/>
  <c r="M185" i="14"/>
  <c r="N185" i="14"/>
  <c r="O185" i="14"/>
  <c r="P185" i="14"/>
  <c r="D186" i="14"/>
  <c r="E186" i="14" s="1"/>
  <c r="F186" i="14"/>
  <c r="G186" i="14"/>
  <c r="H186" i="14"/>
  <c r="I186" i="14"/>
  <c r="J186" i="14"/>
  <c r="K186" i="14"/>
  <c r="L186" i="14"/>
  <c r="M186" i="14"/>
  <c r="N186" i="14"/>
  <c r="O186" i="14"/>
  <c r="P186" i="14"/>
  <c r="D187" i="14"/>
  <c r="E187" i="14" s="1"/>
  <c r="F187" i="14"/>
  <c r="G187" i="14"/>
  <c r="H187" i="14"/>
  <c r="I187" i="14"/>
  <c r="J187" i="14"/>
  <c r="K187" i="14"/>
  <c r="L187" i="14"/>
  <c r="M187" i="14"/>
  <c r="N187" i="14"/>
  <c r="O187" i="14"/>
  <c r="P187" i="14"/>
  <c r="D188" i="14"/>
  <c r="E188" i="14" s="1"/>
  <c r="F188" i="14"/>
  <c r="G188" i="14"/>
  <c r="H188" i="14"/>
  <c r="I188" i="14"/>
  <c r="J188" i="14"/>
  <c r="K188" i="14"/>
  <c r="L188" i="14"/>
  <c r="M188" i="14"/>
  <c r="N188" i="14"/>
  <c r="O188" i="14"/>
  <c r="P188" i="14"/>
  <c r="F87" i="14"/>
  <c r="H87" i="14"/>
  <c r="I87" i="14"/>
  <c r="J87" i="14"/>
  <c r="K87" i="14"/>
  <c r="L87" i="14"/>
  <c r="M87" i="14"/>
  <c r="N87" i="14"/>
  <c r="O87" i="14"/>
  <c r="P87" i="14"/>
  <c r="D87" i="14"/>
  <c r="E87" i="14" s="1"/>
  <c r="G87" i="14"/>
  <c r="D92" i="14"/>
  <c r="E92" i="14" s="1"/>
  <c r="F92" i="14"/>
  <c r="G92" i="14"/>
  <c r="H92" i="14"/>
  <c r="I92" i="14"/>
  <c r="J92" i="14"/>
  <c r="K92" i="14"/>
  <c r="L92" i="14"/>
  <c r="M92" i="14"/>
  <c r="N92" i="14"/>
  <c r="O92" i="14"/>
  <c r="P92" i="14"/>
  <c r="D93" i="14"/>
  <c r="E93" i="14" s="1"/>
  <c r="G93" i="14"/>
  <c r="I93" i="14"/>
  <c r="L93" i="14"/>
  <c r="F93" i="14"/>
  <c r="H93" i="14"/>
  <c r="J93" i="14"/>
  <c r="K93" i="14"/>
  <c r="M93" i="14"/>
  <c r="N93" i="14"/>
  <c r="O93" i="14"/>
  <c r="P93" i="14"/>
  <c r="D95" i="14"/>
  <c r="E95" i="14" s="1"/>
  <c r="F95" i="14"/>
  <c r="G95" i="14"/>
  <c r="H95" i="14"/>
  <c r="I95" i="14"/>
  <c r="J95" i="14"/>
  <c r="K95" i="14"/>
  <c r="L95" i="14"/>
  <c r="M95" i="14"/>
  <c r="N95" i="14"/>
  <c r="O95" i="14"/>
  <c r="P95" i="14"/>
  <c r="F96" i="14"/>
  <c r="G96" i="14"/>
  <c r="H96" i="14"/>
  <c r="I96" i="14"/>
  <c r="J96" i="14"/>
  <c r="K96" i="14"/>
  <c r="L96" i="14"/>
  <c r="M96" i="14"/>
  <c r="N96" i="14"/>
  <c r="O96" i="14"/>
  <c r="P96" i="14"/>
  <c r="D96" i="14"/>
  <c r="E96" i="14" s="1"/>
  <c r="D97" i="14"/>
  <c r="E97" i="14" s="1"/>
  <c r="F97" i="14"/>
  <c r="G97" i="14"/>
  <c r="H97" i="14"/>
  <c r="I97" i="14"/>
  <c r="J97" i="14"/>
  <c r="K97" i="14"/>
  <c r="L97" i="14"/>
  <c r="M97" i="14"/>
  <c r="N97" i="14"/>
  <c r="O97" i="14"/>
  <c r="P97" i="14"/>
  <c r="D100" i="14"/>
  <c r="E100" i="14" s="1"/>
  <c r="F100" i="14"/>
  <c r="G100" i="14"/>
  <c r="H100" i="14"/>
  <c r="I100" i="14"/>
  <c r="J100" i="14"/>
  <c r="K100" i="14"/>
  <c r="L100" i="14"/>
  <c r="M100" i="14"/>
  <c r="N100" i="14"/>
  <c r="O100" i="14"/>
  <c r="P100" i="14"/>
  <c r="D103" i="14"/>
  <c r="E103" i="14" s="1"/>
  <c r="F103" i="14"/>
  <c r="G103" i="14"/>
  <c r="H103" i="14"/>
  <c r="I103" i="14"/>
  <c r="J103" i="14"/>
  <c r="K103" i="14"/>
  <c r="L103" i="14"/>
  <c r="M103" i="14"/>
  <c r="N103" i="14"/>
  <c r="O103" i="14"/>
  <c r="P103" i="14"/>
  <c r="D106" i="14"/>
  <c r="E106" i="14" s="1"/>
  <c r="F106" i="14"/>
  <c r="G106" i="14"/>
  <c r="H106" i="14"/>
  <c r="I106" i="14"/>
  <c r="J106" i="14"/>
  <c r="K106" i="14"/>
  <c r="L106" i="14"/>
  <c r="M106" i="14"/>
  <c r="N106" i="14"/>
  <c r="O106" i="14"/>
  <c r="P106" i="14"/>
  <c r="D109" i="14"/>
  <c r="E109" i="14" s="1"/>
  <c r="F109" i="14"/>
  <c r="G109" i="14"/>
  <c r="H109" i="14"/>
  <c r="I109" i="14"/>
  <c r="J109" i="14"/>
  <c r="K109" i="14"/>
  <c r="L109" i="14"/>
  <c r="M109" i="14"/>
  <c r="N109" i="14"/>
  <c r="O109" i="14"/>
  <c r="P109" i="14"/>
  <c r="D112" i="14"/>
  <c r="E112" i="14" s="1"/>
  <c r="F112" i="14"/>
  <c r="G112" i="14"/>
  <c r="H112" i="14"/>
  <c r="I112" i="14"/>
  <c r="J112" i="14"/>
  <c r="K112" i="14"/>
  <c r="L112" i="14"/>
  <c r="M112" i="14"/>
  <c r="N112" i="14"/>
  <c r="O112" i="14"/>
  <c r="P112" i="14"/>
  <c r="D115" i="14"/>
  <c r="E115" i="14" s="1"/>
  <c r="F115" i="14"/>
  <c r="G115" i="14"/>
  <c r="H115" i="14"/>
  <c r="I115" i="14"/>
  <c r="J115" i="14"/>
  <c r="K115" i="14"/>
  <c r="L115" i="14"/>
  <c r="M115" i="14"/>
  <c r="N115" i="14"/>
  <c r="O115" i="14"/>
  <c r="P115" i="14"/>
  <c r="D118" i="14"/>
  <c r="E118" i="14" s="1"/>
  <c r="F118" i="14"/>
  <c r="G118" i="14"/>
  <c r="H118" i="14"/>
  <c r="I118" i="14"/>
  <c r="J118" i="14"/>
  <c r="K118" i="14"/>
  <c r="L118" i="14"/>
  <c r="M118" i="14"/>
  <c r="N118" i="14"/>
  <c r="O118" i="14"/>
  <c r="P118" i="14"/>
  <c r="D121" i="14"/>
  <c r="E121" i="14" s="1"/>
  <c r="F121" i="14"/>
  <c r="G121" i="14"/>
  <c r="H121" i="14"/>
  <c r="I121" i="14"/>
  <c r="J121" i="14"/>
  <c r="K121" i="14"/>
  <c r="L121" i="14"/>
  <c r="M121" i="14"/>
  <c r="N121" i="14"/>
  <c r="O121" i="14"/>
  <c r="P121" i="14"/>
  <c r="D124" i="14"/>
  <c r="E124" i="14" s="1"/>
  <c r="F124" i="14"/>
  <c r="G124" i="14"/>
  <c r="H124" i="14"/>
  <c r="I124" i="14"/>
  <c r="J124" i="14"/>
  <c r="K124" i="14"/>
  <c r="L124" i="14"/>
  <c r="M124" i="14"/>
  <c r="N124" i="14"/>
  <c r="O124" i="14"/>
  <c r="P124" i="14"/>
  <c r="D127" i="14"/>
  <c r="E127" i="14" s="1"/>
  <c r="F127" i="14"/>
  <c r="G127" i="14"/>
  <c r="H127" i="14"/>
  <c r="I127" i="14"/>
  <c r="J127" i="14"/>
  <c r="K127" i="14"/>
  <c r="L127" i="14"/>
  <c r="M127" i="14"/>
  <c r="N127" i="14"/>
  <c r="O127" i="14"/>
  <c r="P127" i="14"/>
  <c r="D130" i="14"/>
  <c r="E130" i="14" s="1"/>
  <c r="F130" i="14"/>
  <c r="G130" i="14"/>
  <c r="H130" i="14"/>
  <c r="I130" i="14"/>
  <c r="J130" i="14"/>
  <c r="K130" i="14"/>
  <c r="L130" i="14"/>
  <c r="M130" i="14"/>
  <c r="N130" i="14"/>
  <c r="O130" i="14"/>
  <c r="P130" i="14"/>
  <c r="D133" i="14"/>
  <c r="E133" i="14" s="1"/>
  <c r="F133" i="14"/>
  <c r="G133" i="14"/>
  <c r="H133" i="14"/>
  <c r="I133" i="14"/>
  <c r="J133" i="14"/>
  <c r="K133" i="14"/>
  <c r="L133" i="14"/>
  <c r="M133" i="14"/>
  <c r="N133" i="14"/>
  <c r="O133" i="14"/>
  <c r="P133" i="14"/>
  <c r="D189" i="14"/>
  <c r="E189" i="14" s="1"/>
  <c r="F189" i="14"/>
  <c r="G189" i="14"/>
  <c r="H189" i="14"/>
  <c r="I189" i="14"/>
  <c r="J189" i="14"/>
  <c r="K189" i="14"/>
  <c r="L189" i="14"/>
  <c r="M189" i="14"/>
  <c r="N189" i="14"/>
  <c r="O189" i="14"/>
  <c r="P189" i="14"/>
  <c r="D190" i="14"/>
  <c r="E190" i="14" s="1"/>
  <c r="F190" i="14"/>
  <c r="I190" i="14"/>
  <c r="J190" i="14"/>
  <c r="M190" i="14"/>
  <c r="G190" i="14"/>
  <c r="H190" i="14"/>
  <c r="K190" i="14"/>
  <c r="L190" i="14"/>
  <c r="N190" i="14"/>
  <c r="O190" i="14"/>
  <c r="P190" i="14"/>
  <c r="D191" i="14"/>
  <c r="E191" i="14" s="1"/>
  <c r="F191" i="14"/>
  <c r="G191" i="14"/>
  <c r="H191" i="14"/>
  <c r="I191" i="14"/>
  <c r="J191" i="14"/>
  <c r="K191" i="14"/>
  <c r="L191" i="14"/>
  <c r="M191" i="14"/>
  <c r="N191" i="14"/>
  <c r="O191" i="14"/>
  <c r="P191" i="14"/>
  <c r="D192" i="14"/>
  <c r="E192" i="14" s="1"/>
  <c r="F192" i="14"/>
  <c r="G192" i="14"/>
  <c r="H192" i="14"/>
  <c r="I192" i="14"/>
  <c r="J192" i="14"/>
  <c r="K192" i="14"/>
  <c r="L192" i="14"/>
  <c r="M192" i="14"/>
  <c r="N192" i="14"/>
  <c r="O192" i="14"/>
  <c r="P192" i="14"/>
  <c r="D193" i="14"/>
  <c r="E193" i="14" s="1"/>
  <c r="F193" i="14"/>
  <c r="G193" i="14"/>
  <c r="H193" i="14"/>
  <c r="I193" i="14"/>
  <c r="J193" i="14"/>
  <c r="K193" i="14"/>
  <c r="L193" i="14"/>
  <c r="M193" i="14"/>
  <c r="N193" i="14"/>
  <c r="O193" i="14"/>
  <c r="P193" i="14"/>
  <c r="D194" i="14"/>
  <c r="E194" i="14" s="1"/>
  <c r="F194" i="14"/>
  <c r="G194" i="14"/>
  <c r="H194" i="14"/>
  <c r="I194" i="14"/>
  <c r="J194" i="14"/>
  <c r="K194" i="14"/>
  <c r="L194" i="14"/>
  <c r="M194" i="14"/>
  <c r="N194" i="14"/>
  <c r="O194" i="14"/>
  <c r="P194" i="14"/>
  <c r="D195" i="14"/>
  <c r="E195" i="14" s="1"/>
  <c r="F195" i="14"/>
  <c r="G195" i="14"/>
  <c r="H195" i="14"/>
  <c r="I195" i="14"/>
  <c r="J195" i="14"/>
  <c r="K195" i="14"/>
  <c r="L195" i="14"/>
  <c r="M195" i="14"/>
  <c r="N195" i="14"/>
  <c r="O195" i="14"/>
  <c r="P195" i="14"/>
  <c r="D196" i="14"/>
  <c r="E196" i="14" s="1"/>
  <c r="F196" i="14"/>
  <c r="G196" i="14"/>
  <c r="H196" i="14"/>
  <c r="I196" i="14"/>
  <c r="J196" i="14"/>
  <c r="K196" i="14"/>
  <c r="L196" i="14"/>
  <c r="M196" i="14"/>
  <c r="N196" i="14"/>
  <c r="O196" i="14"/>
  <c r="P196" i="14"/>
  <c r="D197" i="14"/>
  <c r="E197" i="14" s="1"/>
  <c r="F197" i="14"/>
  <c r="G197" i="14"/>
  <c r="H197" i="14"/>
  <c r="I197" i="14"/>
  <c r="J197" i="14"/>
  <c r="K197" i="14"/>
  <c r="L197" i="14"/>
  <c r="M197" i="14"/>
  <c r="N197" i="14"/>
  <c r="O197" i="14"/>
  <c r="P197" i="14"/>
  <c r="D198" i="14"/>
  <c r="E198" i="14" s="1"/>
  <c r="F198" i="14"/>
  <c r="G198" i="14"/>
  <c r="H198" i="14"/>
  <c r="I198" i="14"/>
  <c r="J198" i="14"/>
  <c r="K198" i="14"/>
  <c r="L198" i="14"/>
  <c r="M198" i="14"/>
  <c r="N198" i="14"/>
  <c r="O198" i="14"/>
  <c r="P198" i="14"/>
  <c r="D199" i="14"/>
  <c r="E199" i="14" s="1"/>
  <c r="F199" i="14"/>
  <c r="G199" i="14"/>
  <c r="H199" i="14"/>
  <c r="I199" i="14"/>
  <c r="J199" i="14"/>
  <c r="K199" i="14"/>
  <c r="L199" i="14"/>
  <c r="M199" i="14"/>
  <c r="N199" i="14"/>
  <c r="O199" i="14"/>
  <c r="P199" i="14"/>
  <c r="D200" i="14"/>
  <c r="E200" i="14" s="1"/>
  <c r="F200" i="14"/>
  <c r="G200" i="14"/>
  <c r="H200" i="14"/>
  <c r="I200" i="14"/>
  <c r="J200" i="14"/>
  <c r="K200" i="14"/>
  <c r="L200" i="14"/>
  <c r="M200" i="14"/>
  <c r="N200" i="14"/>
  <c r="O200" i="14"/>
  <c r="P200" i="14"/>
  <c r="D201" i="14"/>
  <c r="E201" i="14" s="1"/>
  <c r="F201" i="14"/>
  <c r="G201" i="14"/>
  <c r="H201" i="14"/>
  <c r="I201" i="14"/>
  <c r="J201" i="14"/>
  <c r="K201" i="14"/>
  <c r="L201" i="14"/>
  <c r="M201" i="14"/>
  <c r="N201" i="14"/>
  <c r="O201" i="14"/>
  <c r="P201" i="14"/>
  <c r="D202" i="14"/>
  <c r="E202" i="14" s="1"/>
  <c r="F202" i="14"/>
  <c r="G202" i="14"/>
  <c r="H202" i="14"/>
  <c r="I202" i="14"/>
  <c r="J202" i="14"/>
  <c r="K202" i="14"/>
  <c r="L202" i="14"/>
  <c r="M202" i="14"/>
  <c r="N202" i="14"/>
  <c r="O202" i="14"/>
  <c r="P202" i="14"/>
  <c r="D203" i="14"/>
  <c r="E203" i="14" s="1"/>
  <c r="F203" i="14"/>
  <c r="G203" i="14"/>
  <c r="H203" i="14"/>
  <c r="I203" i="14"/>
  <c r="J203" i="14"/>
  <c r="K203" i="14"/>
  <c r="L203" i="14"/>
  <c r="M203" i="14"/>
  <c r="N203" i="14"/>
  <c r="O203" i="14"/>
  <c r="P203" i="14"/>
  <c r="D204" i="14"/>
  <c r="E204" i="14" s="1"/>
  <c r="F204" i="14"/>
  <c r="G204" i="14"/>
  <c r="H204" i="14"/>
  <c r="I204" i="14"/>
  <c r="J204" i="14"/>
  <c r="K204" i="14"/>
  <c r="L204" i="14"/>
  <c r="M204" i="14"/>
  <c r="N204" i="14"/>
  <c r="O204" i="14"/>
  <c r="P204" i="14"/>
  <c r="D205" i="14"/>
  <c r="E205" i="14" s="1"/>
  <c r="F205" i="14"/>
  <c r="G205" i="14"/>
  <c r="H205" i="14"/>
  <c r="I205" i="14"/>
  <c r="J205" i="14"/>
  <c r="K205" i="14"/>
  <c r="L205" i="14"/>
  <c r="M205" i="14"/>
  <c r="N205" i="14"/>
  <c r="O205" i="14"/>
  <c r="P205" i="14"/>
  <c r="D206" i="14"/>
  <c r="E206" i="14" s="1"/>
  <c r="F206" i="14"/>
  <c r="G206" i="14"/>
  <c r="H206" i="14"/>
  <c r="I206" i="14"/>
  <c r="J206" i="14"/>
  <c r="K206" i="14"/>
  <c r="L206" i="14"/>
  <c r="M206" i="14"/>
  <c r="N206" i="14"/>
  <c r="O206" i="14"/>
  <c r="P206" i="14"/>
  <c r="D207" i="14"/>
  <c r="E207" i="14" s="1"/>
  <c r="F207" i="14"/>
  <c r="G207" i="14"/>
  <c r="H207" i="14"/>
  <c r="I207" i="14"/>
  <c r="J207" i="14"/>
  <c r="K207" i="14"/>
  <c r="L207" i="14"/>
  <c r="M207" i="14"/>
  <c r="N207" i="14"/>
  <c r="O207" i="14"/>
  <c r="P207" i="14"/>
  <c r="D208" i="14"/>
  <c r="E208" i="14" s="1"/>
  <c r="F208" i="14"/>
  <c r="G208" i="14"/>
  <c r="H208" i="14"/>
  <c r="I208" i="14"/>
  <c r="J208" i="14"/>
  <c r="K208" i="14"/>
  <c r="L208" i="14"/>
  <c r="M208" i="14"/>
  <c r="N208" i="14"/>
  <c r="O208" i="14"/>
  <c r="P208" i="14"/>
  <c r="D209" i="14"/>
  <c r="E209" i="14" s="1"/>
  <c r="F209" i="14"/>
  <c r="G209" i="14"/>
  <c r="H209" i="14"/>
  <c r="I209" i="14"/>
  <c r="J209" i="14"/>
  <c r="K209" i="14"/>
  <c r="L209" i="14"/>
  <c r="M209" i="14"/>
  <c r="N209" i="14"/>
  <c r="O209" i="14"/>
  <c r="P209" i="14"/>
  <c r="D210" i="14"/>
  <c r="E210" i="14" s="1"/>
  <c r="F210" i="14"/>
  <c r="G210" i="14"/>
  <c r="H210" i="14"/>
  <c r="I210" i="14"/>
  <c r="J210" i="14"/>
  <c r="K210" i="14"/>
  <c r="L210" i="14"/>
  <c r="M210" i="14"/>
  <c r="N210" i="14"/>
  <c r="O210" i="14"/>
  <c r="P210" i="14"/>
  <c r="D211" i="14"/>
  <c r="E211" i="14" s="1"/>
  <c r="F211" i="14"/>
  <c r="G211" i="14"/>
  <c r="H211" i="14"/>
  <c r="I211" i="14"/>
  <c r="J211" i="14"/>
  <c r="K211" i="14"/>
  <c r="L211" i="14"/>
  <c r="M211" i="14"/>
  <c r="N211" i="14"/>
  <c r="O211" i="14"/>
  <c r="P211" i="14"/>
  <c r="D212" i="14"/>
  <c r="E212" i="14" s="1"/>
  <c r="F212" i="14"/>
  <c r="G212" i="14"/>
  <c r="H212" i="14"/>
  <c r="I212" i="14"/>
  <c r="J212" i="14"/>
  <c r="K212" i="14"/>
  <c r="L212" i="14"/>
  <c r="M212" i="14"/>
  <c r="N212" i="14"/>
  <c r="O212" i="14"/>
  <c r="P212" i="14"/>
  <c r="D213" i="14"/>
  <c r="E213" i="14" s="1"/>
  <c r="F213" i="14"/>
  <c r="G213" i="14"/>
  <c r="H213" i="14"/>
  <c r="I213" i="14"/>
  <c r="J213" i="14"/>
  <c r="K213" i="14"/>
  <c r="L213" i="14"/>
  <c r="M213" i="14"/>
  <c r="N213" i="14"/>
  <c r="O213" i="14"/>
  <c r="P213" i="14"/>
  <c r="D214" i="14"/>
  <c r="E214" i="14" s="1"/>
  <c r="F214" i="14"/>
  <c r="G214" i="14"/>
  <c r="H214" i="14"/>
  <c r="I214" i="14"/>
  <c r="J214" i="14"/>
  <c r="K214" i="14"/>
  <c r="L214" i="14"/>
  <c r="M214" i="14"/>
  <c r="N214" i="14"/>
  <c r="O214" i="14"/>
  <c r="P214" i="14"/>
  <c r="D215" i="14"/>
  <c r="E215" i="14" s="1"/>
  <c r="F215" i="14"/>
  <c r="G215" i="14"/>
  <c r="H215" i="14"/>
  <c r="I215" i="14"/>
  <c r="J215" i="14"/>
  <c r="K215" i="14"/>
  <c r="L215" i="14"/>
  <c r="M215" i="14"/>
  <c r="N215" i="14"/>
  <c r="O215" i="14"/>
  <c r="P215" i="14"/>
  <c r="D216" i="14"/>
  <c r="E216" i="14" s="1"/>
  <c r="F216" i="14"/>
  <c r="G216" i="14"/>
  <c r="H216" i="14"/>
  <c r="I216" i="14"/>
  <c r="J216" i="14"/>
  <c r="K216" i="14"/>
  <c r="L216" i="14"/>
  <c r="M216" i="14"/>
  <c r="N216" i="14"/>
  <c r="O216" i="14"/>
  <c r="P216" i="14"/>
  <c r="D217" i="14"/>
  <c r="E217" i="14" s="1"/>
  <c r="F217" i="14"/>
  <c r="G217" i="14"/>
  <c r="H217" i="14"/>
  <c r="I217" i="14"/>
  <c r="J217" i="14"/>
  <c r="K217" i="14"/>
  <c r="L217" i="14"/>
  <c r="M217" i="14"/>
  <c r="N217" i="14"/>
  <c r="O217" i="14"/>
  <c r="P217" i="14"/>
  <c r="D218" i="14"/>
  <c r="E218" i="14" s="1"/>
  <c r="F218" i="14"/>
  <c r="G218" i="14"/>
  <c r="H218" i="14"/>
  <c r="I218" i="14"/>
  <c r="J218" i="14"/>
  <c r="K218" i="14"/>
  <c r="L218" i="14"/>
  <c r="M218" i="14"/>
  <c r="N218" i="14"/>
  <c r="O218" i="14"/>
  <c r="P218" i="14"/>
  <c r="D219" i="14"/>
  <c r="E219" i="14" s="1"/>
  <c r="F219" i="14"/>
  <c r="G219" i="14"/>
  <c r="H219" i="14"/>
  <c r="I219" i="14"/>
  <c r="J219" i="14"/>
  <c r="K219" i="14"/>
  <c r="L219" i="14"/>
  <c r="M219" i="14"/>
  <c r="N219" i="14"/>
  <c r="O219" i="14"/>
  <c r="P219" i="14"/>
  <c r="D220" i="14"/>
  <c r="E220" i="14" s="1"/>
  <c r="F220" i="14"/>
  <c r="G220" i="14"/>
  <c r="H220" i="14"/>
  <c r="I220" i="14"/>
  <c r="J220" i="14"/>
  <c r="K220" i="14"/>
  <c r="L220" i="14"/>
  <c r="M220" i="14"/>
  <c r="N220" i="14"/>
  <c r="O220" i="14"/>
  <c r="P220" i="14"/>
  <c r="D221" i="14"/>
  <c r="E221" i="14" s="1"/>
  <c r="F221" i="14"/>
  <c r="G221" i="14"/>
  <c r="H221" i="14"/>
  <c r="I221" i="14"/>
  <c r="J221" i="14"/>
  <c r="K221" i="14"/>
  <c r="L221" i="14"/>
  <c r="M221" i="14"/>
  <c r="N221" i="14"/>
  <c r="O221" i="14"/>
  <c r="P221" i="14"/>
  <c r="D222" i="14"/>
  <c r="E222" i="14" s="1"/>
  <c r="F222" i="14"/>
  <c r="G222" i="14"/>
  <c r="H222" i="14"/>
  <c r="I222" i="14"/>
  <c r="J222" i="14"/>
  <c r="K222" i="14"/>
  <c r="L222" i="14"/>
  <c r="M222" i="14"/>
  <c r="N222" i="14"/>
  <c r="O222" i="14"/>
  <c r="P222" i="14"/>
  <c r="D223" i="14"/>
  <c r="E223" i="14" s="1"/>
  <c r="F223" i="14"/>
  <c r="G223" i="14"/>
  <c r="H223" i="14"/>
  <c r="I223" i="14"/>
  <c r="J223" i="14"/>
  <c r="K223" i="14"/>
  <c r="L223" i="14"/>
  <c r="M223" i="14"/>
  <c r="N223" i="14"/>
  <c r="O223" i="14"/>
  <c r="P223" i="14"/>
  <c r="D224" i="14"/>
  <c r="E224" i="14" s="1"/>
  <c r="F224" i="14"/>
  <c r="G224" i="14"/>
  <c r="H224" i="14"/>
  <c r="I224" i="14"/>
  <c r="J224" i="14"/>
  <c r="K224" i="14"/>
  <c r="L224" i="14"/>
  <c r="M224" i="14"/>
  <c r="N224" i="14"/>
  <c r="O224" i="14"/>
  <c r="P224" i="14"/>
  <c r="D225" i="14"/>
  <c r="E225" i="14" s="1"/>
  <c r="F225" i="14"/>
  <c r="G225" i="14"/>
  <c r="H225" i="14"/>
  <c r="I225" i="14"/>
  <c r="J225" i="14"/>
  <c r="K225" i="14"/>
  <c r="L225" i="14"/>
  <c r="M225" i="14"/>
  <c r="N225" i="14"/>
  <c r="O225" i="14"/>
  <c r="P225" i="14"/>
  <c r="D226" i="14"/>
  <c r="E226" i="14" s="1"/>
  <c r="F226" i="14"/>
  <c r="G226" i="14"/>
  <c r="H226" i="14"/>
  <c r="I226" i="14"/>
  <c r="J226" i="14"/>
  <c r="K226" i="14"/>
  <c r="L226" i="14"/>
  <c r="M226" i="14"/>
  <c r="N226" i="14"/>
  <c r="O226" i="14"/>
  <c r="P226" i="14"/>
  <c r="D227" i="14"/>
  <c r="E227" i="14" s="1"/>
  <c r="F227" i="14"/>
  <c r="G227" i="14"/>
  <c r="H227" i="14"/>
  <c r="I227" i="14"/>
  <c r="J227" i="14"/>
  <c r="K227" i="14"/>
  <c r="L227" i="14"/>
  <c r="M227" i="14"/>
  <c r="N227" i="14"/>
  <c r="O227" i="14"/>
  <c r="P227" i="14"/>
  <c r="D228" i="14"/>
  <c r="E228" i="14" s="1"/>
  <c r="F228" i="14"/>
  <c r="G228" i="14"/>
  <c r="H228" i="14"/>
  <c r="I228" i="14"/>
  <c r="J228" i="14"/>
  <c r="K228" i="14"/>
  <c r="L228" i="14"/>
  <c r="M228" i="14"/>
  <c r="N228" i="14"/>
  <c r="O228" i="14"/>
  <c r="P228" i="14"/>
  <c r="D229" i="14"/>
  <c r="E229" i="14" s="1"/>
  <c r="F229" i="14"/>
  <c r="G229" i="14"/>
  <c r="H229" i="14"/>
  <c r="I229" i="14"/>
  <c r="J229" i="14"/>
  <c r="K229" i="14"/>
  <c r="L229" i="14"/>
  <c r="M229" i="14"/>
  <c r="N229" i="14"/>
  <c r="O229" i="14"/>
  <c r="P229" i="14"/>
  <c r="D230" i="14"/>
  <c r="E230" i="14" s="1"/>
  <c r="F230" i="14"/>
  <c r="G230" i="14"/>
  <c r="H230" i="14"/>
  <c r="I230" i="14"/>
  <c r="J230" i="14"/>
  <c r="K230" i="14"/>
  <c r="L230" i="14"/>
  <c r="M230" i="14"/>
  <c r="N230" i="14"/>
  <c r="O230" i="14"/>
  <c r="P230" i="14"/>
  <c r="D231" i="14"/>
  <c r="E231" i="14" s="1"/>
  <c r="F231" i="14"/>
  <c r="G231" i="14"/>
  <c r="H231" i="14"/>
  <c r="I231" i="14"/>
  <c r="J231" i="14"/>
  <c r="K231" i="14"/>
  <c r="L231" i="14"/>
  <c r="M231" i="14"/>
  <c r="N231" i="14"/>
  <c r="O231" i="14"/>
  <c r="P231" i="14"/>
  <c r="D232" i="14"/>
  <c r="E232" i="14" s="1"/>
  <c r="F232" i="14"/>
  <c r="G232" i="14"/>
  <c r="H232" i="14"/>
  <c r="I232" i="14"/>
  <c r="J232" i="14"/>
  <c r="K232" i="14"/>
  <c r="L232" i="14"/>
  <c r="M232" i="14"/>
  <c r="N232" i="14"/>
  <c r="O232" i="14"/>
  <c r="P232" i="14"/>
  <c r="D233" i="14"/>
  <c r="E233" i="14" s="1"/>
  <c r="F233" i="14"/>
  <c r="G233" i="14"/>
  <c r="H233" i="14"/>
  <c r="I233" i="14"/>
  <c r="J233" i="14"/>
  <c r="K233" i="14"/>
  <c r="L233" i="14"/>
  <c r="M233" i="14"/>
  <c r="N233" i="14"/>
  <c r="O233" i="14"/>
  <c r="P233" i="14"/>
  <c r="D234" i="14"/>
  <c r="E234" i="14" s="1"/>
  <c r="F234" i="14"/>
  <c r="G234" i="14"/>
  <c r="H234" i="14"/>
  <c r="I234" i="14"/>
  <c r="J234" i="14"/>
  <c r="K234" i="14"/>
  <c r="L234" i="14"/>
  <c r="M234" i="14"/>
  <c r="N234" i="14"/>
  <c r="O234" i="14"/>
  <c r="P234" i="14"/>
  <c r="D235" i="14"/>
  <c r="E235" i="14" s="1"/>
  <c r="F235" i="14"/>
  <c r="G235" i="14"/>
  <c r="H235" i="14"/>
  <c r="I235" i="14"/>
  <c r="J235" i="14"/>
  <c r="K235" i="14"/>
  <c r="L235" i="14"/>
  <c r="M235" i="14"/>
  <c r="N235" i="14"/>
  <c r="O235" i="14"/>
  <c r="P235" i="14"/>
  <c r="D236" i="14"/>
  <c r="E236" i="14" s="1"/>
  <c r="F236" i="14"/>
  <c r="G236" i="14"/>
  <c r="H236" i="14"/>
  <c r="I236" i="14"/>
  <c r="J236" i="14"/>
  <c r="K236" i="14"/>
  <c r="L236" i="14"/>
  <c r="M236" i="14"/>
  <c r="N236" i="14"/>
  <c r="O236" i="14"/>
  <c r="P236" i="14"/>
  <c r="D237" i="14"/>
  <c r="E237" i="14" s="1"/>
  <c r="F237" i="14"/>
  <c r="G237" i="14"/>
  <c r="H237" i="14"/>
  <c r="I237" i="14"/>
  <c r="J237" i="14"/>
  <c r="K237" i="14"/>
  <c r="L237" i="14"/>
  <c r="M237" i="14"/>
  <c r="N237" i="14"/>
  <c r="O237" i="14"/>
  <c r="P237" i="14"/>
  <c r="D238" i="14"/>
  <c r="E238" i="14" s="1"/>
  <c r="F238" i="14"/>
  <c r="G238" i="14"/>
  <c r="H238" i="14"/>
  <c r="I238" i="14"/>
  <c r="J238" i="14"/>
  <c r="K238" i="14"/>
  <c r="L238" i="14"/>
  <c r="M238" i="14"/>
  <c r="N238" i="14"/>
  <c r="O238" i="14"/>
  <c r="P238" i="14"/>
  <c r="D239" i="14"/>
  <c r="E239" i="14" s="1"/>
  <c r="F239" i="14"/>
  <c r="G239" i="14"/>
  <c r="H239" i="14"/>
  <c r="I239" i="14"/>
  <c r="J239" i="14"/>
  <c r="K239" i="14"/>
  <c r="L239" i="14"/>
  <c r="M239" i="14"/>
  <c r="N239" i="14"/>
  <c r="O239" i="14"/>
  <c r="P239" i="14"/>
  <c r="D240" i="14"/>
  <c r="E240" i="14" s="1"/>
  <c r="F240" i="14"/>
  <c r="G240" i="14"/>
  <c r="H240" i="14"/>
  <c r="I240" i="14"/>
  <c r="J240" i="14"/>
  <c r="K240" i="14"/>
  <c r="L240" i="14"/>
  <c r="M240" i="14"/>
  <c r="N240" i="14"/>
  <c r="O240" i="14"/>
  <c r="P240" i="14"/>
  <c r="D89" i="14"/>
  <c r="E89" i="14" s="1"/>
  <c r="F89" i="14"/>
  <c r="G89" i="14"/>
  <c r="H89" i="14"/>
  <c r="I89" i="14"/>
  <c r="J89" i="14"/>
  <c r="K89" i="14"/>
  <c r="L89" i="14"/>
  <c r="M89" i="14"/>
  <c r="N89" i="14"/>
  <c r="O89" i="14"/>
  <c r="P89" i="14"/>
  <c r="D90" i="14"/>
  <c r="E90" i="14" s="1"/>
  <c r="F90" i="14"/>
  <c r="G90" i="14"/>
  <c r="H90" i="14"/>
  <c r="I90" i="14"/>
  <c r="J90" i="14"/>
  <c r="K90" i="14"/>
  <c r="L90" i="14"/>
  <c r="M90" i="14"/>
  <c r="N90" i="14"/>
  <c r="O90" i="14"/>
  <c r="P90" i="14"/>
  <c r="G94" i="14"/>
  <c r="I94" i="14"/>
  <c r="J94" i="14"/>
  <c r="K94" i="14"/>
  <c r="L94" i="14"/>
  <c r="M94" i="14"/>
  <c r="N94" i="14"/>
  <c r="O94" i="14"/>
  <c r="P94" i="14"/>
  <c r="D94" i="14"/>
  <c r="E94" i="14" s="1"/>
  <c r="F94" i="14"/>
  <c r="H94" i="14"/>
  <c r="D99" i="14"/>
  <c r="E99" i="14" s="1"/>
  <c r="F99" i="14"/>
  <c r="G99" i="14"/>
  <c r="H99" i="14"/>
  <c r="I99" i="14"/>
  <c r="J99" i="14"/>
  <c r="K99" i="14"/>
  <c r="L99" i="14"/>
  <c r="M99" i="14"/>
  <c r="N99" i="14"/>
  <c r="O99" i="14"/>
  <c r="P99" i="14"/>
  <c r="D107" i="14"/>
  <c r="E107" i="14" s="1"/>
  <c r="F107" i="14"/>
  <c r="G107" i="14"/>
  <c r="H107" i="14"/>
  <c r="I107" i="14"/>
  <c r="J107" i="14"/>
  <c r="K107" i="14"/>
  <c r="L107" i="14"/>
  <c r="M107" i="14"/>
  <c r="N107" i="14"/>
  <c r="O107" i="14"/>
  <c r="P107" i="14"/>
  <c r="D110" i="14"/>
  <c r="E110" i="14" s="1"/>
  <c r="F110" i="14"/>
  <c r="G110" i="14"/>
  <c r="H110" i="14"/>
  <c r="I110" i="14"/>
  <c r="J110" i="14"/>
  <c r="K110" i="14"/>
  <c r="L110" i="14"/>
  <c r="M110" i="14"/>
  <c r="N110" i="14"/>
  <c r="O110" i="14"/>
  <c r="P110" i="14"/>
  <c r="D113" i="14"/>
  <c r="E113" i="14" s="1"/>
  <c r="F113" i="14"/>
  <c r="G113" i="14"/>
  <c r="H113" i="14"/>
  <c r="I113" i="14"/>
  <c r="J113" i="14"/>
  <c r="K113" i="14"/>
  <c r="L113" i="14"/>
  <c r="M113" i="14"/>
  <c r="N113" i="14"/>
  <c r="O113" i="14"/>
  <c r="P113" i="14"/>
  <c r="D114" i="14"/>
  <c r="E114" i="14" s="1"/>
  <c r="F114" i="14"/>
  <c r="G114" i="14"/>
  <c r="H114" i="14"/>
  <c r="I114" i="14"/>
  <c r="J114" i="14"/>
  <c r="K114" i="14"/>
  <c r="L114" i="14"/>
  <c r="M114" i="14"/>
  <c r="N114" i="14"/>
  <c r="O114" i="14"/>
  <c r="P114" i="14"/>
  <c r="D119" i="14"/>
  <c r="E119" i="14" s="1"/>
  <c r="F119" i="14"/>
  <c r="G119" i="14"/>
  <c r="H119" i="14"/>
  <c r="I119" i="14"/>
  <c r="J119" i="14"/>
  <c r="K119" i="14"/>
  <c r="L119" i="14"/>
  <c r="M119" i="14"/>
  <c r="N119" i="14"/>
  <c r="O119" i="14"/>
  <c r="P119" i="14"/>
  <c r="D122" i="14"/>
  <c r="E122" i="14" s="1"/>
  <c r="F122" i="14"/>
  <c r="G122" i="14"/>
  <c r="H122" i="14"/>
  <c r="I122" i="14"/>
  <c r="J122" i="14"/>
  <c r="K122" i="14"/>
  <c r="L122" i="14"/>
  <c r="M122" i="14"/>
  <c r="N122" i="14"/>
  <c r="O122" i="14"/>
  <c r="P122" i="14"/>
  <c r="D125" i="14"/>
  <c r="E125" i="14" s="1"/>
  <c r="F125" i="14"/>
  <c r="G125" i="14"/>
  <c r="H125" i="14"/>
  <c r="I125" i="14"/>
  <c r="J125" i="14"/>
  <c r="K125" i="14"/>
  <c r="L125" i="14"/>
  <c r="M125" i="14"/>
  <c r="N125" i="14"/>
  <c r="O125" i="14"/>
  <c r="P125" i="14"/>
  <c r="D128" i="14"/>
  <c r="E128" i="14" s="1"/>
  <c r="F128" i="14"/>
  <c r="G128" i="14"/>
  <c r="H128" i="14"/>
  <c r="I128" i="14"/>
  <c r="J128" i="14"/>
  <c r="K128" i="14"/>
  <c r="L128" i="14"/>
  <c r="M128" i="14"/>
  <c r="N128" i="14"/>
  <c r="O128" i="14"/>
  <c r="P128" i="14"/>
  <c r="D131" i="14"/>
  <c r="E131" i="14" s="1"/>
  <c r="F131" i="14"/>
  <c r="G131" i="14"/>
  <c r="H131" i="14"/>
  <c r="I131" i="14"/>
  <c r="J131" i="14"/>
  <c r="K131" i="14"/>
  <c r="L131" i="14"/>
  <c r="M131" i="14"/>
  <c r="N131" i="14"/>
  <c r="O131" i="14"/>
  <c r="P131" i="14"/>
  <c r="D241" i="14"/>
  <c r="E241" i="14" s="1"/>
  <c r="F241" i="14"/>
  <c r="G241" i="14"/>
  <c r="H241" i="14"/>
  <c r="I241" i="14"/>
  <c r="J241" i="14"/>
  <c r="K241" i="14"/>
  <c r="L241" i="14"/>
  <c r="M241" i="14"/>
  <c r="N241" i="14"/>
  <c r="O241" i="14"/>
  <c r="P241" i="14"/>
  <c r="D242" i="14"/>
  <c r="E242" i="14" s="1"/>
  <c r="F242" i="14"/>
  <c r="G242" i="14"/>
  <c r="H242" i="14"/>
  <c r="I242" i="14"/>
  <c r="J242" i="14"/>
  <c r="K242" i="14"/>
  <c r="L242" i="14"/>
  <c r="M242" i="14"/>
  <c r="N242" i="14"/>
  <c r="O242" i="14"/>
  <c r="P242" i="14"/>
  <c r="D243" i="14"/>
  <c r="E243" i="14" s="1"/>
  <c r="F243" i="14"/>
  <c r="G243" i="14"/>
  <c r="H243" i="14"/>
  <c r="I243" i="14"/>
  <c r="J243" i="14"/>
  <c r="K243" i="14"/>
  <c r="L243" i="14"/>
  <c r="M243" i="14"/>
  <c r="N243" i="14"/>
  <c r="O243" i="14"/>
  <c r="P243" i="14"/>
  <c r="D244" i="14"/>
  <c r="E244" i="14" s="1"/>
  <c r="F244" i="14"/>
  <c r="G244" i="14"/>
  <c r="H244" i="14"/>
  <c r="I244" i="14"/>
  <c r="J244" i="14"/>
  <c r="K244" i="14"/>
  <c r="L244" i="14"/>
  <c r="M244" i="14"/>
  <c r="N244" i="14"/>
  <c r="O244" i="14"/>
  <c r="P244" i="14"/>
  <c r="D245" i="14"/>
  <c r="E245" i="14" s="1"/>
  <c r="F245" i="14"/>
  <c r="G245" i="14"/>
  <c r="H245" i="14"/>
  <c r="I245" i="14"/>
  <c r="J245" i="14"/>
  <c r="K245" i="14"/>
  <c r="L245" i="14"/>
  <c r="M245" i="14"/>
  <c r="N245" i="14"/>
  <c r="O245" i="14"/>
  <c r="P245" i="14"/>
  <c r="D246" i="14"/>
  <c r="E246" i="14" s="1"/>
  <c r="F246" i="14"/>
  <c r="G246" i="14"/>
  <c r="H246" i="14"/>
  <c r="I246" i="14"/>
  <c r="J246" i="14"/>
  <c r="K246" i="14"/>
  <c r="L246" i="14"/>
  <c r="M246" i="14"/>
  <c r="N246" i="14"/>
  <c r="O246" i="14"/>
  <c r="P246" i="14"/>
  <c r="D247" i="14"/>
  <c r="E247" i="14" s="1"/>
  <c r="F247" i="14"/>
  <c r="G247" i="14"/>
  <c r="H247" i="14"/>
  <c r="I247" i="14"/>
  <c r="J247" i="14"/>
  <c r="K247" i="14"/>
  <c r="L247" i="14"/>
  <c r="M247" i="14"/>
  <c r="N247" i="14"/>
  <c r="O247" i="14"/>
  <c r="P247" i="14"/>
  <c r="D248" i="14"/>
  <c r="E248" i="14" s="1"/>
  <c r="F248" i="14"/>
  <c r="G248" i="14"/>
  <c r="H248" i="14"/>
  <c r="I248" i="14"/>
  <c r="J248" i="14"/>
  <c r="K248" i="14"/>
  <c r="L248" i="14"/>
  <c r="M248" i="14"/>
  <c r="N248" i="14"/>
  <c r="O248" i="14"/>
  <c r="P248" i="14"/>
  <c r="D249" i="14"/>
  <c r="E249" i="14" s="1"/>
  <c r="F249" i="14"/>
  <c r="G249" i="14"/>
  <c r="H249" i="14"/>
  <c r="I249" i="14"/>
  <c r="J249" i="14"/>
  <c r="K249" i="14"/>
  <c r="L249" i="14"/>
  <c r="M249" i="14"/>
  <c r="N249" i="14"/>
  <c r="O249" i="14"/>
  <c r="P249" i="14"/>
  <c r="D250" i="14"/>
  <c r="E250" i="14" s="1"/>
  <c r="F250" i="14"/>
  <c r="G250" i="14"/>
  <c r="H250" i="14"/>
  <c r="I250" i="14"/>
  <c r="J250" i="14"/>
  <c r="K250" i="14"/>
  <c r="L250" i="14"/>
  <c r="M250" i="14"/>
  <c r="N250" i="14"/>
  <c r="O250" i="14"/>
  <c r="P250" i="14"/>
  <c r="D251" i="14"/>
  <c r="E251" i="14" s="1"/>
  <c r="F251" i="14"/>
  <c r="G251" i="14"/>
  <c r="H251" i="14"/>
  <c r="I251" i="14"/>
  <c r="J251" i="14"/>
  <c r="K251" i="14"/>
  <c r="L251" i="14"/>
  <c r="M251" i="14"/>
  <c r="N251" i="14"/>
  <c r="O251" i="14"/>
  <c r="P251" i="14"/>
  <c r="D252" i="14"/>
  <c r="E252" i="14" s="1"/>
  <c r="F252" i="14"/>
  <c r="G252" i="14"/>
  <c r="H252" i="14"/>
  <c r="I252" i="14"/>
  <c r="J252" i="14"/>
  <c r="K252" i="14"/>
  <c r="L252" i="14"/>
  <c r="M252" i="14"/>
  <c r="N252" i="14"/>
  <c r="O252" i="14"/>
  <c r="P252" i="14"/>
  <c r="D253" i="14"/>
  <c r="E253" i="14" s="1"/>
  <c r="F253" i="14"/>
  <c r="G253" i="14"/>
  <c r="H253" i="14"/>
  <c r="I253" i="14"/>
  <c r="J253" i="14"/>
  <c r="K253" i="14"/>
  <c r="L253" i="14"/>
  <c r="M253" i="14"/>
  <c r="N253" i="14"/>
  <c r="O253" i="14"/>
  <c r="P253" i="14"/>
  <c r="D254" i="14"/>
  <c r="E254" i="14" s="1"/>
  <c r="F254" i="14"/>
  <c r="G254" i="14"/>
  <c r="H254" i="14"/>
  <c r="I254" i="14"/>
  <c r="J254" i="14"/>
  <c r="K254" i="14"/>
  <c r="L254" i="14"/>
  <c r="M254" i="14"/>
  <c r="N254" i="14"/>
  <c r="O254" i="14"/>
  <c r="P254" i="14"/>
  <c r="D255" i="14"/>
  <c r="E255" i="14" s="1"/>
  <c r="F255" i="14"/>
  <c r="G255" i="14"/>
  <c r="H255" i="14"/>
  <c r="I255" i="14"/>
  <c r="J255" i="14"/>
  <c r="K255" i="14"/>
  <c r="L255" i="14"/>
  <c r="M255" i="14"/>
  <c r="N255" i="14"/>
  <c r="O255" i="14"/>
  <c r="P255" i="14"/>
  <c r="D256" i="14"/>
  <c r="E256" i="14" s="1"/>
  <c r="F256" i="14"/>
  <c r="G256" i="14"/>
  <c r="H256" i="14"/>
  <c r="I256" i="14"/>
  <c r="J256" i="14"/>
  <c r="K256" i="14"/>
  <c r="L256" i="14"/>
  <c r="M256" i="14"/>
  <c r="N256" i="14"/>
  <c r="O256" i="14"/>
  <c r="P256" i="14"/>
  <c r="D257" i="14"/>
  <c r="E257" i="14" s="1"/>
  <c r="F257" i="14"/>
  <c r="G257" i="14"/>
  <c r="H257" i="14"/>
  <c r="I257" i="14"/>
  <c r="J257" i="14"/>
  <c r="K257" i="14"/>
  <c r="L257" i="14"/>
  <c r="M257" i="14"/>
  <c r="N257" i="14"/>
  <c r="O257" i="14"/>
  <c r="P257" i="14"/>
  <c r="D258" i="14"/>
  <c r="E258" i="14" s="1"/>
  <c r="F258" i="14"/>
  <c r="G258" i="14"/>
  <c r="H258" i="14"/>
  <c r="I258" i="14"/>
  <c r="J258" i="14"/>
  <c r="K258" i="14"/>
  <c r="L258" i="14"/>
  <c r="M258" i="14"/>
  <c r="N258" i="14"/>
  <c r="O258" i="14"/>
  <c r="P258" i="14"/>
  <c r="D259" i="14"/>
  <c r="E259" i="14" s="1"/>
  <c r="F259" i="14"/>
  <c r="G259" i="14"/>
  <c r="H259" i="14"/>
  <c r="I259" i="14"/>
  <c r="J259" i="14"/>
  <c r="K259" i="14"/>
  <c r="L259" i="14"/>
  <c r="M259" i="14"/>
  <c r="N259" i="14"/>
  <c r="O259" i="14"/>
  <c r="P259" i="14"/>
  <c r="D260" i="14"/>
  <c r="E260" i="14" s="1"/>
  <c r="F260" i="14"/>
  <c r="G260" i="14"/>
  <c r="H260" i="14"/>
  <c r="I260" i="14"/>
  <c r="J260" i="14"/>
  <c r="K260" i="14"/>
  <c r="L260" i="14"/>
  <c r="M260" i="14"/>
  <c r="N260" i="14"/>
  <c r="O260" i="14"/>
  <c r="P260" i="14"/>
  <c r="D261" i="14"/>
  <c r="E261" i="14" s="1"/>
  <c r="F261" i="14"/>
  <c r="G261" i="14"/>
  <c r="H261" i="14"/>
  <c r="I261" i="14"/>
  <c r="J261" i="14"/>
  <c r="K261" i="14"/>
  <c r="L261" i="14"/>
  <c r="M261" i="14"/>
  <c r="N261" i="14"/>
  <c r="O261" i="14"/>
  <c r="P261" i="14"/>
  <c r="D262" i="14"/>
  <c r="E262" i="14" s="1"/>
  <c r="F262" i="14"/>
  <c r="G262" i="14"/>
  <c r="H262" i="14"/>
  <c r="I262" i="14"/>
  <c r="J262" i="14"/>
  <c r="K262" i="14"/>
  <c r="L262" i="14"/>
  <c r="M262" i="14"/>
  <c r="N262" i="14"/>
  <c r="O262" i="14"/>
  <c r="P262" i="14"/>
  <c r="D263" i="14"/>
  <c r="E263" i="14" s="1"/>
  <c r="F263" i="14"/>
  <c r="G263" i="14"/>
  <c r="H263" i="14"/>
  <c r="I263" i="14"/>
  <c r="J263" i="14"/>
  <c r="K263" i="14"/>
  <c r="L263" i="14"/>
  <c r="M263" i="14"/>
  <c r="N263" i="14"/>
  <c r="O263" i="14"/>
  <c r="P263" i="14"/>
  <c r="D264" i="14"/>
  <c r="E264" i="14" s="1"/>
  <c r="F264" i="14"/>
  <c r="G264" i="14"/>
  <c r="H264" i="14"/>
  <c r="I264" i="14"/>
  <c r="J264" i="14"/>
  <c r="K264" i="14"/>
  <c r="L264" i="14"/>
  <c r="M264" i="14"/>
  <c r="N264" i="14"/>
  <c r="O264" i="14"/>
  <c r="P264" i="14"/>
  <c r="D265" i="14"/>
  <c r="E265" i="14" s="1"/>
  <c r="F265" i="14"/>
  <c r="G265" i="14"/>
  <c r="H265" i="14"/>
  <c r="I265" i="14"/>
  <c r="J265" i="14"/>
  <c r="K265" i="14"/>
  <c r="L265" i="14"/>
  <c r="M265" i="14"/>
  <c r="N265" i="14"/>
  <c r="O265" i="14"/>
  <c r="P265" i="14"/>
  <c r="D266" i="14"/>
  <c r="E266" i="14" s="1"/>
  <c r="F266" i="14"/>
  <c r="G266" i="14"/>
  <c r="H266" i="14"/>
  <c r="I266" i="14"/>
  <c r="J266" i="14"/>
  <c r="K266" i="14"/>
  <c r="L266" i="14"/>
  <c r="M266" i="14"/>
  <c r="N266" i="14"/>
  <c r="O266" i="14"/>
  <c r="P266" i="14"/>
  <c r="D267" i="14"/>
  <c r="E267" i="14" s="1"/>
  <c r="F267" i="14"/>
  <c r="G267" i="14"/>
  <c r="H267" i="14"/>
  <c r="I267" i="14"/>
  <c r="J267" i="14"/>
  <c r="K267" i="14"/>
  <c r="L267" i="14"/>
  <c r="M267" i="14"/>
  <c r="N267" i="14"/>
  <c r="O267" i="14"/>
  <c r="P267" i="14"/>
  <c r="D268" i="14"/>
  <c r="E268" i="14" s="1"/>
  <c r="F268" i="14"/>
  <c r="G268" i="14"/>
  <c r="H268" i="14"/>
  <c r="I268" i="14"/>
  <c r="J268" i="14"/>
  <c r="K268" i="14"/>
  <c r="L268" i="14"/>
  <c r="M268" i="14"/>
  <c r="N268" i="14"/>
  <c r="O268" i="14"/>
  <c r="P268" i="14"/>
  <c r="D269" i="14"/>
  <c r="E269" i="14" s="1"/>
  <c r="F269" i="14"/>
  <c r="G269" i="14"/>
  <c r="H269" i="14"/>
  <c r="I269" i="14"/>
  <c r="J269" i="14"/>
  <c r="K269" i="14"/>
  <c r="L269" i="14"/>
  <c r="M269" i="14"/>
  <c r="N269" i="14"/>
  <c r="O269" i="14"/>
  <c r="P269" i="14"/>
  <c r="D270" i="14"/>
  <c r="E270" i="14" s="1"/>
  <c r="F270" i="14"/>
  <c r="G270" i="14"/>
  <c r="H270" i="14"/>
  <c r="I270" i="14"/>
  <c r="J270" i="14"/>
  <c r="K270" i="14"/>
  <c r="L270" i="14"/>
  <c r="M270" i="14"/>
  <c r="N270" i="14"/>
  <c r="O270" i="14"/>
  <c r="P270" i="14"/>
  <c r="D271" i="14"/>
  <c r="E271" i="14" s="1"/>
  <c r="F271" i="14"/>
  <c r="G271" i="14"/>
  <c r="H271" i="14"/>
  <c r="I271" i="14"/>
  <c r="J271" i="14"/>
  <c r="K271" i="14"/>
  <c r="L271" i="14"/>
  <c r="M271" i="14"/>
  <c r="N271" i="14"/>
  <c r="O271" i="14"/>
  <c r="P271" i="14"/>
  <c r="D272" i="14"/>
  <c r="E272" i="14" s="1"/>
  <c r="F272" i="14"/>
  <c r="G272" i="14"/>
  <c r="H272" i="14"/>
  <c r="I272" i="14"/>
  <c r="J272" i="14"/>
  <c r="K272" i="14"/>
  <c r="L272" i="14"/>
  <c r="M272" i="14"/>
  <c r="N272" i="14"/>
  <c r="O272" i="14"/>
  <c r="P272" i="14"/>
  <c r="D273" i="14"/>
  <c r="E273" i="14" s="1"/>
  <c r="F273" i="14"/>
  <c r="G273" i="14"/>
  <c r="H273" i="14"/>
  <c r="I273" i="14"/>
  <c r="J273" i="14"/>
  <c r="K273" i="14"/>
  <c r="L273" i="14"/>
  <c r="M273" i="14"/>
  <c r="N273" i="14"/>
  <c r="O273" i="14"/>
  <c r="P273" i="14"/>
  <c r="D274" i="14"/>
  <c r="E274" i="14" s="1"/>
  <c r="F274" i="14"/>
  <c r="G274" i="14"/>
  <c r="H274" i="14"/>
  <c r="I274" i="14"/>
  <c r="J274" i="14"/>
  <c r="K274" i="14"/>
  <c r="L274" i="14"/>
  <c r="M274" i="14"/>
  <c r="N274" i="14"/>
  <c r="O274" i="14"/>
  <c r="P274" i="14"/>
  <c r="D275" i="14"/>
  <c r="E275" i="14" s="1"/>
  <c r="F275" i="14"/>
  <c r="G275" i="14"/>
  <c r="H275" i="14"/>
  <c r="I275" i="14"/>
  <c r="J275" i="14"/>
  <c r="K275" i="14"/>
  <c r="L275" i="14"/>
  <c r="M275" i="14"/>
  <c r="N275" i="14"/>
  <c r="O275" i="14"/>
  <c r="P275" i="14"/>
  <c r="D276" i="14"/>
  <c r="E276" i="14" s="1"/>
  <c r="F276" i="14"/>
  <c r="G276" i="14"/>
  <c r="H276" i="14"/>
  <c r="I276" i="14"/>
  <c r="J276" i="14"/>
  <c r="K276" i="14"/>
  <c r="L276" i="14"/>
  <c r="M276" i="14"/>
  <c r="N276" i="14"/>
  <c r="O276" i="14"/>
  <c r="P276" i="14"/>
  <c r="D277" i="14"/>
  <c r="E277" i="14" s="1"/>
  <c r="F277" i="14"/>
  <c r="G277" i="14"/>
  <c r="H277" i="14"/>
  <c r="I277" i="14"/>
  <c r="J277" i="14"/>
  <c r="K277" i="14"/>
  <c r="L277" i="14"/>
  <c r="M277" i="14"/>
  <c r="N277" i="14"/>
  <c r="O277" i="14"/>
  <c r="P277" i="14"/>
  <c r="D278" i="14"/>
  <c r="E278" i="14" s="1"/>
  <c r="F278" i="14"/>
  <c r="G278" i="14"/>
  <c r="H278" i="14"/>
  <c r="I278" i="14"/>
  <c r="J278" i="14"/>
  <c r="K278" i="14"/>
  <c r="L278" i="14"/>
  <c r="M278" i="14"/>
  <c r="N278" i="14"/>
  <c r="O278" i="14"/>
  <c r="P278" i="14"/>
  <c r="D279" i="14"/>
  <c r="E279" i="14" s="1"/>
  <c r="F279" i="14"/>
  <c r="G279" i="14"/>
  <c r="H279" i="14"/>
  <c r="I279" i="14"/>
  <c r="J279" i="14"/>
  <c r="K279" i="14"/>
  <c r="L279" i="14"/>
  <c r="M279" i="14"/>
  <c r="N279" i="14"/>
  <c r="O279" i="14"/>
  <c r="P279" i="14"/>
  <c r="D280" i="14"/>
  <c r="E280" i="14" s="1"/>
  <c r="F280" i="14"/>
  <c r="G280" i="14"/>
  <c r="H280" i="14"/>
  <c r="I280" i="14"/>
  <c r="J280" i="14"/>
  <c r="K280" i="14"/>
  <c r="L280" i="14"/>
  <c r="M280" i="14"/>
  <c r="N280" i="14"/>
  <c r="O280" i="14"/>
  <c r="P280" i="14"/>
  <c r="D281" i="14"/>
  <c r="E281" i="14" s="1"/>
  <c r="F281" i="14"/>
  <c r="G281" i="14"/>
  <c r="H281" i="14"/>
  <c r="I281" i="14"/>
  <c r="J281" i="14"/>
  <c r="K281" i="14"/>
  <c r="L281" i="14"/>
  <c r="M281" i="14"/>
  <c r="N281" i="14"/>
  <c r="O281" i="14"/>
  <c r="P281" i="14"/>
  <c r="D282" i="14"/>
  <c r="E282" i="14" s="1"/>
  <c r="F282" i="14"/>
  <c r="G282" i="14"/>
  <c r="H282" i="14"/>
  <c r="I282" i="14"/>
  <c r="J282" i="14"/>
  <c r="K282" i="14"/>
  <c r="L282" i="14"/>
  <c r="M282" i="14"/>
  <c r="N282" i="14"/>
  <c r="O282" i="14"/>
  <c r="P282" i="14"/>
  <c r="D283" i="14"/>
  <c r="E283" i="14" s="1"/>
  <c r="F283" i="14"/>
  <c r="G283" i="14"/>
  <c r="H283" i="14"/>
  <c r="I283" i="14"/>
  <c r="J283" i="14"/>
  <c r="K283" i="14"/>
  <c r="L283" i="14"/>
  <c r="M283" i="14"/>
  <c r="N283" i="14"/>
  <c r="O283" i="14"/>
  <c r="P283" i="14"/>
  <c r="D284" i="14"/>
  <c r="E284" i="14" s="1"/>
  <c r="F284" i="14"/>
  <c r="G284" i="14"/>
  <c r="H284" i="14"/>
  <c r="I284" i="14"/>
  <c r="J284" i="14"/>
  <c r="K284" i="14"/>
  <c r="L284" i="14"/>
  <c r="M284" i="14"/>
  <c r="N284" i="14"/>
  <c r="O284" i="14"/>
  <c r="P284" i="14"/>
  <c r="D285" i="14"/>
  <c r="E285" i="14" s="1"/>
  <c r="F285" i="14"/>
  <c r="G285" i="14"/>
  <c r="H285" i="14"/>
  <c r="I285" i="14"/>
  <c r="J285" i="14"/>
  <c r="K285" i="14"/>
  <c r="L285" i="14"/>
  <c r="M285" i="14"/>
  <c r="N285" i="14"/>
  <c r="O285" i="14"/>
  <c r="P285" i="14"/>
  <c r="D286" i="14"/>
  <c r="E286" i="14" s="1"/>
  <c r="F286" i="14"/>
  <c r="G286" i="14"/>
  <c r="H286" i="14"/>
  <c r="I286" i="14"/>
  <c r="J286" i="14"/>
  <c r="K286" i="14"/>
  <c r="L286" i="14"/>
  <c r="M286" i="14"/>
  <c r="N286" i="14"/>
  <c r="O286" i="14"/>
  <c r="P286" i="14"/>
  <c r="D287" i="14"/>
  <c r="E287" i="14" s="1"/>
  <c r="F287" i="14"/>
  <c r="G287" i="14"/>
  <c r="H287" i="14"/>
  <c r="I287" i="14"/>
  <c r="J287" i="14"/>
  <c r="K287" i="14"/>
  <c r="L287" i="14"/>
  <c r="M287" i="14"/>
  <c r="N287" i="14"/>
  <c r="O287" i="14"/>
  <c r="P287" i="14"/>
  <c r="D288" i="14"/>
  <c r="E288" i="14" s="1"/>
  <c r="F288" i="14"/>
  <c r="G288" i="14"/>
  <c r="H288" i="14"/>
  <c r="I288" i="14"/>
  <c r="J288" i="14"/>
  <c r="K288" i="14"/>
  <c r="L288" i="14"/>
  <c r="M288" i="14"/>
  <c r="N288" i="14"/>
  <c r="O288" i="14"/>
  <c r="P288" i="14"/>
  <c r="D289" i="14"/>
  <c r="E289" i="14" s="1"/>
  <c r="F289" i="14"/>
  <c r="G289" i="14"/>
  <c r="H289" i="14"/>
  <c r="I289" i="14"/>
  <c r="J289" i="14"/>
  <c r="K289" i="14"/>
  <c r="L289" i="14"/>
  <c r="M289" i="14"/>
  <c r="N289" i="14"/>
  <c r="O289" i="14"/>
  <c r="P289" i="14"/>
  <c r="D290" i="14"/>
  <c r="E290" i="14" s="1"/>
  <c r="F290" i="14"/>
  <c r="G290" i="14"/>
  <c r="H290" i="14"/>
  <c r="I290" i="14"/>
  <c r="J290" i="14"/>
  <c r="K290" i="14"/>
  <c r="L290" i="14"/>
  <c r="M290" i="14"/>
  <c r="N290" i="14"/>
  <c r="O290" i="14"/>
  <c r="P290" i="14"/>
  <c r="D6" i="14"/>
  <c r="E6" i="14" s="1"/>
  <c r="F6" i="14"/>
  <c r="G6" i="14"/>
  <c r="H6" i="14"/>
  <c r="I6" i="14"/>
  <c r="J6" i="14"/>
  <c r="K6" i="14"/>
  <c r="L6" i="14"/>
  <c r="M6" i="14"/>
  <c r="N6" i="14"/>
  <c r="O6" i="14"/>
  <c r="P6" i="14"/>
  <c r="D7" i="13"/>
  <c r="E7" i="13" s="1"/>
  <c r="F7" i="13"/>
  <c r="G7" i="13"/>
  <c r="H7" i="13"/>
  <c r="I7" i="13"/>
  <c r="J7" i="13"/>
  <c r="K7" i="13"/>
  <c r="L7" i="13"/>
  <c r="M7" i="13"/>
  <c r="N7" i="13"/>
  <c r="O7" i="13"/>
  <c r="P7" i="13"/>
  <c r="D8" i="13"/>
  <c r="E8" i="13" s="1"/>
  <c r="F8" i="13"/>
  <c r="G8" i="13"/>
  <c r="H8" i="13"/>
  <c r="I8" i="13"/>
  <c r="J8" i="13"/>
  <c r="K8" i="13"/>
  <c r="L8" i="13"/>
  <c r="M8" i="13"/>
  <c r="N8" i="13"/>
  <c r="O8" i="13"/>
  <c r="P8" i="13"/>
  <c r="D9" i="13"/>
  <c r="E9" i="13" s="1"/>
  <c r="F9" i="13"/>
  <c r="G9" i="13"/>
  <c r="H9" i="13"/>
  <c r="I9" i="13"/>
  <c r="J9" i="13"/>
  <c r="K9" i="13"/>
  <c r="L9" i="13"/>
  <c r="M9" i="13"/>
  <c r="N9" i="13"/>
  <c r="O9" i="13"/>
  <c r="P9" i="13"/>
  <c r="D10" i="13"/>
  <c r="E10" i="13" s="1"/>
  <c r="F10" i="13"/>
  <c r="G10" i="13"/>
  <c r="H10" i="13"/>
  <c r="I10" i="13"/>
  <c r="J10" i="13"/>
  <c r="K10" i="13"/>
  <c r="L10" i="13"/>
  <c r="M10" i="13"/>
  <c r="N10" i="13"/>
  <c r="O10" i="13"/>
  <c r="P10" i="13"/>
  <c r="D11" i="13"/>
  <c r="E11" i="13" s="1"/>
  <c r="F11" i="13"/>
  <c r="G11" i="13"/>
  <c r="H11" i="13"/>
  <c r="I11" i="13"/>
  <c r="J11" i="13"/>
  <c r="K11" i="13"/>
  <c r="L11" i="13"/>
  <c r="M11" i="13"/>
  <c r="N11" i="13"/>
  <c r="O11" i="13"/>
  <c r="P11" i="13"/>
  <c r="D12" i="13"/>
  <c r="E12" i="13" s="1"/>
  <c r="F12" i="13"/>
  <c r="G12" i="13"/>
  <c r="H12" i="13"/>
  <c r="I12" i="13"/>
  <c r="J12" i="13"/>
  <c r="K12" i="13"/>
  <c r="L12" i="13"/>
  <c r="M12" i="13"/>
  <c r="N12" i="13"/>
  <c r="O12" i="13"/>
  <c r="P12" i="13"/>
  <c r="D13" i="13"/>
  <c r="E13" i="13" s="1"/>
  <c r="F13" i="13"/>
  <c r="G13" i="13"/>
  <c r="H13" i="13"/>
  <c r="I13" i="13"/>
  <c r="J13" i="13"/>
  <c r="K13" i="13"/>
  <c r="L13" i="13"/>
  <c r="M13" i="13"/>
  <c r="N13" i="13"/>
  <c r="O13" i="13"/>
  <c r="P13" i="13"/>
  <c r="D14" i="13"/>
  <c r="E14" i="13" s="1"/>
  <c r="F14" i="13"/>
  <c r="G14" i="13"/>
  <c r="H14" i="13"/>
  <c r="I14" i="13"/>
  <c r="J14" i="13"/>
  <c r="K14" i="13"/>
  <c r="L14" i="13"/>
  <c r="M14" i="13"/>
  <c r="N14" i="13"/>
  <c r="O14" i="13"/>
  <c r="P14" i="13"/>
  <c r="D15" i="13"/>
  <c r="E15" i="13" s="1"/>
  <c r="F15" i="13"/>
  <c r="G15" i="13"/>
  <c r="H15" i="13"/>
  <c r="I15" i="13"/>
  <c r="J15" i="13"/>
  <c r="K15" i="13"/>
  <c r="L15" i="13"/>
  <c r="M15" i="13"/>
  <c r="N15" i="13"/>
  <c r="O15" i="13"/>
  <c r="P15" i="13"/>
  <c r="D16" i="13"/>
  <c r="E16" i="13" s="1"/>
  <c r="F16" i="13"/>
  <c r="G16" i="13"/>
  <c r="H16" i="13"/>
  <c r="I16" i="13"/>
  <c r="J16" i="13"/>
  <c r="K16" i="13"/>
  <c r="L16" i="13"/>
  <c r="M16" i="13"/>
  <c r="N16" i="13"/>
  <c r="O16" i="13"/>
  <c r="P16" i="13"/>
  <c r="D17" i="13"/>
  <c r="E17" i="13" s="1"/>
  <c r="F17" i="13"/>
  <c r="G17" i="13"/>
  <c r="H17" i="13"/>
  <c r="I17" i="13"/>
  <c r="J17" i="13"/>
  <c r="K17" i="13"/>
  <c r="L17" i="13"/>
  <c r="M17" i="13"/>
  <c r="N17" i="13"/>
  <c r="O17" i="13"/>
  <c r="P17" i="13"/>
  <c r="D18" i="13"/>
  <c r="E18" i="13" s="1"/>
  <c r="F18" i="13"/>
  <c r="G18" i="13"/>
  <c r="H18" i="13"/>
  <c r="I18" i="13"/>
  <c r="J18" i="13"/>
  <c r="K18" i="13"/>
  <c r="L18" i="13"/>
  <c r="M18" i="13"/>
  <c r="N18" i="13"/>
  <c r="O18" i="13"/>
  <c r="P18" i="13"/>
  <c r="D19" i="13"/>
  <c r="E19" i="13" s="1"/>
  <c r="F19" i="13"/>
  <c r="G19" i="13"/>
  <c r="H19" i="13"/>
  <c r="I19" i="13"/>
  <c r="J19" i="13"/>
  <c r="K19" i="13"/>
  <c r="L19" i="13"/>
  <c r="M19" i="13"/>
  <c r="N19" i="13"/>
  <c r="O19" i="13"/>
  <c r="P19" i="13"/>
  <c r="D20" i="13"/>
  <c r="E20" i="13" s="1"/>
  <c r="F20" i="13"/>
  <c r="G20" i="13"/>
  <c r="H20" i="13"/>
  <c r="I20" i="13"/>
  <c r="J20" i="13"/>
  <c r="K20" i="13"/>
  <c r="L20" i="13"/>
  <c r="M20" i="13"/>
  <c r="N20" i="13"/>
  <c r="O20" i="13"/>
  <c r="P20" i="13"/>
  <c r="D21" i="13"/>
  <c r="E21" i="13" s="1"/>
  <c r="F21" i="13"/>
  <c r="G21" i="13"/>
  <c r="H21" i="13"/>
  <c r="I21" i="13"/>
  <c r="J21" i="13"/>
  <c r="K21" i="13"/>
  <c r="L21" i="13"/>
  <c r="M21" i="13"/>
  <c r="N21" i="13"/>
  <c r="O21" i="13"/>
  <c r="P21" i="13"/>
  <c r="D22" i="13"/>
  <c r="E22" i="13" s="1"/>
  <c r="F22" i="13"/>
  <c r="G22" i="13"/>
  <c r="H22" i="13"/>
  <c r="I22" i="13"/>
  <c r="J22" i="13"/>
  <c r="K22" i="13"/>
  <c r="L22" i="13"/>
  <c r="M22" i="13"/>
  <c r="N22" i="13"/>
  <c r="O22" i="13"/>
  <c r="P22" i="13"/>
  <c r="D23" i="13"/>
  <c r="E23" i="13" s="1"/>
  <c r="F23" i="13"/>
  <c r="G23" i="13"/>
  <c r="H23" i="13"/>
  <c r="I23" i="13"/>
  <c r="J23" i="13"/>
  <c r="K23" i="13"/>
  <c r="L23" i="13"/>
  <c r="M23" i="13"/>
  <c r="N23" i="13"/>
  <c r="O23" i="13"/>
  <c r="P23" i="13"/>
  <c r="D24" i="13"/>
  <c r="E24" i="13" s="1"/>
  <c r="F24" i="13"/>
  <c r="G24" i="13"/>
  <c r="H24" i="13"/>
  <c r="I24" i="13"/>
  <c r="J24" i="13"/>
  <c r="K24" i="13"/>
  <c r="L24" i="13"/>
  <c r="M24" i="13"/>
  <c r="N24" i="13"/>
  <c r="O24" i="13"/>
  <c r="P24" i="13"/>
  <c r="D25" i="13"/>
  <c r="E25" i="13" s="1"/>
  <c r="F25" i="13"/>
  <c r="G25" i="13"/>
  <c r="H25" i="13"/>
  <c r="I25" i="13"/>
  <c r="J25" i="13"/>
  <c r="K25" i="13"/>
  <c r="L25" i="13"/>
  <c r="M25" i="13"/>
  <c r="N25" i="13"/>
  <c r="O25" i="13"/>
  <c r="P25" i="13"/>
  <c r="D26" i="13"/>
  <c r="E26" i="13" s="1"/>
  <c r="F26" i="13"/>
  <c r="G26" i="13"/>
  <c r="H26" i="13"/>
  <c r="I26" i="13"/>
  <c r="J26" i="13"/>
  <c r="K26" i="13"/>
  <c r="L26" i="13"/>
  <c r="M26" i="13"/>
  <c r="N26" i="13"/>
  <c r="O26" i="13"/>
  <c r="P26" i="13"/>
  <c r="D27" i="13"/>
  <c r="E27" i="13" s="1"/>
  <c r="F27" i="13"/>
  <c r="G27" i="13"/>
  <c r="H27" i="13"/>
  <c r="I27" i="13"/>
  <c r="J27" i="13"/>
  <c r="K27" i="13"/>
  <c r="L27" i="13"/>
  <c r="M27" i="13"/>
  <c r="N27" i="13"/>
  <c r="O27" i="13"/>
  <c r="P27" i="13"/>
  <c r="D28" i="13"/>
  <c r="E28" i="13" s="1"/>
  <c r="F28" i="13"/>
  <c r="G28" i="13"/>
  <c r="H28" i="13"/>
  <c r="I28" i="13"/>
  <c r="J28" i="13"/>
  <c r="K28" i="13"/>
  <c r="L28" i="13"/>
  <c r="M28" i="13"/>
  <c r="N28" i="13"/>
  <c r="O28" i="13"/>
  <c r="P28" i="13"/>
  <c r="D29" i="13"/>
  <c r="E29" i="13" s="1"/>
  <c r="F29" i="13"/>
  <c r="G29" i="13"/>
  <c r="H29" i="13"/>
  <c r="I29" i="13"/>
  <c r="J29" i="13"/>
  <c r="K29" i="13"/>
  <c r="L29" i="13"/>
  <c r="M29" i="13"/>
  <c r="N29" i="13"/>
  <c r="O29" i="13"/>
  <c r="P29" i="13"/>
  <c r="D30" i="13"/>
  <c r="E30" i="13" s="1"/>
  <c r="F30" i="13"/>
  <c r="G30" i="13"/>
  <c r="H30" i="13"/>
  <c r="I30" i="13"/>
  <c r="J30" i="13"/>
  <c r="K30" i="13"/>
  <c r="L30" i="13"/>
  <c r="M30" i="13"/>
  <c r="N30" i="13"/>
  <c r="O30" i="13"/>
  <c r="P30" i="13"/>
  <c r="D31" i="13"/>
  <c r="E31" i="13" s="1"/>
  <c r="F31" i="13"/>
  <c r="G31" i="13"/>
  <c r="H31" i="13"/>
  <c r="I31" i="13"/>
  <c r="J31" i="13"/>
  <c r="K31" i="13"/>
  <c r="L31" i="13"/>
  <c r="M31" i="13"/>
  <c r="N31" i="13"/>
  <c r="O31" i="13"/>
  <c r="P31" i="13"/>
  <c r="D32" i="13"/>
  <c r="E32" i="13" s="1"/>
  <c r="F32" i="13"/>
  <c r="G32" i="13"/>
  <c r="H32" i="13"/>
  <c r="I32" i="13"/>
  <c r="J32" i="13"/>
  <c r="K32" i="13"/>
  <c r="L32" i="13"/>
  <c r="M32" i="13"/>
  <c r="N32" i="13"/>
  <c r="O32" i="13"/>
  <c r="P32" i="13"/>
  <c r="D33" i="13"/>
  <c r="E33" i="13" s="1"/>
  <c r="F33" i="13"/>
  <c r="G33" i="13"/>
  <c r="H33" i="13"/>
  <c r="I33" i="13"/>
  <c r="J33" i="13"/>
  <c r="K33" i="13"/>
  <c r="L33" i="13"/>
  <c r="M33" i="13"/>
  <c r="N33" i="13"/>
  <c r="O33" i="13"/>
  <c r="P33" i="13"/>
  <c r="D34" i="13"/>
  <c r="E34" i="13" s="1"/>
  <c r="F34" i="13"/>
  <c r="G34" i="13"/>
  <c r="H34" i="13"/>
  <c r="I34" i="13"/>
  <c r="J34" i="13"/>
  <c r="K34" i="13"/>
  <c r="L34" i="13"/>
  <c r="M34" i="13"/>
  <c r="N34" i="13"/>
  <c r="O34" i="13"/>
  <c r="P34" i="13"/>
  <c r="D35" i="13"/>
  <c r="E35" i="13" s="1"/>
  <c r="F35" i="13"/>
  <c r="G35" i="13"/>
  <c r="H35" i="13"/>
  <c r="I35" i="13"/>
  <c r="J35" i="13"/>
  <c r="K35" i="13"/>
  <c r="L35" i="13"/>
  <c r="M35" i="13"/>
  <c r="N35" i="13"/>
  <c r="O35" i="13"/>
  <c r="P35" i="13"/>
  <c r="D36" i="13"/>
  <c r="E36" i="13" s="1"/>
  <c r="F36" i="13"/>
  <c r="G36" i="13"/>
  <c r="H36" i="13"/>
  <c r="I36" i="13"/>
  <c r="J36" i="13"/>
  <c r="K36" i="13"/>
  <c r="L36" i="13"/>
  <c r="M36" i="13"/>
  <c r="N36" i="13"/>
  <c r="O36" i="13"/>
  <c r="P36" i="13"/>
  <c r="D37" i="13"/>
  <c r="E37" i="13" s="1"/>
  <c r="F37" i="13"/>
  <c r="G37" i="13"/>
  <c r="H37" i="13"/>
  <c r="I37" i="13"/>
  <c r="J37" i="13"/>
  <c r="K37" i="13"/>
  <c r="L37" i="13"/>
  <c r="M37" i="13"/>
  <c r="N37" i="13"/>
  <c r="O37" i="13"/>
  <c r="P37" i="13"/>
  <c r="D38" i="13"/>
  <c r="E38" i="13" s="1"/>
  <c r="F38" i="13"/>
  <c r="G38" i="13"/>
  <c r="H38" i="13"/>
  <c r="I38" i="13"/>
  <c r="J38" i="13"/>
  <c r="K38" i="13"/>
  <c r="L38" i="13"/>
  <c r="M38" i="13"/>
  <c r="N38" i="13"/>
  <c r="O38" i="13"/>
  <c r="P38" i="13"/>
  <c r="D39" i="13"/>
  <c r="E39" i="13" s="1"/>
  <c r="F39" i="13"/>
  <c r="G39" i="13"/>
  <c r="H39" i="13"/>
  <c r="I39" i="13"/>
  <c r="J39" i="13"/>
  <c r="K39" i="13"/>
  <c r="L39" i="13"/>
  <c r="M39" i="13"/>
  <c r="N39" i="13"/>
  <c r="O39" i="13"/>
  <c r="P39" i="13"/>
  <c r="D40" i="13"/>
  <c r="E40" i="13" s="1"/>
  <c r="F40" i="13"/>
  <c r="G40" i="13"/>
  <c r="H40" i="13"/>
  <c r="I40" i="13"/>
  <c r="J40" i="13"/>
  <c r="K40" i="13"/>
  <c r="L40" i="13"/>
  <c r="M40" i="13"/>
  <c r="N40" i="13"/>
  <c r="O40" i="13"/>
  <c r="P40" i="13"/>
  <c r="D41" i="13"/>
  <c r="E41" i="13" s="1"/>
  <c r="F41" i="13"/>
  <c r="G41" i="13"/>
  <c r="H41" i="13"/>
  <c r="I41" i="13"/>
  <c r="J41" i="13"/>
  <c r="K41" i="13"/>
  <c r="L41" i="13"/>
  <c r="M41" i="13"/>
  <c r="N41" i="13"/>
  <c r="O41" i="13"/>
  <c r="P41" i="13"/>
  <c r="D42" i="13"/>
  <c r="E42" i="13" s="1"/>
  <c r="F42" i="13"/>
  <c r="G42" i="13"/>
  <c r="H42" i="13"/>
  <c r="I42" i="13"/>
  <c r="J42" i="13"/>
  <c r="K42" i="13"/>
  <c r="L42" i="13"/>
  <c r="M42" i="13"/>
  <c r="N42" i="13"/>
  <c r="O42" i="13"/>
  <c r="P42" i="13"/>
  <c r="D43" i="13"/>
  <c r="E43" i="13" s="1"/>
  <c r="F43" i="13"/>
  <c r="G43" i="13"/>
  <c r="H43" i="13"/>
  <c r="I43" i="13"/>
  <c r="J43" i="13"/>
  <c r="K43" i="13"/>
  <c r="L43" i="13"/>
  <c r="M43" i="13"/>
  <c r="N43" i="13"/>
  <c r="O43" i="13"/>
  <c r="P43" i="13"/>
  <c r="D44" i="13"/>
  <c r="E44" i="13" s="1"/>
  <c r="F44" i="13"/>
  <c r="G44" i="13"/>
  <c r="H44" i="13"/>
  <c r="I44" i="13"/>
  <c r="J44" i="13"/>
  <c r="K44" i="13"/>
  <c r="L44" i="13"/>
  <c r="M44" i="13"/>
  <c r="N44" i="13"/>
  <c r="O44" i="13"/>
  <c r="P44" i="13"/>
  <c r="D45" i="13"/>
  <c r="E45" i="13" s="1"/>
  <c r="F45" i="13"/>
  <c r="G45" i="13"/>
  <c r="H45" i="13"/>
  <c r="I45" i="13"/>
  <c r="J45" i="13"/>
  <c r="K45" i="13"/>
  <c r="L45" i="13"/>
  <c r="M45" i="13"/>
  <c r="N45" i="13"/>
  <c r="O45" i="13"/>
  <c r="P45" i="13"/>
  <c r="D46" i="13"/>
  <c r="E46" i="13" s="1"/>
  <c r="F46" i="13"/>
  <c r="G46" i="13"/>
  <c r="H46" i="13"/>
  <c r="I46" i="13"/>
  <c r="J46" i="13"/>
  <c r="K46" i="13"/>
  <c r="L46" i="13"/>
  <c r="M46" i="13"/>
  <c r="N46" i="13"/>
  <c r="O46" i="13"/>
  <c r="P46" i="13"/>
  <c r="D47" i="13"/>
  <c r="E47" i="13" s="1"/>
  <c r="F47" i="13"/>
  <c r="G47" i="13"/>
  <c r="H47" i="13"/>
  <c r="I47" i="13"/>
  <c r="J47" i="13"/>
  <c r="K47" i="13"/>
  <c r="L47" i="13"/>
  <c r="M47" i="13"/>
  <c r="N47" i="13"/>
  <c r="O47" i="13"/>
  <c r="P47" i="13"/>
  <c r="D48" i="13"/>
  <c r="E48" i="13" s="1"/>
  <c r="F48" i="13"/>
  <c r="G48" i="13"/>
  <c r="H48" i="13"/>
  <c r="I48" i="13"/>
  <c r="J48" i="13"/>
  <c r="K48" i="13"/>
  <c r="L48" i="13"/>
  <c r="M48" i="13"/>
  <c r="N48" i="13"/>
  <c r="O48" i="13"/>
  <c r="P48" i="13"/>
  <c r="D49" i="13"/>
  <c r="E49" i="13" s="1"/>
  <c r="F49" i="13"/>
  <c r="G49" i="13"/>
  <c r="H49" i="13"/>
  <c r="I49" i="13"/>
  <c r="J49" i="13"/>
  <c r="K49" i="13"/>
  <c r="L49" i="13"/>
  <c r="M49" i="13"/>
  <c r="N49" i="13"/>
  <c r="O49" i="13"/>
  <c r="P49" i="13"/>
  <c r="D50" i="13"/>
  <c r="E50" i="13" s="1"/>
  <c r="F50" i="13"/>
  <c r="G50" i="13"/>
  <c r="H50" i="13"/>
  <c r="I50" i="13"/>
  <c r="J50" i="13"/>
  <c r="K50" i="13"/>
  <c r="L50" i="13"/>
  <c r="M50" i="13"/>
  <c r="N50" i="13"/>
  <c r="O50" i="13"/>
  <c r="P50" i="13"/>
  <c r="D51" i="13"/>
  <c r="E51" i="13" s="1"/>
  <c r="F51" i="13"/>
  <c r="G51" i="13"/>
  <c r="H51" i="13"/>
  <c r="I51" i="13"/>
  <c r="J51" i="13"/>
  <c r="K51" i="13"/>
  <c r="L51" i="13"/>
  <c r="M51" i="13"/>
  <c r="N51" i="13"/>
  <c r="O51" i="13"/>
  <c r="P51" i="13"/>
  <c r="D52" i="13"/>
  <c r="E52" i="13" s="1"/>
  <c r="F52" i="13"/>
  <c r="G52" i="13"/>
  <c r="H52" i="13"/>
  <c r="I52" i="13"/>
  <c r="J52" i="13"/>
  <c r="K52" i="13"/>
  <c r="L52" i="13"/>
  <c r="M52" i="13"/>
  <c r="N52" i="13"/>
  <c r="O52" i="13"/>
  <c r="P52" i="13"/>
  <c r="D53" i="13"/>
  <c r="E53" i="13" s="1"/>
  <c r="F53" i="13"/>
  <c r="G53" i="13"/>
  <c r="H53" i="13"/>
  <c r="I53" i="13"/>
  <c r="J53" i="13"/>
  <c r="K53" i="13"/>
  <c r="L53" i="13"/>
  <c r="M53" i="13"/>
  <c r="N53" i="13"/>
  <c r="O53" i="13"/>
  <c r="P53" i="13"/>
  <c r="D54" i="13"/>
  <c r="E54" i="13" s="1"/>
  <c r="F54" i="13"/>
  <c r="G54" i="13"/>
  <c r="H54" i="13"/>
  <c r="I54" i="13"/>
  <c r="J54" i="13"/>
  <c r="K54" i="13"/>
  <c r="L54" i="13"/>
  <c r="M54" i="13"/>
  <c r="N54" i="13"/>
  <c r="O54" i="13"/>
  <c r="P54" i="13"/>
  <c r="D55" i="13"/>
  <c r="E55" i="13" s="1"/>
  <c r="F55" i="13"/>
  <c r="G55" i="13"/>
  <c r="H55" i="13"/>
  <c r="I55" i="13"/>
  <c r="J55" i="13"/>
  <c r="K55" i="13"/>
  <c r="L55" i="13"/>
  <c r="M55" i="13"/>
  <c r="N55" i="13"/>
  <c r="O55" i="13"/>
  <c r="P55" i="13"/>
  <c r="D56" i="13"/>
  <c r="E56" i="13" s="1"/>
  <c r="F56" i="13"/>
  <c r="G56" i="13"/>
  <c r="H56" i="13"/>
  <c r="I56" i="13"/>
  <c r="J56" i="13"/>
  <c r="K56" i="13"/>
  <c r="L56" i="13"/>
  <c r="M56" i="13"/>
  <c r="N56" i="13"/>
  <c r="O56" i="13"/>
  <c r="P56" i="13"/>
  <c r="D57" i="13"/>
  <c r="E57" i="13" s="1"/>
  <c r="F57" i="13"/>
  <c r="G57" i="13"/>
  <c r="H57" i="13"/>
  <c r="I57" i="13"/>
  <c r="J57" i="13"/>
  <c r="K57" i="13"/>
  <c r="L57" i="13"/>
  <c r="M57" i="13"/>
  <c r="N57" i="13"/>
  <c r="O57" i="13"/>
  <c r="P57" i="13"/>
  <c r="D62" i="13"/>
  <c r="E62" i="13" s="1"/>
  <c r="F62" i="13"/>
  <c r="G62" i="13"/>
  <c r="H62" i="13"/>
  <c r="I62" i="13"/>
  <c r="J62" i="13"/>
  <c r="K62" i="13"/>
  <c r="L62" i="13"/>
  <c r="M62" i="13"/>
  <c r="N62" i="13"/>
  <c r="O62" i="13"/>
  <c r="P62" i="13"/>
  <c r="D73" i="13"/>
  <c r="E73" i="13" s="1"/>
  <c r="F73" i="13"/>
  <c r="G73" i="13"/>
  <c r="H73" i="13"/>
  <c r="I73" i="13"/>
  <c r="J73" i="13"/>
  <c r="K73" i="13"/>
  <c r="L73" i="13"/>
  <c r="M73" i="13"/>
  <c r="N73" i="13"/>
  <c r="O73" i="13"/>
  <c r="P73" i="13"/>
  <c r="G74" i="13"/>
  <c r="I74" i="13"/>
  <c r="K74" i="13"/>
  <c r="M74" i="13"/>
  <c r="P74" i="13"/>
  <c r="D74" i="13"/>
  <c r="E74" i="13" s="1"/>
  <c r="F74" i="13"/>
  <c r="H74" i="13"/>
  <c r="J74" i="13"/>
  <c r="L74" i="13"/>
  <c r="N74" i="13"/>
  <c r="O74" i="13"/>
  <c r="D58" i="13"/>
  <c r="E58" i="13" s="1"/>
  <c r="F58" i="13"/>
  <c r="G58" i="13"/>
  <c r="H58" i="13"/>
  <c r="I58" i="13"/>
  <c r="J58" i="13"/>
  <c r="K58" i="13"/>
  <c r="L58" i="13"/>
  <c r="M58" i="13"/>
  <c r="N58" i="13"/>
  <c r="O58" i="13"/>
  <c r="P58" i="13"/>
  <c r="D63" i="13"/>
  <c r="E63" i="13" s="1"/>
  <c r="F63" i="13"/>
  <c r="G63" i="13"/>
  <c r="H63" i="13"/>
  <c r="I63" i="13"/>
  <c r="J63" i="13"/>
  <c r="K63" i="13"/>
  <c r="L63" i="13"/>
  <c r="M63" i="13"/>
  <c r="N63" i="13"/>
  <c r="O63" i="13"/>
  <c r="P63" i="13"/>
  <c r="D64" i="13"/>
  <c r="E64" i="13" s="1"/>
  <c r="F64" i="13"/>
  <c r="G64" i="13"/>
  <c r="H64" i="13"/>
  <c r="I64" i="13"/>
  <c r="J64" i="13"/>
  <c r="K64" i="13"/>
  <c r="L64" i="13"/>
  <c r="M64" i="13"/>
  <c r="N64" i="13"/>
  <c r="O64" i="13"/>
  <c r="P64" i="13"/>
  <c r="D68" i="13"/>
  <c r="E68" i="13" s="1"/>
  <c r="F68" i="13"/>
  <c r="G68" i="13"/>
  <c r="H68" i="13"/>
  <c r="I68" i="13"/>
  <c r="J68" i="13"/>
  <c r="K68" i="13"/>
  <c r="L68" i="13"/>
  <c r="M68" i="13"/>
  <c r="N68" i="13"/>
  <c r="O68" i="13"/>
  <c r="P68" i="13"/>
  <c r="G69" i="13"/>
  <c r="J69" i="13"/>
  <c r="D69" i="13"/>
  <c r="E69" i="13" s="1"/>
  <c r="F69" i="13"/>
  <c r="H69" i="13"/>
  <c r="I69" i="13"/>
  <c r="K69" i="13"/>
  <c r="L69" i="13"/>
  <c r="M69" i="13"/>
  <c r="N69" i="13"/>
  <c r="O69" i="13"/>
  <c r="P69" i="13"/>
  <c r="D75" i="13"/>
  <c r="E75" i="13" s="1"/>
  <c r="F75" i="13"/>
  <c r="G75" i="13"/>
  <c r="H75" i="13"/>
  <c r="I75" i="13"/>
  <c r="J75" i="13"/>
  <c r="K75" i="13"/>
  <c r="L75" i="13"/>
  <c r="M75" i="13"/>
  <c r="N75" i="13"/>
  <c r="O75" i="13"/>
  <c r="P75" i="13"/>
  <c r="D59" i="13"/>
  <c r="E59" i="13" s="1"/>
  <c r="F59" i="13"/>
  <c r="G59" i="13"/>
  <c r="H59" i="13"/>
  <c r="I59" i="13"/>
  <c r="J59" i="13"/>
  <c r="K59" i="13"/>
  <c r="L59" i="13"/>
  <c r="M59" i="13"/>
  <c r="N59" i="13"/>
  <c r="O59" i="13"/>
  <c r="P59" i="13"/>
  <c r="G65" i="13"/>
  <c r="J65" i="13"/>
  <c r="M65" i="13"/>
  <c r="D65" i="13"/>
  <c r="E65" i="13" s="1"/>
  <c r="F65" i="13"/>
  <c r="H65" i="13"/>
  <c r="I65" i="13"/>
  <c r="K65" i="13"/>
  <c r="L65" i="13"/>
  <c r="N65" i="13"/>
  <c r="O65" i="13"/>
  <c r="P65" i="13"/>
  <c r="G70" i="13"/>
  <c r="I70" i="13"/>
  <c r="L70" i="13"/>
  <c r="D70" i="13"/>
  <c r="E70" i="13" s="1"/>
  <c r="F70" i="13"/>
  <c r="H70" i="13"/>
  <c r="J70" i="13"/>
  <c r="K70" i="13"/>
  <c r="M70" i="13"/>
  <c r="N70" i="13"/>
  <c r="O70" i="13"/>
  <c r="P70" i="13"/>
  <c r="D71" i="13"/>
  <c r="E71" i="13" s="1"/>
  <c r="G71" i="13"/>
  <c r="J71" i="13"/>
  <c r="F71" i="13"/>
  <c r="H71" i="13"/>
  <c r="I71" i="13"/>
  <c r="K71" i="13"/>
  <c r="L71" i="13"/>
  <c r="M71" i="13"/>
  <c r="N71" i="13"/>
  <c r="O71" i="13"/>
  <c r="P71" i="13"/>
  <c r="D76" i="13"/>
  <c r="E76" i="13" s="1"/>
  <c r="F76" i="13"/>
  <c r="G76" i="13"/>
  <c r="H76" i="13"/>
  <c r="I76" i="13"/>
  <c r="J76" i="13"/>
  <c r="K76" i="13"/>
  <c r="L76" i="13"/>
  <c r="M76" i="13"/>
  <c r="N76" i="13"/>
  <c r="O76" i="13"/>
  <c r="P76" i="13"/>
  <c r="F77" i="13"/>
  <c r="G77" i="13"/>
  <c r="H77" i="13"/>
  <c r="I77" i="13"/>
  <c r="J77" i="13"/>
  <c r="K77" i="13"/>
  <c r="L77" i="13"/>
  <c r="M77" i="13"/>
  <c r="N77" i="13"/>
  <c r="O77" i="13"/>
  <c r="P77" i="13"/>
  <c r="D77" i="13"/>
  <c r="E77" i="13" s="1"/>
  <c r="G66" i="13"/>
  <c r="I66" i="13"/>
  <c r="K66" i="13"/>
  <c r="N66" i="13"/>
  <c r="D66" i="13"/>
  <c r="E66" i="13" s="1"/>
  <c r="F66" i="13"/>
  <c r="H66" i="13"/>
  <c r="J66" i="13"/>
  <c r="L66" i="13"/>
  <c r="M66" i="13"/>
  <c r="O66" i="13"/>
  <c r="P66" i="13"/>
  <c r="H72" i="13"/>
  <c r="D72" i="13"/>
  <c r="E72" i="13" s="1"/>
  <c r="F72" i="13"/>
  <c r="G72" i="13"/>
  <c r="I72" i="13"/>
  <c r="J72" i="13"/>
  <c r="K72" i="13"/>
  <c r="L72" i="13"/>
  <c r="M72" i="13"/>
  <c r="N72" i="13"/>
  <c r="O72" i="13"/>
  <c r="P72" i="13"/>
  <c r="D78" i="13"/>
  <c r="E78" i="13" s="1"/>
  <c r="F78" i="13"/>
  <c r="G78" i="13"/>
  <c r="H78" i="13"/>
  <c r="I78" i="13"/>
  <c r="J78" i="13"/>
  <c r="K78" i="13"/>
  <c r="L78" i="13"/>
  <c r="M78" i="13"/>
  <c r="N78" i="13"/>
  <c r="O78" i="13"/>
  <c r="P78" i="13"/>
  <c r="D60" i="13"/>
  <c r="E60" i="13" s="1"/>
  <c r="F60" i="13"/>
  <c r="G60" i="13"/>
  <c r="H60" i="13"/>
  <c r="I60" i="13"/>
  <c r="J60" i="13"/>
  <c r="K60" i="13"/>
  <c r="L60" i="13"/>
  <c r="M60" i="13"/>
  <c r="N60" i="13"/>
  <c r="O60" i="13"/>
  <c r="P60" i="13"/>
  <c r="D61" i="13"/>
  <c r="E61" i="13" s="1"/>
  <c r="F61" i="13"/>
  <c r="G61" i="13"/>
  <c r="H61" i="13"/>
  <c r="I61" i="13"/>
  <c r="J61" i="13"/>
  <c r="K61" i="13"/>
  <c r="L61" i="13"/>
  <c r="M61" i="13"/>
  <c r="N61" i="13"/>
  <c r="O61" i="13"/>
  <c r="P61" i="13"/>
  <c r="D67" i="13"/>
  <c r="E67" i="13" s="1"/>
  <c r="F67" i="13"/>
  <c r="G67" i="13"/>
  <c r="H67" i="13"/>
  <c r="I67" i="13"/>
  <c r="J67" i="13"/>
  <c r="K67" i="13"/>
  <c r="L67" i="13"/>
  <c r="M67" i="13"/>
  <c r="N67" i="13"/>
  <c r="O67" i="13"/>
  <c r="P67" i="13"/>
  <c r="D6" i="13"/>
  <c r="E6" i="13" s="1"/>
  <c r="F6" i="13"/>
  <c r="G6" i="13"/>
  <c r="H6" i="13"/>
  <c r="I6" i="13"/>
  <c r="J6" i="13"/>
  <c r="K6" i="13"/>
  <c r="L6" i="13"/>
  <c r="M6" i="13"/>
  <c r="N6" i="13"/>
  <c r="O6" i="13"/>
  <c r="P6" i="13"/>
  <c r="K9" i="4"/>
  <c r="AJ9" i="4"/>
  <c r="AK4" i="4"/>
  <c r="S4" i="4"/>
  <c r="AL3" i="4"/>
  <c r="G14" i="4"/>
  <c r="AM2" i="4"/>
  <c r="AJ11" i="4"/>
  <c r="K11" i="4"/>
  <c r="AJ7" i="4"/>
  <c r="K7" i="4"/>
  <c r="AJ10" i="4"/>
  <c r="K10" i="4"/>
  <c r="S9" i="4"/>
  <c r="AK9" i="4"/>
  <c r="K13" i="4"/>
  <c r="AJ13" i="4"/>
  <c r="S3" i="4"/>
  <c r="AK3" i="4"/>
  <c r="T14" i="4"/>
  <c r="AA2" i="4"/>
  <c r="C13" i="1"/>
  <c r="C19" i="1"/>
  <c r="C18" i="1"/>
  <c r="C17" i="1"/>
  <c r="X14" i="4"/>
  <c r="AA3" i="4"/>
  <c r="AL5" i="4"/>
  <c r="AM5" i="4"/>
  <c r="S5" i="4"/>
  <c r="F14" i="4"/>
  <c r="AL2" i="4"/>
  <c r="AJ4" i="4"/>
  <c r="K4" i="4"/>
  <c r="AI2" i="4"/>
  <c r="AB14" i="4"/>
  <c r="K3" i="4"/>
  <c r="AJ3" i="4"/>
  <c r="AN2" i="4"/>
  <c r="H14" i="4"/>
  <c r="AM10" i="4"/>
  <c r="AA6" i="4"/>
  <c r="R14" i="4"/>
  <c r="AI10" i="4"/>
  <c r="S8" i="4"/>
  <c r="K6" i="4"/>
  <c r="AE14" i="4"/>
  <c r="AA10" i="4"/>
  <c r="S7" i="4"/>
  <c r="AN9" i="4"/>
  <c r="AK13" i="4"/>
  <c r="AH14" i="4"/>
  <c r="AM11" i="4"/>
  <c r="AA12" i="4"/>
  <c r="P14" i="4"/>
  <c r="O14" i="4"/>
  <c r="AM9" i="4"/>
  <c r="AK11" i="4"/>
  <c r="AM8" i="4"/>
  <c r="AM13" i="4"/>
  <c r="AP11" i="4"/>
  <c r="AL12" i="4"/>
  <c r="AI9" i="4"/>
  <c r="AN3" i="4"/>
  <c r="AQ15" i="5"/>
  <c r="AN17" i="5" s="1"/>
  <c r="AJ8" i="4"/>
  <c r="K8" i="4"/>
  <c r="L17" i="3"/>
  <c r="M17" i="3" s="1"/>
  <c r="AJ5" i="4"/>
  <c r="I14" i="4"/>
  <c r="J14" i="4"/>
  <c r="AP2" i="4"/>
  <c r="AA11" i="4"/>
  <c r="S10" i="4"/>
  <c r="AN12" i="4"/>
  <c r="C36" i="5"/>
  <c r="AI13" i="4"/>
  <c r="AM6" i="4"/>
  <c r="AL10" i="4"/>
  <c r="AN4" i="4"/>
  <c r="U14" i="4"/>
  <c r="AK7" i="4"/>
  <c r="AL13" i="4"/>
  <c r="AI12" i="4"/>
  <c r="AK12" i="4"/>
  <c r="AP9" i="4"/>
  <c r="AA9" i="4"/>
  <c r="S13" i="4"/>
  <c r="AO8" i="4"/>
  <c r="AN7" i="4"/>
  <c r="AP6" i="4"/>
  <c r="AA13" i="4"/>
  <c r="AO13" i="4"/>
  <c r="AP10" i="4"/>
  <c r="S12" i="4"/>
  <c r="AA7" i="4"/>
  <c r="AI6" i="4"/>
  <c r="Y14" i="4"/>
  <c r="Z14" i="4"/>
  <c r="Q14" i="4"/>
  <c r="M14" i="4"/>
  <c r="AO12" i="4"/>
  <c r="S11" i="4"/>
  <c r="AF14" i="4"/>
  <c r="AI7" i="4" l="1"/>
  <c r="AO7" i="4"/>
  <c r="AJ12" i="4"/>
  <c r="AG14" i="4"/>
  <c r="AA8" i="4"/>
  <c r="V14" i="4"/>
  <c r="AL8" i="4"/>
  <c r="AI8" i="4"/>
  <c r="D14" i="4"/>
  <c r="K12" i="4"/>
  <c r="AC14" i="4"/>
  <c r="AK8" i="4"/>
  <c r="AK2" i="4"/>
  <c r="N14" i="4"/>
  <c r="AJ2" i="4"/>
  <c r="K2" i="4"/>
  <c r="E14" i="4"/>
  <c r="L14" i="4"/>
  <c r="S2" i="4"/>
  <c r="AQ5" i="4"/>
  <c r="AR5" i="4" s="1"/>
  <c r="S6" i="4"/>
  <c r="AQ6" i="4"/>
  <c r="AR6" i="4" s="1"/>
  <c r="AQ9" i="4"/>
  <c r="AR9" i="4" s="1"/>
  <c r="AM14" i="4"/>
  <c r="AQ11" i="4"/>
  <c r="AR11" i="4" s="1"/>
  <c r="AQ10" i="4"/>
  <c r="AR10" i="4" s="1"/>
  <c r="AQ13" i="4"/>
  <c r="AR13" i="4" s="1"/>
  <c r="AQ4" i="4"/>
  <c r="AR4" i="4" s="1"/>
  <c r="AQ3" i="4"/>
  <c r="AR3" i="4" s="1"/>
  <c r="AN14" i="4"/>
  <c r="AP14" i="4"/>
  <c r="AQ12" i="4" l="1"/>
  <c r="AR12" i="4" s="1"/>
  <c r="AQ7" i="4"/>
  <c r="AR7" i="4" s="1"/>
  <c r="AA14" i="4"/>
  <c r="AL14" i="4"/>
  <c r="AO14" i="4"/>
  <c r="AI14" i="4"/>
  <c r="AQ8" i="4"/>
  <c r="AR8" i="4" s="1"/>
  <c r="K14" i="4"/>
  <c r="S14" i="4"/>
  <c r="AJ14" i="4"/>
  <c r="AK14" i="4"/>
  <c r="AQ2" i="4"/>
  <c r="AR2" i="4" s="1"/>
  <c r="AR14" i="4" l="1"/>
  <c r="AR15" i="4" s="1"/>
  <c r="AQ14" i="4"/>
</calcChain>
</file>

<file path=xl/sharedStrings.xml><?xml version="1.0" encoding="utf-8"?>
<sst xmlns="http://schemas.openxmlformats.org/spreadsheetml/2006/main" count="12876" uniqueCount="5805">
  <si>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</si>
  <si>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</si>
  <si>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</si>
  <si>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</si>
  <si>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</si>
  <si>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</si>
  <si>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</si>
  <si>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</si>
  <si>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</si>
  <si>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</si>
  <si>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</si>
  <si>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</si>
  <si>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</si>
  <si>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</si>
  <si>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</si>
  <si>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</si>
  <si>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</si>
  <si>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</si>
  <si>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</si>
  <si>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</si>
  <si>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</si>
  <si>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</si>
  <si>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</si>
  <si>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</si>
  <si>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</si>
  <si>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</si>
  <si>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</si>
  <si>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</si>
  <si>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</si>
  <si>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</si>
  <si>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</si>
  <si>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</si>
  <si>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</si>
  <si>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</si>
  <si>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</si>
  <si>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</si>
  <si>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</si>
  <si>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</si>
  <si>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</si>
  <si>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</si>
  <si>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</si>
  <si>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</si>
  <si>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</si>
  <si>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</si>
  <si>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</si>
  <si>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</si>
  <si>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</si>
  <si>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</si>
  <si>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</si>
  <si>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</si>
  <si>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</si>
  <si>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</si>
  <si>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</si>
  <si>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</si>
  <si>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</si>
  <si>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</si>
  <si>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</si>
  <si>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</si>
  <si>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</si>
  <si>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</si>
  <si>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</si>
  <si>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</si>
  <si>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</si>
  <si>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</si>
  <si>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</si>
  <si>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</si>
  <si>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</si>
  <si>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</si>
  <si>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</si>
  <si>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</si>
  <si>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</si>
  <si>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</si>
  <si>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</si>
  <si>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</si>
  <si>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</si>
  <si>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</si>
  <si>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</si>
  <si>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</si>
  <si>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</si>
  <si>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</si>
  <si>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</si>
  <si>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</si>
  <si>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</si>
  <si>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</si>
  <si>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</si>
  <si>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</si>
  <si>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</si>
  <si>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</si>
  <si>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</si>
  <si>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</si>
  <si>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</si>
  <si>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</si>
  <si>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</si>
  <si>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</si>
  <si>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</si>
  <si>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</si>
  <si>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</si>
  <si>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</si>
  <si>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</si>
  <si>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</si>
  <si>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</si>
  <si>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</si>
  <si>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</si>
  <si>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</si>
  <si>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</si>
  <si>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</si>
  <si>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</si>
  <si>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</si>
  <si>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</si>
  <si>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</si>
  <si>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</si>
  <si>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</si>
  <si>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</si>
  <si>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</si>
  <si>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</si>
  <si>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</si>
  <si>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</si>
  <si>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</si>
  <si>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</si>
  <si>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</si>
  <si>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</si>
  <si>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</si>
  <si>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</si>
  <si>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</si>
  <si>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</si>
  <si>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</si>
  <si>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</si>
  <si>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</si>
  <si>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</si>
  <si>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</si>
  <si>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</si>
  <si>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</si>
  <si>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</si>
  <si>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</si>
  <si>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</si>
  <si>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</si>
  <si>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</si>
  <si>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</si>
  <si>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</si>
  <si>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</si>
  <si>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</si>
  <si>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</si>
  <si>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</si>
  <si>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</si>
  <si>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</si>
  <si>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</si>
  <si>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</si>
  <si>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</si>
  <si>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</si>
  <si>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</si>
  <si>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</si>
  <si>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</si>
  <si>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</si>
  <si>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</si>
  <si>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</si>
  <si>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</si>
  <si>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</si>
  <si>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</si>
  <si>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</si>
  <si>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</si>
  <si>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</si>
  <si>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</si>
  <si>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</si>
  <si>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</si>
  <si>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</si>
  <si>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</si>
  <si>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</si>
  <si>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</si>
  <si>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</si>
  <si>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</si>
  <si>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</si>
  <si>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</si>
  <si>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</si>
  <si>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</si>
  <si>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</si>
  <si>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</si>
  <si>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</si>
  <si>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</si>
  <si>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</si>
  <si>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</si>
  <si>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</si>
  <si>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</si>
  <si>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</si>
  <si>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</si>
  <si>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</si>
  <si>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</si>
  <si>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</si>
  <si>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</si>
  <si>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</si>
  <si>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</si>
  <si>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</si>
  <si>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</si>
  <si>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</si>
  <si>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</si>
  <si>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</si>
  <si>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</si>
  <si>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</si>
  <si>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</si>
  <si>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</si>
  <si>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</si>
  <si>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</si>
  <si>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</si>
  <si>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</si>
  <si>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</si>
  <si>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</si>
  <si>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</si>
  <si>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</si>
  <si>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</si>
  <si>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</si>
  <si>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</si>
  <si>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</si>
  <si>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</si>
  <si>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</si>
  <si>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</si>
  <si>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</si>
  <si>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</si>
  <si>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</si>
  <si>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</si>
  <si>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</si>
  <si>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</si>
  <si>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</si>
  <si>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</si>
  <si>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</si>
  <si>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</si>
  <si>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</si>
  <si>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</si>
  <si>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</si>
  <si>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</si>
  <si>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</si>
  <si>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</si>
  <si>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</si>
  <si>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</si>
  <si>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</si>
  <si>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</si>
  <si>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</si>
  <si>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</si>
  <si>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</si>
  <si>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</si>
  <si>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</si>
  <si>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</si>
  <si>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</si>
  <si>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</si>
  <si>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</si>
  <si>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</si>
  <si>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</si>
  <si>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</si>
  <si>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</si>
  <si>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</si>
  <si>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</si>
  <si>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</si>
  <si>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</si>
  <si>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</si>
  <si>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</si>
  <si>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</si>
  <si>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</si>
  <si>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</si>
  <si>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</si>
  <si>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</si>
  <si>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</si>
  <si>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</si>
  <si>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</si>
  <si>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</si>
  <si>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</si>
  <si>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</si>
  <si>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</si>
  <si>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</si>
  <si>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</si>
  <si>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</si>
  <si>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</si>
  <si>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</si>
  <si>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</si>
  <si>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</si>
  <si>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</si>
  <si>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</si>
  <si>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</si>
  <si>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</si>
  <si>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</si>
  <si>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</si>
  <si>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</si>
  <si>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</si>
  <si>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</si>
  <si>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</si>
  <si>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</si>
  <si>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</si>
  <si>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</si>
  <si>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</si>
  <si>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</si>
  <si>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</si>
  <si>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</si>
  <si>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</si>
  <si>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</si>
  <si>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</si>
  <si>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</si>
  <si>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</si>
  <si>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</si>
  <si>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</si>
  <si>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</si>
  <si>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</si>
  <si>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</si>
  <si>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</si>
  <si>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</si>
  <si>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</si>
  <si>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</si>
  <si>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</si>
  <si>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</si>
  <si>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</si>
  <si>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</si>
  <si>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</si>
  <si>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</si>
  <si>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</si>
  <si>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</si>
  <si>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</si>
  <si>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</si>
  <si>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</si>
  <si>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</si>
  <si>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</si>
  <si>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</si>
  <si>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</si>
  <si>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</si>
  <si>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</si>
  <si>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</si>
  <si>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</si>
  <si>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</si>
  <si>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</si>
  <si>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</si>
  <si>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</si>
  <si>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</si>
  <si>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</si>
  <si>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</si>
  <si>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</si>
  <si>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</si>
  <si>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</si>
  <si>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</si>
  <si>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</si>
  <si>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</si>
  <si>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</si>
  <si>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</si>
  <si>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</si>
  <si>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</si>
  <si>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</si>
  <si>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</si>
  <si>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</si>
  <si>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</si>
  <si>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</si>
  <si>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</si>
  <si>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</si>
  <si>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</si>
  <si>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</si>
  <si>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</si>
  <si>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</si>
  <si>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</si>
  <si>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</si>
  <si>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</si>
  <si>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</si>
  <si>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</si>
  <si>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</si>
  <si>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</si>
  <si>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</si>
  <si>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</si>
  <si>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</si>
  <si>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</si>
  <si>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</si>
  <si>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</si>
  <si>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</si>
  <si>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</si>
  <si>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</si>
  <si>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</si>
  <si>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</si>
  <si>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</si>
  <si>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</si>
  <si>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</si>
  <si>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</si>
  <si>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</si>
  <si>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</si>
  <si>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</si>
  <si>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</si>
  <si>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</si>
  <si>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</si>
  <si>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</si>
  <si>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</si>
  <si>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</si>
  <si>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</si>
  <si>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</si>
  <si>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</si>
  <si>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</si>
  <si>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</si>
  <si>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</si>
  <si>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</si>
  <si>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</si>
  <si>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</si>
  <si>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</si>
  <si>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</si>
  <si>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</si>
  <si>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</si>
  <si>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</si>
  <si>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</si>
  <si>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</si>
  <si>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</si>
  <si>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</si>
  <si>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</si>
  <si>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</si>
  <si>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</si>
  <si>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</si>
  <si>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</si>
  <si>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</si>
  <si>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</si>
  <si>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</si>
  <si>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</si>
  <si>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</si>
  <si>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</si>
  <si>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</si>
  <si>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</si>
  <si>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</si>
  <si>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</si>
  <si>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</si>
  <si>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</si>
  <si>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</si>
  <si>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</si>
  <si>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</si>
  <si>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</si>
  <si>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</si>
  <si>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</si>
  <si>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</si>
  <si>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</si>
  <si>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</si>
  <si>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</si>
  <si>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</si>
  <si>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</si>
  <si>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</si>
  <si>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</si>
  <si>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</si>
  <si>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</si>
  <si>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</si>
  <si>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</si>
  <si>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</si>
  <si>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</si>
  <si>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</si>
  <si>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</si>
  <si>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</si>
  <si>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</si>
  <si>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</si>
  <si>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</si>
  <si>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</si>
  <si>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</si>
  <si>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</si>
  <si>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</si>
  <si>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</si>
  <si>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</si>
  <si>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</si>
  <si>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</si>
  <si>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</si>
  <si>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</si>
  <si>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</si>
  <si>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</si>
  <si>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</si>
  <si>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</si>
  <si>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</si>
  <si>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</si>
  <si>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</si>
  <si>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</si>
  <si>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</si>
  <si>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</si>
  <si>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</si>
  <si>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</si>
  <si>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</si>
  <si>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</si>
  <si>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</si>
  <si>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</si>
  <si>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</si>
  <si>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</si>
  <si>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</si>
  <si>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</si>
  <si>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</si>
  <si>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</si>
  <si>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</si>
  <si>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</si>
  <si>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</si>
  <si>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</si>
  <si>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</si>
  <si>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</si>
  <si>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</si>
  <si>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</si>
  <si>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</si>
  <si>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</si>
  <si>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</si>
  <si>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</si>
  <si>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</si>
  <si>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</si>
  <si>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</si>
  <si>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</si>
  <si>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</si>
  <si>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</si>
  <si>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</si>
  <si>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</si>
  <si>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</si>
  <si>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</si>
  <si>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</si>
  <si>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</si>
  <si>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</si>
  <si>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</si>
  <si>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</si>
  <si>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</si>
  <si>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</si>
  <si>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</si>
  <si>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</si>
  <si>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</si>
  <si>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</si>
  <si>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</si>
  <si>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</si>
  <si>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</si>
  <si>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</si>
  <si>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</si>
  <si>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</si>
  <si>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</si>
  <si>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</si>
  <si>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</si>
  <si>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</si>
  <si>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</si>
  <si>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</si>
  <si>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</si>
  <si>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</si>
  <si>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</si>
  <si>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</si>
  <si>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</si>
  <si>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</si>
  <si>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</si>
  <si>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</si>
  <si>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</si>
  <si>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</si>
  <si>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</si>
  <si>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</si>
  <si>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</si>
  <si>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</si>
  <si>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</si>
  <si>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</si>
  <si>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</si>
  <si>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</si>
  <si>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</si>
  <si>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</si>
  <si>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</si>
  <si>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</si>
  <si>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</si>
  <si>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</si>
  <si>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</si>
  <si>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</si>
  <si>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</si>
  <si>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</si>
  <si>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</si>
  <si>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</si>
  <si>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</si>
  <si>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</si>
  <si>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</si>
  <si>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</si>
  <si>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</si>
  <si>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</si>
  <si>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</si>
  <si>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</si>
  <si>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</si>
  <si>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</si>
  <si>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</si>
  <si>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</si>
  <si>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</si>
  <si>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</si>
  <si>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</si>
  <si>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</si>
  <si>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</si>
  <si>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</si>
  <si>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</si>
  <si>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</si>
  <si>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</si>
  <si>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</si>
  <si>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</si>
  <si>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</si>
  <si>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</si>
  <si>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</si>
  <si>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</si>
  <si>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</si>
  <si>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</si>
  <si>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</si>
  <si>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</si>
  <si>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</si>
  <si>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</si>
  <si>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</si>
  <si>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</si>
  <si>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</si>
  <si>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</si>
  <si>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</si>
  <si>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</si>
  <si>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</si>
  <si>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</si>
  <si>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</si>
  <si>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</si>
  <si>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</si>
  <si>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</si>
  <si>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</si>
  <si>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</si>
  <si>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</si>
  <si>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</si>
  <si>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</si>
  <si>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</si>
  <si>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</si>
  <si>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</si>
  <si>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</si>
  <si>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</si>
  <si>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</si>
  <si>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</si>
  <si>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</si>
  <si>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</si>
  <si>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</si>
  <si>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</si>
  <si>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</si>
  <si>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</si>
  <si>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</si>
  <si>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</si>
  <si>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</si>
  <si>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</si>
  <si>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</si>
  <si>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</si>
  <si>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</si>
  <si>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</si>
  <si>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</si>
  <si>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</si>
  <si>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</si>
  <si>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</si>
  <si>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</si>
  <si>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</si>
  <si>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</si>
  <si>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</si>
  <si>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</si>
  <si>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</si>
  <si>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</si>
  <si>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</si>
  <si>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</si>
  <si>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</si>
  <si>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</si>
  <si>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</si>
  <si>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</si>
  <si>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</si>
  <si>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</si>
  <si>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</si>
  <si>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</si>
  <si>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</si>
  <si>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</si>
  <si>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</si>
  <si>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</si>
  <si>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</si>
  <si>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</si>
  <si>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</si>
  <si>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</si>
  <si>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</si>
  <si>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</si>
  <si>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</si>
  <si>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</si>
  <si>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</si>
  <si>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</si>
  <si>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</si>
  <si>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</si>
  <si>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</si>
  <si>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</si>
  <si>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</si>
  <si>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</si>
  <si>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</si>
  <si>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</si>
  <si>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</si>
  <si>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</si>
  <si>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</si>
  <si>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</si>
  <si>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</si>
  <si>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</si>
  <si>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</si>
  <si>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</si>
  <si>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</si>
  <si>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</si>
  <si>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</si>
  <si>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</si>
  <si>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</si>
  <si>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</si>
  <si>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</si>
  <si>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</si>
  <si>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</si>
  <si>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</si>
  <si>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</si>
  <si>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</si>
  <si>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</si>
  <si>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</si>
  <si>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</si>
  <si>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</si>
  <si>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</si>
  <si>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</si>
  <si>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</si>
  <si>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</si>
  <si>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</si>
  <si>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</si>
  <si>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</si>
  <si>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</si>
  <si>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</si>
  <si>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</si>
  <si>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</si>
  <si>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</si>
  <si>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</si>
  <si>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</si>
  <si>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</si>
  <si>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</si>
  <si>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</si>
  <si>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</si>
  <si>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</si>
  <si>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</si>
  <si>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</si>
  <si>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</si>
  <si>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</si>
  <si>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</si>
  <si>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</si>
  <si>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</si>
  <si>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</si>
  <si>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</si>
  <si>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</si>
  <si>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</si>
  <si>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</si>
  <si>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</si>
  <si>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</si>
  <si>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</si>
  <si>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</si>
  <si>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</si>
  <si>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</si>
  <si>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</si>
  <si>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</si>
  <si>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</si>
  <si>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</si>
  <si>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</si>
  <si>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</si>
  <si>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</si>
  <si>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</si>
  <si>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</si>
  <si>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</si>
  <si>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</si>
  <si>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</si>
  <si>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</si>
  <si>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</si>
  <si>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</si>
  <si>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</si>
  <si>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</si>
  <si>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</si>
  <si>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</si>
  <si>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</si>
  <si>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</si>
  <si>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</si>
  <si>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</si>
  <si>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</si>
  <si>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</si>
  <si>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</si>
  <si>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</si>
  <si>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</si>
  <si>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</si>
  <si>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</si>
  <si>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</si>
  <si>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</si>
  <si>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</si>
  <si>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</si>
  <si>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</si>
  <si>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</si>
  <si>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</si>
  <si>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</si>
  <si>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</si>
  <si>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</si>
  <si>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</si>
  <si>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</si>
  <si>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</si>
  <si>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</si>
  <si>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</si>
  <si>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</si>
  <si>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</si>
  <si>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</si>
  <si>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</si>
  <si>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</si>
  <si>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</si>
  <si>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</si>
  <si>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</si>
  <si>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</si>
  <si>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</si>
  <si>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</si>
  <si>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</si>
  <si>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</si>
  <si>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</si>
  <si>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</si>
  <si>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</si>
  <si>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</si>
  <si>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</si>
  <si>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</si>
  <si>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</si>
  <si>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</si>
  <si>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</si>
  <si>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</si>
  <si>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</si>
  <si>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</si>
  <si>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</si>
  <si>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</si>
  <si>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</si>
  <si>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</si>
  <si>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</si>
  <si>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</si>
  <si>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</si>
  <si>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</si>
  <si>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</si>
  <si>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</si>
  <si>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</si>
  <si>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</si>
  <si>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</si>
  <si>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</si>
  <si>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</si>
  <si>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</si>
  <si>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</si>
  <si>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</si>
  <si>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</si>
  <si>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</si>
  <si>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</si>
  <si>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</si>
  <si>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</si>
  <si>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</si>
  <si>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</si>
  <si>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</si>
  <si>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</si>
  <si>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</si>
  <si>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</si>
  <si>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</si>
  <si>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</si>
  <si>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</si>
  <si>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</si>
  <si>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</si>
  <si>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</si>
  <si>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</si>
  <si>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</si>
  <si>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</si>
  <si>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</si>
  <si>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</si>
  <si>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</si>
  <si>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</si>
  <si>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</si>
  <si>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</si>
  <si>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</si>
  <si>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</si>
  <si>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</si>
  <si>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</si>
  <si>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</si>
  <si>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</si>
  <si>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</si>
  <si>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</si>
  <si>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</si>
  <si>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</si>
  <si>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</si>
  <si>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</si>
  <si>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</si>
  <si>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</si>
  <si>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</si>
  <si>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</si>
  <si>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</si>
  <si>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</si>
  <si>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</si>
  <si>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</si>
  <si>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</si>
  <si>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</si>
  <si>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</si>
  <si>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</si>
  <si>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</si>
  <si>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</si>
  <si>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</si>
  <si>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</si>
  <si>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</si>
  <si>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</si>
  <si>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</si>
  <si>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</si>
  <si>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</si>
  <si>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</si>
  <si>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</si>
  <si>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</si>
  <si>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</si>
  <si>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</si>
  <si>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</si>
  <si>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</si>
  <si>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</si>
  <si>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</si>
  <si>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</si>
  <si>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</si>
  <si>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</si>
  <si>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</si>
  <si>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</si>
  <si>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</si>
  <si>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</si>
  <si>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</si>
  <si>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</si>
  <si>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</si>
  <si>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</si>
  <si>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</si>
  <si>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</si>
  <si>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</si>
  <si>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</si>
  <si>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</si>
  <si>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</si>
  <si>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</si>
  <si>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</si>
  <si>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</si>
  <si>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</si>
  <si>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</si>
  <si>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</si>
  <si>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</si>
  <si>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</si>
  <si>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</si>
  <si>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</si>
  <si>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</si>
  <si>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</si>
  <si>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</si>
  <si>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</si>
  <si>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</si>
  <si>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</si>
  <si>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</si>
  <si>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</si>
  <si>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</si>
  <si>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</si>
  <si>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</si>
  <si>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</si>
  <si>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</si>
  <si>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</si>
  <si>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</si>
  <si>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</si>
  <si>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</si>
  <si>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</si>
  <si>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</si>
  <si>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</si>
  <si>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</si>
  <si>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</si>
  <si>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</si>
  <si>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</si>
  <si>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</si>
  <si>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</si>
  <si>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</si>
  <si>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</si>
  <si>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</si>
  <si>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</si>
  <si>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</si>
  <si>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</si>
  <si>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</si>
  <si>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</si>
  <si>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</si>
  <si>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</si>
  <si>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</si>
  <si>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</si>
  <si>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</si>
  <si>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</si>
  <si>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</si>
  <si>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</si>
  <si>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</si>
  <si>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</si>
  <si>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</si>
  <si>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</si>
  <si>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</si>
  <si>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</si>
  <si>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</si>
  <si>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</si>
  <si>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</si>
  <si>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</si>
  <si>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</si>
  <si>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</si>
  <si>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</si>
  <si>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</si>
  <si>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</si>
  <si>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</si>
  <si>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</si>
  <si>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</si>
  <si>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</si>
  <si>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</si>
  <si>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</si>
  <si>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</si>
  <si>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</si>
  <si>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</si>
  <si>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</si>
  <si>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</si>
  <si>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</si>
  <si>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</si>
  <si>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</si>
  <si>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</si>
  <si>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</si>
  <si>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</si>
  <si>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</si>
  <si>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</si>
  <si>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</si>
  <si>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</si>
  <si>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</si>
  <si>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</si>
  <si>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</si>
  <si>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</si>
  <si>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</si>
  <si>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</si>
  <si>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</si>
  <si>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</si>
  <si>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</si>
  <si>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</si>
  <si>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</si>
  <si>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</si>
  <si>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</si>
  <si>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</si>
  <si>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</si>
  <si>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</si>
  <si>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</si>
  <si>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</si>
  <si>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</si>
  <si>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</si>
  <si>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</si>
  <si>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</si>
  <si>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</si>
  <si>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</si>
  <si>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</si>
  <si>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</si>
  <si>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</si>
  <si>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</si>
  <si>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</si>
  <si>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</si>
  <si>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</si>
  <si>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</si>
  <si>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</si>
  <si>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</si>
  <si>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</si>
  <si>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</si>
  <si>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</si>
  <si>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</si>
  <si>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</si>
  <si>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</si>
  <si>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</si>
  <si>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</si>
  <si>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</si>
  <si>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</si>
  <si>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</si>
  <si>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</si>
  <si>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</si>
  <si>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</si>
  <si>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</si>
  <si>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</si>
  <si>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</si>
  <si>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</si>
  <si>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</si>
  <si>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</si>
  <si>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</si>
  <si>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</si>
  <si>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</si>
  <si>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</si>
  <si>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</si>
  <si>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</si>
  <si>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</si>
  <si>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</si>
  <si>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</si>
  <si>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</si>
  <si>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</si>
  <si>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</si>
  <si>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</si>
  <si>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</si>
  <si>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</si>
  <si>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</si>
  <si>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</si>
  <si>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</si>
  <si>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</si>
  <si>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</si>
  <si>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</si>
  <si>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</si>
  <si>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</si>
  <si>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</si>
  <si>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</si>
  <si>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</si>
  <si>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</si>
  <si>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</si>
  <si>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</si>
  <si>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</si>
  <si>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</si>
  <si>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</si>
  <si>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</si>
  <si>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</si>
  <si>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</si>
  <si>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</si>
  <si>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</si>
  <si>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</si>
  <si>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</si>
  <si>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</si>
  <si>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</si>
  <si>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</si>
  <si>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</si>
  <si>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</si>
  <si>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</si>
  <si>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</si>
  <si>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</si>
  <si>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</si>
  <si>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</si>
  <si>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</si>
  <si>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</si>
  <si>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</si>
  <si>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</si>
  <si>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</si>
  <si>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</si>
  <si>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</si>
  <si>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</si>
  <si>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</si>
  <si>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</si>
  <si>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</si>
  <si>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</si>
  <si>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</si>
  <si>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</si>
  <si>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</si>
  <si>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</si>
  <si>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</si>
  <si>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</si>
  <si>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</si>
  <si>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</si>
  <si>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</si>
  <si>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</si>
  <si>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</si>
  <si>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</si>
  <si>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</si>
  <si>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</si>
  <si>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</si>
  <si>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</si>
  <si>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</si>
  <si>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</si>
  <si>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</si>
  <si>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</si>
  <si>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</si>
  <si>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</si>
  <si>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</si>
  <si>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</si>
  <si>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</si>
  <si>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</si>
  <si>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</si>
  <si>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</si>
  <si>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</si>
  <si>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</si>
  <si>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</si>
  <si>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</si>
  <si>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</si>
  <si>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</si>
  <si>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</si>
  <si>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</si>
  <si>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</si>
  <si>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</si>
  <si>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</si>
  <si>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</si>
  <si>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</si>
  <si>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</si>
  <si>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</si>
  <si>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</si>
  <si>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</si>
  <si>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</si>
  <si>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</si>
  <si>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</si>
  <si>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</si>
  <si>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</si>
  <si>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</si>
  <si>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</si>
  <si>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</si>
  <si>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</si>
  <si>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</si>
  <si>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</si>
  <si>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</si>
  <si>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</si>
  <si>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</si>
  <si>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</si>
  <si>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</si>
  <si>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</si>
  <si>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</si>
  <si>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</si>
  <si>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</si>
  <si>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</si>
  <si>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</si>
  <si>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</si>
  <si>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</si>
  <si>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</si>
  <si>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</si>
  <si>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</si>
  <si>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</si>
  <si>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</si>
  <si>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</si>
  <si>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</si>
  <si>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</si>
  <si>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</si>
  <si>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</si>
  <si>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</si>
  <si>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</si>
  <si>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</si>
  <si>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</si>
  <si>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</si>
  <si>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</si>
  <si>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</si>
  <si>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</si>
  <si>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</si>
  <si>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</si>
  <si>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</si>
  <si>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</si>
  <si>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</si>
  <si>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</si>
  <si>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</si>
  <si>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</si>
  <si>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</si>
  <si>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</si>
  <si>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</si>
  <si>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</si>
  <si>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</si>
  <si>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</si>
  <si>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</si>
  <si>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</si>
  <si>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</si>
  <si>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</si>
  <si>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</si>
  <si>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</si>
  <si>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</si>
  <si>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</si>
  <si>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</si>
  <si>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</si>
  <si>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</si>
  <si>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</si>
  <si>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</si>
  <si>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</si>
  <si>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</si>
  <si>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</si>
  <si>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</si>
  <si>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</si>
  <si>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</si>
  <si>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</si>
  <si>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</si>
  <si>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</si>
  <si>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</si>
  <si>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</si>
  <si>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</si>
  <si>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</si>
  <si>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</si>
  <si>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</si>
  <si>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</si>
  <si>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</si>
  <si>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</si>
  <si>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</si>
  <si>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</si>
  <si>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</si>
  <si>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</si>
  <si>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</si>
  <si>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</si>
  <si>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</si>
  <si>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</si>
  <si>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</si>
  <si>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</si>
  <si>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</si>
  <si>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</si>
  <si>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</si>
  <si>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</si>
  <si>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</si>
  <si>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</si>
  <si>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</si>
  <si>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</si>
  <si>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</si>
  <si>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</si>
  <si>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</si>
  <si>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</si>
  <si>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</si>
  <si>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</si>
  <si>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</si>
  <si>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</si>
  <si>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</si>
  <si>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</si>
  <si>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</si>
  <si>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</si>
  <si>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</si>
  <si>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</si>
  <si>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</si>
  <si>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</si>
  <si>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</si>
  <si>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</si>
  <si>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</si>
  <si>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</si>
  <si>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</si>
  <si>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</si>
  <si>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</si>
  <si>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</si>
  <si>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</si>
  <si>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</si>
  <si>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</si>
  <si>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</si>
  <si>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</si>
  <si>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</si>
  <si>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</si>
  <si>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</si>
  <si>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</si>
  <si>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</si>
  <si>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</si>
  <si>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</si>
  <si>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</si>
  <si>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</si>
  <si>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</si>
  <si>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</si>
  <si>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</si>
  <si>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</si>
  <si>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</si>
  <si>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</si>
  <si>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</si>
  <si>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</si>
  <si>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</si>
  <si>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</si>
  <si>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</si>
  <si>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</si>
  <si>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</si>
  <si>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</si>
  <si>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</si>
  <si>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</si>
  <si>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</si>
  <si>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</si>
  <si>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</si>
  <si>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</si>
  <si>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</si>
  <si>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</si>
  <si>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</si>
  <si>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</si>
  <si>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</si>
  <si>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</si>
  <si>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</si>
  <si>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</si>
  <si>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</si>
  <si>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</si>
  <si>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</si>
  <si>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</si>
  <si>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</si>
  <si>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</si>
  <si>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</si>
  <si>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</si>
  <si>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</si>
  <si>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</si>
  <si>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</si>
  <si>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</si>
  <si>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</si>
  <si>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</si>
  <si>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</si>
  <si>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</si>
  <si>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</si>
  <si>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</si>
  <si>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</si>
  <si>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</si>
  <si>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</si>
  <si>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</si>
  <si>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</si>
  <si>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</si>
  <si>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</si>
  <si>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</si>
  <si>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</si>
  <si>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</si>
  <si>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</si>
  <si>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</si>
  <si>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</si>
  <si>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</si>
  <si>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</si>
  <si>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</si>
  <si>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</si>
  <si>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</si>
  <si>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</si>
  <si>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</si>
  <si>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</si>
  <si>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</si>
  <si>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</si>
  <si>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</si>
  <si>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</si>
  <si>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</si>
  <si>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</si>
  <si>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</si>
  <si>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</si>
  <si>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</si>
  <si>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</si>
  <si>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</si>
  <si>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</si>
  <si>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</si>
  <si>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</si>
  <si>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</si>
  <si>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</si>
  <si>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</si>
  <si>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</si>
  <si>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</si>
  <si>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</si>
  <si>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</si>
  <si>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</si>
  <si>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</si>
  <si>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</si>
  <si>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</si>
  <si>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</si>
  <si>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</si>
  <si>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</si>
  <si>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</si>
  <si>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</si>
  <si>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</si>
  <si>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</si>
  <si>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</si>
  <si>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</si>
  <si>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</si>
  <si>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</si>
  <si>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</si>
  <si>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</si>
  <si>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</si>
  <si>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</si>
  <si>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</si>
  <si>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</si>
  <si>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</si>
  <si>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</si>
  <si>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</si>
  <si>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</si>
  <si>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</si>
  <si>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</si>
  <si>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</si>
  <si>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</si>
  <si>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</si>
  <si>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</si>
  <si>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</si>
  <si>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</si>
  <si>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</si>
  <si>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</si>
  <si>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</si>
  <si>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</si>
  <si>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</si>
  <si>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</si>
  <si>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</si>
  <si>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</si>
  <si>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</si>
  <si>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</si>
  <si>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</si>
  <si>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</si>
  <si>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</si>
  <si>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</si>
  <si>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</si>
  <si>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</si>
  <si>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</si>
  <si>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</si>
  <si>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</si>
  <si>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</si>
  <si>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</si>
  <si>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</si>
  <si>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</si>
  <si>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</si>
  <si>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</si>
  <si>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</si>
  <si>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</si>
  <si>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</si>
  <si>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</si>
  <si>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</si>
  <si>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</si>
  <si>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</si>
  <si>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</si>
  <si>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</si>
  <si>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</si>
  <si>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</si>
  <si>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</si>
  <si>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</si>
  <si>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</si>
  <si>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</si>
  <si>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</si>
  <si>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</si>
  <si>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</si>
  <si>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</si>
  <si>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</si>
  <si>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</si>
  <si>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</si>
  <si>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</si>
  <si>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</si>
  <si>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</si>
  <si>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</si>
  <si>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</si>
  <si>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</si>
  <si>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</si>
  <si>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</si>
  <si>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</si>
  <si>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</si>
  <si>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</si>
  <si>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</si>
  <si>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</si>
  <si>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</si>
  <si>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</si>
  <si>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</si>
  <si>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</si>
  <si>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</si>
  <si>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</si>
  <si>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</si>
  <si>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</si>
  <si>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</si>
  <si>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</si>
  <si>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</si>
  <si>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</si>
  <si>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</si>
  <si>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</si>
  <si>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</si>
  <si>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</si>
  <si>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</si>
  <si>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</si>
  <si>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</si>
  <si>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</si>
  <si>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</si>
  <si>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</si>
  <si>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</si>
  <si>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</si>
  <si>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</si>
  <si>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</si>
  <si>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</si>
  <si>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</si>
  <si>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</si>
  <si>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</si>
  <si>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</si>
  <si>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</si>
  <si>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</si>
  <si>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</si>
  <si>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</si>
  <si>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</si>
  <si>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</si>
  <si>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</si>
  <si>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</si>
  <si>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</si>
  <si>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</si>
  <si>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</si>
  <si>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</si>
  <si>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</si>
  <si>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</si>
  <si>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</si>
  <si>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</si>
  <si>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</si>
  <si>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</si>
  <si>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</si>
  <si>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</si>
  <si>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</si>
  <si>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</si>
  <si>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</si>
  <si>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</si>
  <si>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</si>
  <si>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</si>
  <si>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</si>
  <si>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</si>
  <si>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</si>
  <si>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</si>
  <si>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</si>
  <si>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</si>
  <si>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</si>
  <si>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</si>
  <si>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</si>
  <si>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</si>
  <si>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</si>
  <si>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</si>
  <si>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</si>
  <si>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</si>
  <si>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</si>
  <si>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</si>
  <si>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</si>
  <si>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</si>
  <si>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</si>
  <si>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</si>
  <si>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</si>
  <si>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</si>
  <si>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</si>
  <si>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</si>
  <si>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</si>
  <si>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</si>
  <si>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</si>
  <si>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</si>
  <si>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</si>
  <si>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</si>
  <si>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</si>
  <si>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</si>
  <si>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</si>
  <si>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</si>
  <si>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</si>
  <si>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</si>
  <si>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</si>
  <si>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</si>
  <si>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</si>
  <si>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</si>
  <si>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</si>
  <si>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</si>
  <si>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</si>
  <si>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</si>
  <si>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</si>
  <si>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</si>
  <si>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</si>
  <si>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</si>
  <si>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</si>
  <si>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</si>
  <si>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</si>
  <si>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</si>
  <si>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</si>
  <si>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</si>
  <si>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</si>
  <si>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</si>
  <si>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</si>
  <si>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</si>
  <si>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</si>
  <si>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</si>
  <si>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</si>
  <si>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</si>
  <si>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</si>
  <si>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</si>
  <si>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</si>
  <si>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</si>
  <si>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</si>
  <si>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</si>
  <si>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</si>
  <si>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</si>
  <si>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</si>
  <si>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</si>
  <si>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</si>
  <si>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</si>
  <si>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</si>
  <si>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</si>
  <si>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</si>
  <si>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</si>
  <si>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</si>
  <si>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</si>
  <si>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</si>
  <si>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</si>
  <si>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</si>
  <si>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</si>
  <si>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</si>
  <si>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</si>
  <si>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</si>
  <si>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</si>
  <si>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</si>
  <si>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</si>
  <si>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</si>
  <si>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</si>
  <si>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</si>
  <si>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</si>
  <si>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</si>
  <si>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</si>
  <si>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</si>
  <si>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</si>
  <si>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</si>
  <si>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</si>
  <si>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</si>
  <si>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</si>
  <si>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</si>
  <si>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</si>
  <si>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</si>
  <si>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</si>
  <si>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</si>
  <si>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</si>
  <si>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</si>
  <si>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</si>
  <si>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</si>
  <si>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</si>
  <si>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</si>
  <si>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</si>
  <si>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</si>
  <si>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</si>
  <si>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</si>
  <si>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</si>
  <si>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</si>
  <si>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</si>
  <si>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</si>
  <si>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</si>
  <si>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</si>
  <si>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</si>
  <si>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</si>
  <si>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</si>
  <si>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</si>
  <si>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</si>
  <si>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</si>
  <si>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</si>
  <si>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</si>
  <si>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</si>
  <si>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</si>
  <si>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</si>
  <si>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</si>
  <si>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</si>
  <si>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</si>
  <si>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</si>
  <si>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</si>
  <si>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</si>
  <si>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</si>
  <si>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</si>
  <si>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</si>
  <si>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</si>
  <si>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</si>
  <si>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</si>
  <si>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</si>
  <si>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</si>
  <si>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</si>
  <si>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</si>
  <si>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</si>
  <si>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</si>
  <si>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</si>
  <si>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</si>
  <si>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</si>
  <si>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</si>
  <si>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</si>
  <si>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</si>
  <si>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</si>
  <si>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</si>
  <si>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</si>
  <si>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</si>
  <si>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</si>
  <si>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</si>
  <si>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</si>
  <si>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</si>
  <si>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</si>
  <si>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</si>
  <si>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</si>
  <si>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</si>
  <si>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</si>
  <si>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</si>
  <si>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</si>
  <si>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</si>
  <si>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</si>
  <si>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</si>
  <si>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</si>
  <si>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</si>
  <si>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</si>
  <si>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</si>
  <si>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</si>
  <si>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</si>
  <si>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</si>
  <si>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</si>
  <si>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</si>
  <si>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</si>
  <si>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</si>
  <si>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</si>
  <si>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</si>
  <si>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</si>
  <si>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</si>
  <si>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</si>
  <si>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</si>
  <si>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</si>
  <si>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</si>
  <si>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</si>
  <si>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</si>
  <si>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</si>
  <si>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</si>
  <si>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</si>
  <si>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</si>
  <si>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</si>
  <si>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</si>
  <si>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</si>
  <si>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</si>
  <si>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</si>
  <si>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</si>
  <si>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</si>
  <si>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</si>
  <si>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</si>
  <si>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</si>
  <si>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</si>
  <si>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</si>
  <si>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</si>
  <si>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</si>
  <si>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</si>
  <si>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</si>
  <si>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</si>
  <si>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</si>
  <si>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</si>
  <si>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</si>
  <si>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</si>
  <si>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</si>
  <si>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</si>
  <si>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</si>
  <si>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</si>
  <si>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</si>
  <si>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</si>
  <si>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</si>
  <si>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</si>
  <si>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</si>
  <si>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</si>
  <si>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</si>
  <si>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</si>
  <si>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</si>
  <si>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</si>
  <si>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</si>
  <si>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</si>
  <si>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</si>
  <si>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</si>
  <si>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</si>
  <si>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</si>
  <si>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</si>
  <si>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</si>
  <si>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</si>
  <si>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</si>
  <si>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</si>
  <si>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</si>
  <si>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</si>
  <si>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</si>
  <si>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</si>
  <si>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</si>
  <si>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</si>
  <si>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</si>
  <si>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</si>
  <si>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</si>
  <si>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</si>
  <si>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</si>
  <si>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</si>
  <si>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</si>
  <si>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</si>
  <si>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</si>
  <si>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</si>
  <si>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</si>
  <si>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</si>
  <si>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</si>
  <si>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</si>
  <si>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</si>
  <si>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</si>
  <si>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</si>
  <si>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</si>
  <si>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</si>
  <si>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</si>
  <si>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</si>
  <si>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</si>
  <si>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</si>
  <si>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</si>
  <si>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</si>
  <si>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</si>
  <si>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</si>
  <si>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</si>
  <si>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</si>
  <si>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</si>
  <si>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</si>
  <si>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</si>
  <si>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</si>
  <si>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</si>
  <si>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</si>
  <si>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</si>
  <si>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</si>
  <si>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</si>
  <si>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</si>
  <si>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</si>
  <si>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</si>
  <si>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</si>
  <si>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</si>
  <si>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</si>
  <si>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</si>
  <si>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</si>
  <si>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</si>
  <si>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</si>
  <si>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</si>
  <si>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</si>
  <si>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</si>
  <si>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</si>
  <si>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</si>
  <si>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</si>
  <si>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</si>
  <si>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</si>
  <si>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</si>
  <si>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</si>
  <si>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</si>
  <si>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</si>
  <si>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</si>
  <si>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</si>
  <si>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</si>
  <si>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</si>
  <si>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</si>
  <si>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</si>
  <si>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</si>
  <si>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</si>
  <si>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</si>
  <si>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</si>
  <si>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</si>
  <si>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</si>
  <si>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</si>
  <si>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</si>
  <si>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</si>
  <si>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</si>
  <si>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</si>
  <si>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</si>
  <si>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</si>
  <si>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</si>
  <si>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</si>
  <si>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</si>
  <si>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</si>
  <si>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</si>
  <si>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</si>
  <si>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</si>
  <si>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</si>
  <si>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</si>
  <si>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</si>
  <si>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</si>
  <si>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</si>
  <si>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</si>
  <si>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</si>
  <si>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</si>
  <si>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</si>
  <si>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</si>
  <si>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</si>
  <si>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</si>
  <si>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</si>
  <si>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</si>
  <si>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</si>
  <si>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</si>
  <si>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</si>
  <si>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</si>
  <si>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</si>
  <si>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</si>
  <si>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</si>
  <si>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</si>
  <si>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</si>
  <si>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</si>
  <si>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</si>
  <si>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</si>
  <si>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</si>
  <si>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</si>
  <si>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</si>
  <si>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</si>
  <si>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</si>
  <si>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</si>
  <si>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</si>
  <si>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</si>
  <si>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</si>
  <si>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</si>
  <si>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</si>
  <si>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</si>
  <si>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</si>
  <si>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</si>
  <si>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</si>
  <si>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</si>
  <si>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</si>
  <si>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</si>
  <si>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</si>
  <si>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</si>
  <si>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</si>
  <si>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</si>
  <si>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</si>
  <si>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</si>
  <si>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</si>
  <si>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</si>
  <si>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</si>
  <si>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</si>
  <si>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</si>
  <si>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</si>
  <si>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</si>
  <si>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</si>
  <si>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</si>
  <si>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</si>
  <si>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</si>
  <si>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</si>
  <si>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</si>
  <si>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</si>
  <si>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</si>
  <si>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</si>
  <si>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</si>
  <si>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</si>
  <si>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</si>
  <si>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</si>
  <si>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</si>
  <si>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</si>
  <si>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</si>
  <si>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</si>
  <si>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</si>
  <si>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</si>
  <si>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</si>
  <si>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</si>
  <si>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</si>
  <si>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</si>
  <si>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</si>
  <si>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</si>
  <si>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</si>
  <si>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</si>
  <si>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</si>
  <si>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</si>
  <si>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</si>
  <si>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</si>
  <si>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</si>
  <si>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</si>
  <si>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</si>
  <si>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</si>
  <si>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</si>
  <si>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</si>
  <si>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</si>
  <si>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</si>
  <si>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</si>
  <si>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</si>
  <si>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</si>
  <si>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</si>
  <si>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</si>
  <si>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</si>
  <si>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</si>
  <si>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</si>
  <si>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</si>
  <si>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</si>
  <si>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</si>
  <si>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</si>
  <si>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</si>
  <si>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</si>
  <si>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</si>
  <si>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</si>
  <si>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</si>
  <si>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</si>
  <si>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</si>
  <si>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</si>
  <si>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</si>
  <si>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</si>
  <si>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</si>
  <si>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</si>
  <si>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</si>
  <si>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</si>
  <si>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</si>
  <si>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</si>
  <si>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</si>
  <si>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</si>
  <si>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</si>
  <si>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</si>
  <si>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</si>
  <si>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</si>
  <si>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</si>
  <si>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</si>
  <si>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</si>
  <si>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</si>
  <si>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</si>
  <si>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</si>
  <si>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</si>
  <si>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</si>
  <si>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</si>
  <si>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</si>
  <si>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</si>
  <si>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</si>
  <si>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</si>
  <si>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</si>
  <si>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</si>
  <si>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</si>
  <si>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</si>
  <si>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</si>
  <si>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</si>
  <si>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</si>
  <si>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</si>
  <si>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</si>
  <si>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</si>
  <si>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</si>
  <si>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</si>
  <si>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</si>
  <si>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</si>
  <si>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</si>
  <si>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</si>
  <si>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</si>
  <si>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</si>
  <si>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</si>
  <si>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</si>
  <si>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</si>
  <si>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</si>
  <si>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</si>
  <si>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</si>
  <si>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</si>
  <si>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</si>
  <si>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</si>
  <si>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</si>
  <si>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</si>
  <si>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</si>
  <si>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</si>
  <si>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</si>
  <si>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</si>
  <si>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</si>
  <si>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</si>
  <si>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</si>
  <si>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</si>
  <si>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</si>
  <si>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</si>
  <si>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</si>
  <si>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</si>
  <si>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</si>
  <si>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</si>
  <si>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</si>
  <si>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</si>
  <si>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</si>
  <si>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</si>
  <si>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</si>
  <si>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</si>
  <si>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</si>
  <si>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</si>
  <si>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</si>
  <si>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</si>
  <si>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</si>
  <si>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</si>
  <si>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</si>
  <si>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</si>
  <si>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</si>
  <si>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</si>
  <si>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</si>
  <si>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</si>
  <si>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</si>
  <si>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</si>
  <si>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</si>
  <si>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</si>
  <si>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</si>
  <si>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</si>
  <si>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</si>
  <si>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</si>
  <si>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</si>
  <si>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</si>
  <si>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</si>
  <si>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</si>
  <si>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</si>
  <si>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</si>
  <si>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</si>
  <si>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</si>
  <si>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</si>
  <si>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</si>
  <si>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</si>
  <si>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</si>
  <si>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</si>
  <si>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</si>
  <si>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</si>
  <si>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</si>
  <si>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</si>
  <si>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</si>
  <si>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</si>
  <si>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</si>
  <si>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</si>
  <si>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</si>
  <si>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</si>
  <si>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</si>
  <si>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</si>
  <si>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</si>
  <si>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</si>
  <si>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</si>
  <si>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</si>
  <si>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</si>
  <si>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</si>
  <si>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</si>
  <si>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</si>
  <si>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</si>
  <si>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</si>
  <si>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</si>
  <si>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</si>
  <si>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</si>
  <si>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</si>
  <si>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</si>
  <si>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</si>
  <si>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</si>
  <si>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</si>
  <si>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</si>
  <si>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</si>
  <si>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</si>
  <si>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</si>
  <si>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</si>
  <si>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</si>
  <si>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</si>
  <si>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</si>
  <si>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</si>
  <si>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</si>
  <si>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</si>
  <si>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</si>
  <si>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</si>
  <si>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</si>
  <si>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</si>
  <si>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</si>
  <si>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</si>
  <si>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</si>
  <si>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</si>
  <si>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</si>
  <si>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</si>
  <si>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</si>
  <si>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</si>
  <si>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</si>
  <si>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</si>
  <si>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</si>
  <si>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</si>
  <si>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</si>
  <si>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</si>
  <si>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</si>
  <si>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</si>
  <si>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</si>
  <si>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</si>
  <si>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</si>
  <si>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</si>
  <si>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</si>
  <si>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</si>
  <si>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</si>
  <si>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</si>
  <si>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</si>
  <si>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</si>
  <si>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</si>
  <si>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</si>
  <si>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</si>
  <si>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</si>
  <si>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</si>
  <si>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</si>
  <si>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</si>
  <si>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</si>
  <si>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</si>
  <si>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</si>
  <si>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</si>
  <si>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</si>
  <si>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</si>
  <si>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</si>
  <si>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</si>
  <si>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</si>
  <si>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</si>
  <si>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</si>
  <si>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</si>
  <si>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</si>
  <si>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</si>
  <si>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</si>
  <si>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</si>
  <si>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</si>
  <si>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</si>
  <si>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</si>
  <si>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</si>
  <si>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</si>
  <si>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</si>
  <si>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</si>
  <si>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</si>
  <si>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</si>
  <si>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</si>
  <si>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</si>
  <si>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</si>
  <si>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</si>
  <si>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</si>
  <si>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</si>
  <si>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</si>
  <si>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</si>
  <si>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</si>
  <si>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</si>
  <si>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</si>
  <si>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</si>
  <si>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</si>
  <si>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</si>
  <si>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</si>
  <si>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</si>
  <si>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</si>
  <si>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</si>
  <si>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</si>
  <si>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</si>
  <si>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</si>
  <si>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</si>
  <si>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</si>
  <si>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</si>
  <si>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</si>
  <si>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</si>
  <si>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</si>
  <si>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</si>
  <si>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</si>
  <si>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</si>
  <si>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</si>
  <si>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</si>
  <si>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</si>
  <si>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</si>
  <si>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</si>
  <si>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</si>
  <si>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</si>
  <si>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</si>
  <si>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</si>
  <si>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</si>
  <si>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</si>
  <si>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</si>
  <si>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</si>
  <si>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</si>
  <si>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</si>
  <si>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</si>
  <si>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</si>
  <si>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</si>
  <si>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</si>
  <si>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</si>
  <si>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</si>
  <si>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</si>
  <si>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</si>
  <si>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</si>
  <si>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</si>
  <si>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</si>
  <si>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</si>
  <si>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</si>
  <si>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</si>
  <si>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</si>
  <si>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</si>
  <si>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</si>
  <si>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</si>
  <si>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</si>
  <si>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</si>
  <si>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</si>
  <si>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</si>
  <si>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</si>
  <si>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</si>
  <si>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</si>
  <si>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</si>
  <si>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</si>
  <si>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</si>
  <si>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</si>
  <si>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</si>
  <si>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</si>
  <si>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</si>
  <si>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</si>
  <si>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</si>
  <si>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</si>
  <si>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</si>
  <si>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</si>
  <si>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</si>
  <si>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</si>
  <si>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</si>
  <si>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</si>
  <si>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</si>
  <si>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</si>
  <si>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</si>
  <si>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</si>
  <si>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</si>
  <si>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</si>
  <si>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</si>
  <si>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</si>
  <si>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</si>
  <si>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</si>
  <si>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</si>
  <si>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</si>
  <si>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</si>
  <si>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</si>
  <si>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</si>
  <si>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</si>
  <si>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</si>
  <si>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</si>
  <si>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</si>
  <si>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</si>
  <si>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</si>
  <si>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</si>
  <si>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</si>
  <si>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</si>
  <si>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</si>
  <si>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</si>
  <si>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</si>
  <si>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</si>
  <si>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</si>
  <si>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</si>
  <si>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</si>
  <si>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</si>
  <si>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</si>
  <si>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</si>
  <si>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</si>
  <si>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</si>
  <si>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</si>
  <si>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</si>
  <si>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</si>
  <si>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</si>
  <si>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</si>
  <si>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</si>
  <si>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</si>
  <si>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</si>
  <si>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</si>
  <si>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</si>
  <si>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</si>
  <si>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</si>
  <si>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</si>
  <si>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</si>
  <si>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</si>
  <si>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</si>
  <si>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</si>
  <si>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</si>
  <si>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</si>
  <si>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</si>
  <si>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</si>
  <si>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</si>
  <si>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</si>
  <si>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</si>
  <si>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</si>
  <si>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</si>
  <si>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</si>
  <si>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</si>
  <si>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</si>
  <si>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</si>
  <si>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</si>
  <si>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</si>
  <si>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</si>
  <si>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</si>
  <si>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</si>
  <si>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</si>
  <si>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</si>
  <si>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</si>
  <si>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</si>
  <si>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</si>
  <si>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</si>
  <si>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</si>
  <si>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</si>
  <si>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</si>
  <si>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</si>
  <si>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</si>
  <si>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</si>
  <si>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</si>
  <si>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</si>
  <si>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</si>
  <si>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</si>
  <si>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</si>
  <si>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</si>
  <si>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</si>
  <si>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</si>
  <si>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</si>
  <si>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</si>
  <si>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</si>
  <si>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</si>
  <si>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</si>
  <si>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</si>
  <si>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</si>
  <si>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</si>
  <si>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</si>
  <si>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</si>
  <si>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</si>
  <si>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</si>
  <si>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</si>
  <si>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</si>
  <si>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</si>
  <si>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</si>
  <si>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</si>
  <si>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</si>
  <si>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</si>
  <si>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</si>
  <si>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</si>
  <si>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</si>
  <si>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</si>
  <si>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</si>
  <si>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</si>
  <si>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</si>
  <si>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</si>
  <si>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</si>
  <si>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</si>
  <si>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</si>
  <si>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</si>
  <si>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</si>
  <si>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</si>
  <si>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</si>
  <si>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</si>
  <si>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</si>
  <si>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</si>
  <si>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</si>
  <si>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</si>
  <si>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</si>
  <si>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</si>
  <si>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</si>
  <si>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</si>
  <si>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</si>
  <si>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</si>
  <si>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</si>
  <si>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</si>
  <si>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</si>
  <si>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</si>
  <si>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</si>
  <si>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</si>
  <si>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</si>
  <si>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</si>
  <si>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</si>
  <si>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</si>
  <si>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</si>
  <si>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</si>
  <si>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</si>
  <si>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</si>
  <si>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</si>
  <si>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</si>
  <si>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</si>
  <si>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</si>
  <si>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</si>
  <si>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</si>
  <si>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</si>
  <si>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</si>
  <si>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</si>
  <si>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</si>
  <si>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</si>
  <si>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</si>
  <si>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</si>
  <si>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</si>
  <si>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</si>
  <si>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</si>
  <si>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</si>
  <si>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</si>
  <si>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</si>
  <si>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</si>
  <si>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</si>
  <si>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</si>
  <si>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</si>
  <si>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</si>
  <si>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</si>
  <si>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</si>
  <si>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</si>
  <si>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</si>
  <si>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</si>
  <si>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</si>
  <si>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</si>
  <si>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</si>
  <si>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</si>
  <si>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</si>
  <si>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</si>
  <si>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</si>
  <si>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</si>
  <si>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</si>
  <si>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</si>
  <si>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</si>
  <si>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</si>
  <si>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</si>
  <si>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</si>
  <si>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</si>
  <si>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</si>
  <si>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</si>
  <si>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</si>
  <si>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</si>
  <si>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</si>
  <si>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</si>
  <si>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</si>
  <si>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</si>
  <si>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</si>
  <si>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</si>
  <si>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</si>
  <si>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</si>
  <si>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</si>
  <si>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</si>
  <si>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</si>
  <si>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</si>
  <si>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</si>
  <si>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</si>
  <si>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</si>
  <si>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</si>
  <si>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</si>
  <si>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</si>
  <si>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</si>
  <si>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</si>
  <si>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</si>
  <si>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</si>
  <si>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</si>
  <si>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</si>
  <si>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</si>
  <si>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</si>
  <si>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</si>
  <si>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</si>
  <si>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</si>
  <si>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</si>
  <si>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</si>
  <si>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</si>
  <si>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</si>
  <si>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</si>
  <si>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</si>
  <si>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</si>
  <si>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</si>
  <si>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</si>
  <si>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</si>
  <si>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</si>
  <si>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</si>
  <si>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</si>
  <si>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</si>
  <si>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</si>
  <si>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</si>
  <si>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</si>
  <si>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</si>
  <si>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</si>
  <si>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</si>
  <si>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</si>
  <si>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</si>
  <si>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</si>
  <si>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</si>
  <si>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</si>
  <si>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</si>
  <si>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</si>
  <si>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</si>
  <si>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</si>
  <si>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</si>
  <si>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</si>
  <si>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</si>
  <si>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</si>
  <si>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</si>
  <si>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</si>
  <si>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</si>
  <si>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</si>
  <si>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</si>
  <si>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</si>
  <si>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</si>
  <si>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</si>
  <si>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</si>
  <si>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</si>
  <si>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</si>
  <si>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</si>
  <si>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</si>
  <si>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</si>
  <si>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</si>
  <si>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</si>
  <si>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</si>
  <si>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</si>
  <si>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</si>
  <si>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</si>
  <si>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</si>
  <si>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</si>
  <si>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</si>
  <si>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</si>
  <si>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</si>
  <si>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</si>
  <si>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</si>
  <si>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</si>
  <si>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</si>
  <si>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</si>
  <si>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</si>
  <si>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</si>
  <si>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</si>
  <si>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</si>
  <si>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</si>
  <si>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</si>
  <si>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</si>
  <si>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</si>
  <si>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</si>
  <si>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</si>
  <si>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</si>
  <si>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</si>
  <si>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</si>
  <si>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</si>
  <si>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539.</t>
  </si>
  <si>
    <t>SBA 26/539</t>
  </si>
  <si>
    <t>540.</t>
  </si>
  <si>
    <t>SBA 26/540</t>
  </si>
  <si>
    <t>541.</t>
  </si>
  <si>
    <t>SBA 26/541</t>
  </si>
  <si>
    <t>542.</t>
  </si>
  <si>
    <t>SBA 26/542</t>
  </si>
  <si>
    <t>543.</t>
  </si>
  <si>
    <t>SBA 26/543</t>
  </si>
  <si>
    <t>544.</t>
  </si>
  <si>
    <t>SBA 26/544</t>
  </si>
  <si>
    <t>545.</t>
  </si>
  <si>
    <t>SBA 26/545</t>
  </si>
  <si>
    <t>546.</t>
  </si>
  <si>
    <t>SBA 26/546</t>
  </si>
  <si>
    <t>547.</t>
  </si>
  <si>
    <t>SBA 26/547</t>
  </si>
  <si>
    <t>548.</t>
  </si>
  <si>
    <t>SBA 26/548</t>
  </si>
  <si>
    <t>549.</t>
  </si>
  <si>
    <t>SBA 26/549</t>
  </si>
  <si>
    <t>550.</t>
  </si>
  <si>
    <t>SBA 26/550</t>
  </si>
  <si>
    <t>551.</t>
  </si>
  <si>
    <t>SBA 26/551</t>
  </si>
  <si>
    <t>552.</t>
  </si>
  <si>
    <t>SBA 26/552</t>
  </si>
  <si>
    <t>553.</t>
  </si>
  <si>
    <t>SBA 26/553</t>
  </si>
  <si>
    <t>554.</t>
  </si>
  <si>
    <t>SBA 26/554</t>
  </si>
  <si>
    <t>555.</t>
  </si>
  <si>
    <t>SBA 26/555</t>
  </si>
  <si>
    <t>556.</t>
  </si>
  <si>
    <t>SBA 26/556</t>
  </si>
  <si>
    <t>557.</t>
  </si>
  <si>
    <t>SBA 26/557</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</si>
  <si>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</si>
  <si>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</si>
  <si>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</si>
  <si>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</si>
  <si>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</si>
  <si>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</si>
  <si>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</si>
  <si>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</si>
  <si>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</si>
  <si>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</si>
  <si>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</si>
  <si>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</si>
  <si>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</si>
  <si>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</si>
  <si>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</si>
  <si>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</si>
  <si>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</si>
  <si>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</si>
  <si>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</si>
  <si>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</si>
  <si>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</si>
  <si>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</si>
  <si>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</si>
  <si>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</si>
  <si>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</si>
  <si>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</si>
  <si>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</si>
  <si>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</si>
  <si>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</si>
  <si>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</si>
  <si>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</si>
  <si>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</si>
  <si>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</si>
  <si>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</si>
  <si>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</si>
  <si>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</si>
  <si>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</si>
  <si>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</si>
  <si>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</si>
  <si>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</si>
  <si>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</si>
  <si>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</si>
  <si>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</si>
  <si>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</si>
  <si>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</si>
  <si>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</si>
  <si>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</si>
  <si>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</si>
  <si>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</si>
  <si>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</si>
  <si>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</si>
  <si>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</si>
  <si>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</si>
  <si>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</si>
  <si>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</si>
  <si>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</si>
  <si>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</si>
  <si>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</si>
  <si>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</si>
  <si>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</si>
  <si>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</si>
  <si>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</si>
  <si>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</si>
  <si>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</si>
  <si>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</si>
  <si>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</si>
  <si>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</si>
  <si>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</si>
  <si>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</si>
  <si>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</si>
  <si>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</si>
  <si>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</si>
  <si>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</si>
  <si>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</si>
  <si>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</si>
  <si>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</si>
  <si>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</si>
  <si>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</si>
  <si>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</si>
  <si>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</si>
  <si>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</si>
  <si>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</si>
  <si>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</si>
  <si>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</si>
  <si>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</si>
  <si>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</si>
  <si>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</si>
  <si>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</si>
  <si>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</si>
  <si>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</si>
  <si>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</si>
  <si>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</si>
  <si>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</si>
  <si>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</si>
  <si>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</si>
  <si>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</si>
  <si>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</si>
  <si>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</si>
  <si>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</si>
  <si>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</si>
  <si>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</si>
  <si>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</si>
  <si>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</si>
  <si>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</si>
  <si>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</si>
  <si>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</si>
  <si>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</si>
  <si>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</si>
  <si>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</si>
  <si>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</si>
  <si>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</si>
  <si>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</si>
  <si>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</si>
  <si>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</si>
  <si>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</si>
  <si>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</si>
  <si>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</si>
  <si>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</si>
  <si>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</si>
  <si>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</si>
  <si>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</si>
  <si>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</si>
  <si>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</si>
  <si>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</si>
  <si>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</si>
  <si>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</si>
  <si>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</si>
  <si>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</si>
  <si>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</si>
  <si>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</si>
  <si>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</si>
  <si>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</si>
  <si>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</si>
  <si>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</si>
  <si>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</si>
  <si>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</si>
  <si>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</si>
  <si>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</si>
  <si>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</si>
  <si>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</si>
  <si>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</si>
  <si>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</si>
  <si>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</si>
  <si>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</si>
  <si>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</si>
  <si>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</si>
  <si>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</si>
  <si>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</si>
  <si>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</si>
  <si>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</si>
  <si>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</si>
  <si>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</si>
  <si>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</si>
  <si>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</si>
  <si>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</si>
  <si>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</si>
  <si>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</si>
  <si>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</si>
  <si>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</si>
  <si>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</si>
  <si>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</si>
  <si>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</si>
  <si>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</si>
  <si>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</si>
  <si>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</si>
  <si>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</si>
  <si>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</si>
  <si>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</si>
  <si>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</si>
  <si>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</si>
  <si>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</si>
  <si>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</si>
  <si>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</si>
  <si>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</si>
  <si>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</si>
  <si>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</si>
  <si>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</si>
  <si>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</si>
  <si>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</si>
  <si>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</si>
  <si>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</si>
  <si>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</si>
  <si>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</si>
  <si>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</si>
  <si>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</si>
  <si>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</si>
  <si>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</si>
  <si>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</si>
  <si>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</si>
  <si>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</si>
  <si>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</si>
  <si>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</si>
  <si>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</si>
  <si>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</si>
  <si>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</si>
  <si>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</si>
  <si>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</si>
  <si>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</si>
  <si>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</si>
  <si>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</si>
  <si>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</si>
  <si>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</si>
  <si>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</si>
  <si>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</si>
  <si>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</si>
  <si>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</si>
  <si>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</si>
  <si>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</si>
  <si>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</si>
  <si>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</si>
  <si>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</si>
  <si>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</si>
  <si>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</si>
  <si>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</si>
  <si>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</si>
  <si>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</si>
  <si>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</si>
  <si>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</si>
  <si>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</si>
  <si>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</si>
  <si>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</si>
  <si>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</si>
  <si>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</si>
  <si>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</si>
  <si>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</si>
  <si>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</si>
  <si>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</si>
  <si>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</si>
  <si>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</si>
  <si>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</si>
  <si>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</si>
  <si>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</si>
  <si>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</si>
  <si>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</si>
  <si>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</si>
  <si>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</si>
  <si>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</si>
  <si>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</si>
  <si>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</si>
  <si>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</si>
  <si>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</si>
  <si>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</si>
  <si>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</si>
  <si>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</si>
  <si>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</si>
  <si>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</si>
  <si>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</si>
  <si>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</si>
  <si>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</si>
  <si>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</si>
  <si>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</si>
  <si>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</si>
  <si>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</si>
  <si>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</si>
  <si>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</si>
  <si>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</si>
  <si>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</si>
  <si>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</si>
  <si>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</si>
  <si>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</si>
  <si>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</si>
  <si>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</si>
  <si>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</si>
  <si>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</si>
  <si>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</si>
  <si>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</si>
  <si>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</si>
  <si>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</si>
  <si>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</si>
  <si>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</si>
  <si>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</si>
  <si>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</si>
  <si>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</si>
  <si>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</si>
  <si>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</si>
  <si>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</si>
  <si>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</si>
  <si>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</si>
  <si>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</si>
  <si>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</si>
  <si>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</si>
  <si>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</si>
  <si>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</si>
  <si>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</si>
  <si>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</si>
  <si>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</si>
  <si>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</si>
  <si>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</si>
  <si>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</si>
  <si>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</si>
  <si>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</si>
  <si>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</si>
  <si>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</si>
  <si>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</si>
  <si>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</si>
  <si>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</si>
  <si>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</si>
  <si>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</si>
  <si>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</si>
  <si>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</si>
  <si>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</si>
  <si>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</si>
  <si>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</si>
  <si>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</si>
  <si>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</si>
  <si>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</si>
  <si>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</si>
  <si>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</si>
  <si>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</si>
  <si>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</si>
  <si>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</si>
  <si>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</si>
  <si>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</si>
  <si>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</si>
  <si>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</si>
  <si>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</si>
  <si>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</si>
  <si>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</si>
  <si>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</si>
  <si>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</si>
  <si>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</si>
  <si>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</si>
  <si>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</si>
  <si>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</si>
  <si>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</si>
  <si>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</si>
  <si>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</si>
  <si>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</si>
  <si>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</si>
  <si>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</si>
  <si>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</si>
  <si>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</si>
  <si>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</si>
  <si>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</si>
  <si>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</si>
  <si>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</si>
  <si>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</si>
  <si>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</si>
  <si>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</si>
  <si>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</si>
  <si>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</si>
  <si>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</si>
  <si>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</si>
  <si>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</si>
  <si>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</si>
  <si>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</si>
  <si>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</si>
  <si>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</si>
  <si>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</si>
  <si>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</si>
  <si>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</si>
  <si>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</si>
  <si>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</si>
  <si>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</si>
  <si>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</si>
  <si>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</si>
  <si>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</si>
  <si>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</si>
  <si>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</si>
  <si>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</si>
  <si>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</si>
  <si>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</si>
  <si>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</si>
  <si>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</si>
  <si>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</si>
  <si>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</si>
  <si>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</si>
  <si>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</si>
  <si>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</si>
  <si>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</si>
  <si>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</si>
  <si>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</si>
  <si>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</si>
  <si>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</si>
  <si>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</si>
  <si>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</si>
  <si>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</si>
  <si>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</si>
  <si>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</si>
  <si>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</si>
  <si>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</si>
  <si>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</si>
  <si>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</si>
  <si>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</si>
  <si>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</si>
  <si>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</si>
  <si>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</si>
  <si>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</si>
  <si>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</si>
  <si>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</si>
  <si>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</si>
  <si>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</si>
  <si>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</si>
  <si>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</si>
  <si>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</si>
  <si>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</si>
  <si>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</si>
  <si>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</si>
  <si>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</si>
  <si>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</si>
  <si>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</si>
  <si>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</si>
  <si>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</si>
  <si>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</si>
  <si>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</si>
  <si>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</si>
  <si>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</si>
  <si>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</si>
  <si>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</si>
  <si>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</si>
  <si>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</si>
  <si>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</si>
  <si>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</si>
  <si>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</si>
  <si>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</si>
  <si>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</si>
  <si>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</si>
  <si>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</si>
  <si>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</si>
  <si>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</si>
  <si>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</si>
  <si>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</si>
  <si>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</si>
  <si>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</si>
  <si>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</si>
  <si>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</si>
  <si>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</si>
  <si>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</si>
  <si>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</si>
  <si>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</si>
  <si>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</si>
  <si>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</si>
  <si>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</si>
  <si>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</si>
  <si>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</si>
  <si>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</si>
  <si>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</si>
  <si>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</si>
  <si>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</si>
  <si>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</si>
  <si>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</si>
  <si>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</si>
  <si>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</si>
  <si>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</si>
  <si>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</si>
  <si>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</si>
  <si>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</si>
  <si>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</si>
  <si>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</si>
  <si>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</si>
  <si>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</si>
  <si>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</si>
  <si>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</si>
  <si>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</si>
  <si>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</si>
  <si>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</si>
  <si>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</si>
  <si>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</si>
  <si>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</si>
  <si>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</si>
  <si>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</si>
  <si>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</si>
  <si>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</si>
  <si>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</si>
  <si>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</si>
  <si>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</si>
  <si>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</si>
  <si>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</si>
  <si>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</si>
  <si>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</si>
  <si>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</si>
  <si>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</si>
  <si>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</si>
  <si>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</si>
  <si>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</si>
  <si>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</si>
  <si>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</si>
  <si>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</si>
  <si>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</si>
  <si>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</si>
  <si>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</si>
  <si>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</si>
  <si>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</si>
  <si>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</si>
  <si>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</si>
  <si>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</si>
  <si>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</si>
  <si>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</si>
  <si>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</si>
  <si>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</si>
  <si>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</si>
  <si>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</si>
  <si>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</si>
  <si>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</si>
  <si>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</si>
  <si>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</si>
  <si>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</si>
  <si>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</si>
  <si>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</si>
  <si>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</si>
  <si>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</si>
  <si>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</si>
  <si>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</si>
  <si>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</si>
  <si>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</si>
  <si>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</si>
  <si>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</si>
  <si>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</si>
  <si>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</si>
  <si>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</si>
  <si>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</si>
  <si>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</si>
  <si>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</si>
  <si>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</si>
  <si>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</si>
  <si>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</si>
  <si>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</si>
  <si>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</si>
  <si>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</si>
  <si>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</si>
  <si>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</si>
  <si>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</si>
  <si>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</si>
  <si>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</si>
  <si>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</si>
  <si>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</si>
  <si>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</si>
  <si>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</si>
  <si>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</si>
  <si>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</si>
  <si>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</si>
  <si>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</si>
  <si>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</si>
  <si>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</si>
  <si>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</si>
  <si>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</si>
  <si>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</si>
  <si>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</si>
  <si>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</si>
  <si>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</si>
  <si>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</si>
  <si>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</si>
  <si>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</si>
  <si>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</si>
  <si>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</si>
  <si>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</si>
  <si>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</si>
  <si>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</si>
  <si>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</si>
  <si>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</si>
  <si>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</si>
  <si>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</si>
  <si>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</si>
  <si>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</si>
  <si>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</si>
  <si>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</si>
  <si>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</si>
  <si>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</si>
  <si>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</si>
  <si>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</si>
  <si>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</si>
  <si>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</si>
  <si>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</si>
  <si>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</si>
  <si>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</si>
  <si>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</si>
  <si>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</si>
  <si>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</si>
  <si>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</si>
  <si>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</si>
  <si>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</si>
  <si>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</si>
  <si>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</si>
  <si>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</si>
  <si>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</si>
  <si>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</si>
  <si>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</si>
  <si>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</si>
  <si>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</si>
  <si>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</si>
  <si>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</si>
  <si>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</si>
  <si>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</si>
  <si>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</si>
  <si>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</si>
  <si>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</si>
  <si>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</si>
  <si>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</si>
  <si>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</si>
  <si>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</si>
  <si>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</si>
  <si>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</si>
  <si>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</si>
  <si>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</si>
  <si>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</si>
  <si>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</si>
  <si>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</si>
  <si>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</si>
  <si>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</si>
  <si>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</si>
  <si>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</si>
  <si>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</si>
  <si>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</si>
  <si>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</si>
  <si>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</si>
  <si>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</si>
  <si>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</si>
  <si>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</si>
  <si>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</si>
  <si>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</si>
  <si>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</si>
  <si>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</si>
  <si>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</si>
  <si>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</si>
  <si>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</si>
  <si>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</si>
  <si>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</si>
  <si>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</si>
  <si>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</si>
  <si>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</si>
  <si>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</si>
  <si>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</si>
  <si>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</si>
  <si>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</si>
  <si>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</si>
  <si>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</si>
  <si>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</si>
  <si>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</si>
  <si>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</si>
  <si>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</si>
  <si>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</si>
  <si>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</si>
  <si>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</si>
  <si>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</si>
  <si>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</si>
  <si>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</si>
  <si>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</si>
  <si>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</si>
  <si>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</si>
  <si>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</si>
  <si>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</si>
  <si>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</si>
  <si>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</si>
  <si>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</si>
  <si>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</si>
  <si>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</si>
  <si>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</si>
  <si>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</si>
  <si>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</si>
  <si>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</si>
  <si>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</si>
  <si>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</si>
  <si>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</si>
  <si>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</si>
  <si>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</si>
  <si>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</si>
  <si>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</si>
  <si>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</si>
  <si>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</si>
  <si>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</si>
  <si>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</si>
  <si>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</si>
  <si>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</si>
  <si>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</si>
  <si>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</si>
  <si>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</si>
  <si>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</si>
  <si>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</si>
  <si>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</si>
  <si>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</si>
  <si>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</si>
  <si>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</si>
  <si>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</si>
  <si>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</si>
  <si>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</si>
  <si>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</si>
  <si>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</si>
  <si>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</si>
  <si>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</si>
  <si>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</si>
  <si>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</si>
  <si>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</si>
  <si>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</si>
  <si>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</si>
  <si>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</si>
  <si>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</si>
  <si>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</si>
  <si>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</si>
  <si>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</si>
  <si>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</si>
  <si>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</si>
  <si>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</si>
  <si>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</si>
  <si>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</si>
  <si>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</si>
  <si>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</si>
  <si>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</si>
  <si>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</si>
  <si>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</si>
  <si>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</si>
  <si>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</si>
  <si>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</si>
  <si>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</si>
  <si>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</si>
  <si>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</si>
  <si>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</si>
  <si>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</si>
  <si>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</si>
  <si>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</si>
  <si>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</si>
  <si>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</si>
  <si>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</si>
  <si>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</si>
  <si>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</si>
  <si>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</si>
  <si>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</si>
  <si>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</si>
  <si>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</si>
  <si>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</si>
  <si>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</si>
  <si>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</si>
  <si>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</si>
  <si>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</si>
  <si>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</si>
  <si>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</si>
  <si>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</si>
  <si>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</si>
  <si>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</si>
  <si>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</si>
  <si>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</si>
  <si>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</si>
  <si>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</si>
  <si>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</si>
  <si>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</si>
  <si>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</si>
  <si>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</si>
  <si>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</si>
  <si>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</si>
  <si>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</si>
  <si>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</si>
  <si>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</si>
  <si>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</si>
  <si>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</si>
  <si>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</si>
  <si>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</si>
  <si>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</si>
  <si>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</si>
  <si>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</si>
  <si>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</si>
  <si>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</si>
  <si>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</si>
  <si>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</si>
  <si>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</si>
  <si>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</si>
  <si>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</si>
  <si>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</si>
  <si>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</si>
  <si>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</si>
  <si>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</si>
  <si>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</si>
  <si>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</si>
  <si>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</si>
  <si>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</si>
  <si>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</si>
  <si>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</si>
  <si>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</si>
  <si>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</si>
  <si>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</si>
  <si>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</si>
  <si>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</si>
  <si>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</si>
  <si>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</si>
  <si>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</si>
  <si>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</si>
  <si>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</si>
  <si>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</si>
  <si>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</si>
  <si>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</si>
  <si>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</si>
  <si>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</si>
  <si>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</si>
  <si>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</si>
  <si>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</si>
  <si>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</si>
  <si>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</si>
  <si>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</si>
  <si>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</si>
  <si>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</si>
  <si>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</si>
  <si>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</si>
  <si>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</si>
  <si>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</si>
  <si>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</si>
  <si>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</si>
  <si>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</si>
  <si>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</si>
  <si>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</si>
  <si>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</si>
  <si>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</si>
  <si>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</si>
  <si>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</si>
  <si>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</si>
  <si>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</si>
  <si>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</si>
  <si>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</si>
  <si>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</si>
  <si>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</si>
  <si>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</si>
  <si>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</si>
  <si>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</si>
  <si>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</si>
  <si>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</si>
  <si>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</si>
  <si>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</si>
  <si>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</si>
  <si>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</si>
  <si>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</si>
  <si>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</si>
  <si>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</si>
  <si>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</si>
  <si>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</si>
  <si>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</si>
  <si>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</si>
  <si>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</si>
  <si>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</si>
  <si>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</si>
  <si>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</si>
  <si>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</si>
  <si>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</si>
  <si>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</si>
  <si>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</si>
  <si>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</si>
  <si>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</si>
  <si>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</si>
  <si>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</si>
  <si>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</si>
  <si>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</si>
  <si>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</si>
  <si>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</si>
  <si>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</si>
  <si>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</si>
  <si>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</si>
  <si>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</si>
  <si>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</si>
  <si>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</si>
  <si>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</si>
  <si>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</si>
  <si>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</si>
  <si>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</si>
  <si>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</si>
  <si>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</si>
  <si>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</si>
  <si>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</si>
  <si>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</si>
  <si>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</si>
  <si>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</si>
  <si>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</si>
  <si>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</si>
  <si>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</si>
  <si>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</si>
  <si>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</si>
  <si>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</si>
  <si>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</si>
  <si>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</si>
  <si>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</si>
  <si>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</si>
  <si>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</si>
  <si>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</si>
  <si>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</si>
  <si>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</si>
  <si>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</si>
  <si>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</si>
  <si>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</si>
  <si>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</si>
  <si>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</si>
  <si>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</si>
  <si>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</si>
  <si>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</si>
  <si>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</si>
  <si>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</si>
  <si>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</si>
  <si>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</si>
  <si>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</si>
  <si>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</si>
  <si>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</si>
  <si>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</si>
  <si>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</si>
  <si>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</si>
  <si>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</si>
  <si>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</si>
  <si>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</si>
  <si>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</si>
  <si>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</si>
  <si>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</si>
  <si>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</si>
  <si>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</si>
  <si>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</si>
  <si>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</si>
  <si>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</si>
  <si>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</si>
  <si>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</si>
  <si>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</si>
  <si>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</si>
  <si>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</si>
  <si>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</si>
  <si>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</si>
  <si>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</si>
  <si>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</si>
  <si>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</si>
  <si>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</si>
  <si>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</si>
  <si>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</si>
  <si>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</si>
  <si>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</si>
  <si>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</si>
  <si>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</si>
  <si>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</si>
  <si>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</si>
  <si>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</si>
  <si>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</si>
  <si>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</si>
  <si>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</si>
  <si>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</si>
  <si>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</si>
  <si>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</si>
  <si>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</si>
  <si>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</si>
  <si>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</si>
  <si>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</si>
  <si>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</si>
  <si>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</si>
  <si>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</si>
  <si>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</si>
  <si>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</si>
  <si>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</si>
  <si>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</si>
  <si>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</si>
  <si>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</si>
  <si>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</si>
  <si>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</si>
  <si>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</si>
  <si>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</si>
  <si>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</si>
  <si>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</si>
  <si>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</si>
  <si>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</si>
  <si>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</si>
  <si>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</si>
  <si>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</si>
  <si>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</si>
  <si>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</si>
  <si>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</si>
  <si>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</si>
  <si>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</si>
  <si>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</si>
  <si>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</si>
  <si>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</si>
  <si>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</si>
  <si>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</si>
  <si>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</si>
  <si>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</si>
  <si>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</si>
  <si>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</si>
  <si>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</si>
  <si>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</si>
  <si>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</si>
  <si>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</si>
  <si>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</si>
  <si>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</si>
  <si>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</si>
  <si>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</si>
  <si>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</si>
  <si>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</si>
  <si>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</si>
  <si>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</si>
  <si>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</si>
  <si>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</si>
  <si>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</si>
  <si>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</si>
  <si>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</si>
  <si>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</si>
  <si>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</si>
  <si>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</si>
  <si>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</si>
  <si>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</si>
  <si>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</si>
  <si>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</si>
  <si>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</si>
  <si>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</si>
  <si>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</si>
  <si>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</si>
  <si>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</si>
  <si>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</si>
  <si>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</si>
  <si>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</si>
  <si>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</si>
  <si>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</si>
  <si>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</si>
  <si>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</si>
  <si>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</si>
  <si>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</si>
  <si>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</si>
  <si>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</si>
  <si>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</si>
  <si>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</si>
  <si>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</si>
  <si>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</si>
  <si>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</si>
  <si>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</si>
  <si>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</si>
  <si>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</si>
  <si>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</si>
  <si>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</si>
  <si>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</si>
  <si>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</si>
  <si>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</si>
  <si>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</si>
  <si>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</si>
  <si>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</si>
  <si>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</si>
  <si>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</si>
  <si>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</si>
  <si>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</si>
  <si>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</si>
  <si>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</si>
  <si>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</si>
  <si>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</si>
  <si>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</si>
  <si>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</si>
  <si>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</si>
  <si>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</si>
  <si>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</si>
  <si>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</si>
  <si>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</si>
  <si>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</si>
  <si>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</si>
  <si>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</si>
  <si>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</si>
  <si>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</si>
  <si>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</si>
  <si>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</si>
  <si>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</si>
  <si>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</si>
  <si>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</si>
  <si>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</si>
  <si>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</si>
  <si>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</si>
  <si>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</si>
  <si>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</si>
  <si>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</si>
  <si>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</si>
  <si>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</si>
  <si>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</si>
  <si>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</si>
  <si>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</si>
  <si>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</si>
  <si>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</si>
  <si>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</si>
  <si>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</si>
  <si>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</si>
  <si>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</si>
  <si>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</si>
  <si>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</si>
  <si>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</si>
  <si>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</si>
  <si>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</si>
  <si>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</si>
  <si>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</si>
  <si>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</si>
  <si>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</si>
  <si>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</si>
  <si>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</si>
  <si>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</si>
  <si>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</si>
  <si>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</si>
  <si>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</si>
  <si>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</si>
  <si>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</si>
  <si>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</si>
  <si>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</si>
  <si>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</si>
  <si>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</si>
  <si>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</si>
  <si>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</si>
  <si>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</si>
  <si>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</si>
  <si>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</si>
  <si>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</si>
  <si>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</si>
  <si>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</si>
  <si>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</si>
  <si>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</si>
  <si>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</si>
  <si>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</si>
  <si>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</si>
  <si>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</si>
  <si>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</si>
  <si>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</si>
  <si>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</si>
  <si>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</si>
  <si>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</si>
  <si>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</si>
  <si>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</si>
  <si>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</si>
  <si>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</si>
  <si>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</si>
  <si>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</si>
  <si>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</si>
  <si>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</si>
  <si>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</si>
  <si>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</si>
  <si>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</si>
  <si>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</si>
  <si>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</si>
  <si>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</si>
  <si>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</si>
  <si>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</si>
  <si>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</si>
  <si>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</si>
  <si>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</si>
  <si>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</si>
  <si>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</si>
  <si>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</si>
  <si>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</si>
  <si>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</si>
  <si>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</si>
  <si>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</si>
  <si>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</si>
  <si>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</si>
  <si>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</si>
  <si>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</si>
  <si>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</si>
  <si>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</si>
  <si>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</si>
  <si>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</si>
  <si>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</si>
  <si>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</si>
  <si>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</si>
  <si>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</si>
  <si>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DÜZELTME OKUYAN</t>
  </si>
  <si>
    <t>R3 SAYISI</t>
  </si>
  <si>
    <t>Nitelik</t>
  </si>
  <si>
    <t>Karar</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</si>
  <si>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</si>
  <si>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</si>
  <si>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</si>
  <si>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</si>
  <si>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</si>
  <si>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</si>
  <si>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</si>
  <si>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</si>
  <si>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</si>
  <si>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</si>
  <si>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</si>
  <si>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</si>
  <si>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</si>
  <si>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</si>
  <si>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</si>
  <si>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</si>
  <si>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</si>
  <si>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</si>
  <si>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</si>
  <si>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</si>
  <si>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</si>
  <si>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</si>
  <si>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</si>
  <si>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</si>
  <si>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</si>
  <si>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</si>
  <si>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</si>
  <si>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</si>
  <si>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</si>
  <si>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</si>
  <si>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</si>
  <si>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</si>
  <si>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</si>
  <si>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</si>
  <si>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</si>
  <si>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</si>
  <si>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</si>
  <si>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</si>
  <si>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</si>
  <si>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</si>
  <si>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</si>
  <si>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</si>
  <si>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</si>
  <si>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</si>
  <si>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</si>
  <si>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</si>
  <si>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</si>
  <si>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</si>
  <si>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</si>
  <si>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</si>
  <si>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</si>
  <si>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</si>
  <si>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</si>
  <si>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</si>
  <si>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</si>
  <si>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</si>
  <si>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</si>
  <si>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</si>
  <si>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</si>
  <si>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</si>
  <si>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</si>
  <si>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</si>
  <si>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</si>
  <si>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</si>
  <si>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</si>
  <si>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</si>
  <si>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</si>
  <si>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</si>
  <si>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</si>
  <si>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</si>
  <si>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</si>
  <si>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</si>
  <si>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</si>
  <si>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</si>
  <si>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</si>
  <si>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</si>
  <si>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</si>
  <si>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</si>
  <si>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</si>
  <si>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</si>
  <si>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</si>
  <si>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</si>
  <si>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</si>
  <si>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</si>
  <si>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</si>
  <si>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</si>
  <si>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</si>
  <si>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</si>
  <si>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</si>
  <si>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</si>
  <si>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</si>
  <si>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</si>
  <si>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</si>
  <si>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</si>
  <si>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</si>
  <si>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</si>
  <si>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</si>
  <si>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</si>
  <si>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</si>
  <si>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</si>
  <si>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</si>
  <si>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</si>
  <si>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</si>
  <si>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</si>
  <si>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</si>
  <si>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</si>
  <si>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</si>
  <si>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</si>
  <si>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</si>
  <si>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</si>
  <si>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</si>
  <si>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</si>
  <si>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</si>
  <si>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</si>
  <si>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</si>
  <si>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</si>
  <si>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</si>
  <si>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</si>
  <si>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</si>
  <si>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</si>
  <si>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</si>
  <si>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</si>
  <si>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</si>
  <si>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</si>
  <si>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</si>
  <si>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</si>
  <si>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</si>
  <si>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</si>
  <si>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</si>
  <si>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</si>
  <si>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</si>
  <si>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</si>
  <si>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</si>
  <si>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</si>
  <si>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</si>
  <si>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</si>
  <si>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</si>
  <si>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</si>
  <si>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</si>
  <si>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</si>
  <si>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</si>
  <si>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</si>
  <si>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</si>
  <si>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</si>
  <si>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</si>
  <si>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</si>
  <si>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</si>
  <si>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</si>
  <si>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</si>
  <si>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</si>
  <si>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</si>
  <si>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</si>
  <si>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</si>
  <si>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</si>
  <si>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</si>
  <si>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</si>
  <si>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</si>
  <si>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</si>
  <si>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</si>
  <si>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</si>
  <si>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</si>
  <si>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</si>
  <si>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</si>
  <si>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</si>
  <si>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</si>
  <si>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</si>
  <si>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</si>
  <si>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</si>
  <si>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</si>
  <si>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</si>
  <si>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</si>
  <si>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</si>
  <si>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</si>
  <si>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</si>
  <si>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</si>
  <si>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</si>
  <si>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</si>
  <si>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</si>
  <si>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</si>
  <si>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</si>
  <si>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</si>
  <si>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</si>
  <si>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</si>
  <si>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</si>
  <si>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</si>
  <si>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</si>
  <si>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</si>
  <si>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</si>
  <si>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</si>
  <si>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</si>
  <si>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</si>
  <si>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</si>
  <si>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</si>
  <si>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</si>
  <si>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</si>
  <si>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</si>
  <si>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</si>
  <si>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</si>
  <si>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</si>
  <si>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</si>
  <si>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</si>
  <si>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</si>
  <si>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</si>
  <si>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</si>
  <si>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</si>
  <si>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</si>
  <si>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</si>
  <si>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</si>
  <si>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</si>
  <si>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</si>
  <si>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</si>
  <si>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</si>
  <si>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</si>
  <si>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</si>
  <si>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</si>
  <si>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</si>
  <si>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</si>
  <si>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</si>
  <si>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</si>
  <si>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</si>
  <si>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</si>
  <si>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</si>
  <si>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</si>
  <si>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</si>
  <si>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</si>
  <si>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</si>
  <si>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</si>
  <si>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</si>
  <si>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</si>
  <si>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</si>
  <si>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</si>
  <si>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</si>
  <si>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</si>
  <si>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</si>
  <si>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</si>
  <si>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</si>
  <si>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</si>
  <si>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</si>
  <si>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</si>
  <si>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</si>
  <si>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</si>
  <si>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</si>
  <si>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</si>
  <si>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</si>
  <si>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</si>
  <si>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</si>
  <si>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</si>
  <si>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</si>
  <si>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</si>
  <si>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</si>
  <si>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</si>
  <si>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</si>
  <si>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</si>
  <si>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</si>
  <si>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</si>
  <si>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</si>
  <si>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</si>
  <si>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</si>
  <si>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</si>
  <si>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</si>
  <si>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</si>
  <si>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</si>
  <si>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</si>
  <si>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</si>
  <si>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</si>
  <si>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</si>
  <si>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</si>
  <si>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</si>
  <si>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</si>
  <si>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</si>
  <si>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</si>
  <si>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</si>
  <si>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</si>
  <si>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</si>
  <si>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</si>
  <si>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</si>
  <si>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</si>
  <si>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</si>
  <si>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</si>
  <si>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</si>
  <si>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</si>
  <si>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</si>
  <si>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</si>
  <si>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</si>
  <si>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</si>
  <si>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</si>
  <si>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</si>
  <si>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</si>
  <si>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</si>
  <si>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</si>
  <si>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</si>
  <si>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</si>
  <si>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</si>
  <si>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</si>
  <si>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</si>
  <si>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</si>
  <si>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</si>
  <si>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</si>
  <si>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</si>
  <si>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</si>
  <si>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</si>
  <si>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</si>
  <si>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</si>
  <si>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</si>
  <si>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</si>
  <si>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</si>
  <si>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</si>
  <si>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</si>
  <si>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</si>
  <si>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</si>
  <si>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</si>
  <si>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</si>
  <si>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</si>
  <si>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</si>
  <si>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</si>
  <si>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</si>
  <si>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</si>
  <si>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</si>
  <si>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</si>
  <si>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</si>
  <si>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</si>
  <si>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</si>
  <si>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</si>
  <si>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</si>
  <si>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</si>
  <si>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</si>
  <si>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</si>
  <si>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</si>
  <si>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</si>
  <si>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</si>
  <si>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</si>
  <si>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</si>
  <si>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Doç. Dr. Fatima AERTS KAYA</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</si>
  <si>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</si>
  <si>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</si>
  <si>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</si>
  <si>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</si>
  <si>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</si>
  <si>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</si>
  <si>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</si>
  <si>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</si>
  <si>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</si>
  <si>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</si>
  <si>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</si>
  <si>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</si>
  <si>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</si>
  <si>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</si>
  <si>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</si>
  <si>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</si>
  <si>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</si>
  <si>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</si>
  <si>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</si>
  <si>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</si>
  <si>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</si>
  <si>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</si>
  <si>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</si>
  <si>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</si>
  <si>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</si>
  <si>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</si>
  <si>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</si>
  <si>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</si>
  <si>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</si>
  <si>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</si>
  <si>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</si>
  <si>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</si>
  <si>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</si>
  <si>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</si>
  <si>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</si>
  <si>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</si>
  <si>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</si>
  <si>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</si>
  <si>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</si>
  <si>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</si>
  <si>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</si>
  <si>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</si>
  <si>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</si>
  <si>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</si>
  <si>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</si>
  <si>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</si>
  <si>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</si>
  <si>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</si>
  <si>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</si>
  <si>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</si>
  <si>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</si>
  <si>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</si>
  <si>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</si>
  <si>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</si>
  <si>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</si>
  <si>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</si>
  <si>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</si>
  <si>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</si>
  <si>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</si>
  <si>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</si>
  <si>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</si>
  <si>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</si>
  <si>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</si>
  <si>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</si>
  <si>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</si>
  <si>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</si>
  <si>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</si>
  <si>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</si>
  <si>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</si>
  <si>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</si>
  <si>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</si>
  <si>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</si>
  <si>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</si>
  <si>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</si>
  <si>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</si>
  <si>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</si>
  <si>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</si>
  <si>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</si>
  <si>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</si>
  <si>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</si>
  <si>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</si>
  <si>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</si>
  <si>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</si>
  <si>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</si>
  <si>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</si>
  <si>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</si>
  <si>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</si>
  <si>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</si>
  <si>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</si>
  <si>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</si>
  <si>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</si>
  <si>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</si>
  <si>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</si>
  <si>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</si>
  <si>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</si>
  <si>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</si>
  <si>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</si>
  <si>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</si>
  <si>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</si>
  <si>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</si>
  <si>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</si>
  <si>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</si>
  <si>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</si>
  <si>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</si>
  <si>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</si>
  <si>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</si>
  <si>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</si>
  <si>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</si>
  <si>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</si>
  <si>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</si>
  <si>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</si>
  <si>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</si>
  <si>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</si>
  <si>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</si>
  <si>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</si>
  <si>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</si>
  <si>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</si>
  <si>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</si>
  <si>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</si>
  <si>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</si>
  <si>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</si>
  <si>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</si>
  <si>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</si>
  <si>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</si>
  <si>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</si>
  <si>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</si>
  <si>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</si>
  <si>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</si>
  <si>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</si>
  <si>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</si>
  <si>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</si>
  <si>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</si>
  <si>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</si>
  <si>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</si>
  <si>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</si>
  <si>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</si>
  <si>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</si>
  <si>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</si>
  <si>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</si>
  <si>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</si>
  <si>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</si>
  <si>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</si>
  <si>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</si>
  <si>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</si>
  <si>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</si>
  <si>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</si>
  <si>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</si>
  <si>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</si>
  <si>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</si>
  <si>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</si>
  <si>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</si>
  <si>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</si>
  <si>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</si>
  <si>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</si>
  <si>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</si>
  <si>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</si>
  <si>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</si>
  <si>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</si>
  <si>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</si>
  <si>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</si>
  <si>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</si>
  <si>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</si>
  <si>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</si>
  <si>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</si>
  <si>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</si>
  <si>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</si>
  <si>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</si>
  <si>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</si>
  <si>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</si>
  <si>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</si>
  <si>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</si>
  <si>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</si>
  <si>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</si>
  <si>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</si>
  <si>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</si>
  <si>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</si>
  <si>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</si>
  <si>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</si>
  <si>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</si>
  <si>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</si>
  <si>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</si>
  <si>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</si>
  <si>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</si>
  <si>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</si>
  <si>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</si>
  <si>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</si>
  <si>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</si>
  <si>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</si>
  <si>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</si>
  <si>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</si>
  <si>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</si>
  <si>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</si>
  <si>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</si>
  <si>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</si>
  <si>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</si>
  <si>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</si>
  <si>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</si>
  <si>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</si>
  <si>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</si>
  <si>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</si>
  <si>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</si>
  <si>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</si>
  <si>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</si>
  <si>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</si>
  <si>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</si>
  <si>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</si>
  <si>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</si>
  <si>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</si>
  <si>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</si>
  <si>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</si>
  <si>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</si>
  <si>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</si>
  <si>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</si>
  <si>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</si>
  <si>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</si>
  <si>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</si>
  <si>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</si>
  <si>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</si>
  <si>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</si>
  <si>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</si>
  <si>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</si>
  <si>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</si>
  <si>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</si>
  <si>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</si>
  <si>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</si>
  <si>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</si>
  <si>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</si>
  <si>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</si>
  <si>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</si>
  <si>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</si>
  <si>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</si>
  <si>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</si>
  <si>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</si>
  <si>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</si>
  <si>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</si>
  <si>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</si>
  <si>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</si>
  <si>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</si>
  <si>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</si>
  <si>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</si>
  <si>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</si>
  <si>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</si>
  <si>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</si>
  <si>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</si>
  <si>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</si>
  <si>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</si>
  <si>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</si>
  <si>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</si>
  <si>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</si>
  <si>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</si>
  <si>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</si>
  <si>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</si>
  <si>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</si>
  <si>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</si>
  <si>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</si>
  <si>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</si>
  <si>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</si>
  <si>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</si>
  <si>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</si>
  <si>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</si>
  <si>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</si>
  <si>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</si>
  <si>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</si>
  <si>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</si>
  <si>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</si>
  <si>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</si>
  <si>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</si>
  <si>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</si>
  <si>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</si>
  <si>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</si>
  <si>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</si>
  <si>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</si>
  <si>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</si>
  <si>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</si>
  <si>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</si>
  <si>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</si>
  <si>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</si>
  <si>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</si>
  <si>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</si>
  <si>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</si>
  <si>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</si>
  <si>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</si>
  <si>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</si>
  <si>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</si>
  <si>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</si>
  <si>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</si>
  <si>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</si>
  <si>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</si>
  <si>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</si>
  <si>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</si>
  <si>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</si>
  <si>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</si>
  <si>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</si>
  <si>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</si>
  <si>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</si>
  <si>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</si>
  <si>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</si>
  <si>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</si>
  <si>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</si>
  <si>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</si>
  <si>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</si>
  <si>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</si>
  <si>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</si>
  <si>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</si>
  <si>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</si>
  <si>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</si>
  <si>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</si>
  <si>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</si>
  <si>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</si>
  <si>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</si>
  <si>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</si>
  <si>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</si>
  <si>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</si>
  <si>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</si>
  <si>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</si>
  <si>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</si>
  <si>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</si>
  <si>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</si>
  <si>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</si>
  <si>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</si>
  <si>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</si>
  <si>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</si>
  <si>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</si>
  <si>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</si>
  <si>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</si>
  <si>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</si>
  <si>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</si>
  <si>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</si>
  <si>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</si>
  <si>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</si>
  <si>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</si>
  <si>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</si>
  <si>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</si>
  <si>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</si>
  <si>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</si>
  <si>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</si>
  <si>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</si>
  <si>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</si>
  <si>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</si>
  <si>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</si>
  <si>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</si>
  <si>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</si>
  <si>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</si>
  <si>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</si>
  <si>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</si>
  <si>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</si>
  <si>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</si>
  <si>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</si>
  <si>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</si>
  <si>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</si>
  <si>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</si>
  <si>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</si>
  <si>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</si>
  <si>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</si>
  <si>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</si>
  <si>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</si>
  <si>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</si>
  <si>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</si>
  <si>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</si>
  <si>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</si>
  <si>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</si>
  <si>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</si>
  <si>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</si>
  <si>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Doç. Dr. Ahmet Erim PAMUK</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</si>
  <si>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</si>
  <si>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</si>
  <si>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</si>
  <si>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</si>
  <si>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</si>
  <si>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</si>
  <si>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</si>
  <si>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</si>
  <si>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</si>
  <si>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</si>
  <si>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</si>
  <si>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</si>
  <si>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</si>
  <si>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</si>
  <si>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</si>
  <si>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</si>
  <si>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</si>
  <si>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</si>
  <si>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</si>
  <si>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</si>
  <si>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</si>
  <si>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</si>
  <si>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</si>
  <si>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</si>
  <si>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</si>
  <si>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</si>
  <si>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</si>
  <si>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</si>
  <si>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</si>
  <si>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</si>
  <si>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</si>
  <si>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</si>
  <si>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</si>
  <si>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</si>
  <si>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</si>
  <si>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</si>
  <si>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</si>
  <si>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</si>
  <si>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</si>
  <si>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</si>
  <si>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</si>
  <si>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</si>
  <si>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</si>
  <si>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</si>
  <si>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</si>
  <si>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</si>
  <si>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</si>
  <si>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</si>
  <si>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</si>
  <si>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</si>
  <si>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</si>
  <si>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</si>
  <si>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</si>
  <si>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</si>
  <si>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</si>
  <si>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</si>
  <si>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</si>
  <si>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</si>
  <si>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Dr. Öğr. Üyesi Sevinç ASKERBEYLİ ÖRS</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</si>
  <si>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</si>
  <si>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</si>
  <si>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</si>
  <si>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</si>
  <si>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</si>
  <si>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</si>
  <si>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</si>
  <si>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</si>
  <si>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</si>
  <si>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</si>
  <si>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</si>
  <si>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</si>
  <si>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</si>
  <si>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</si>
  <si>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</si>
  <si>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</si>
  <si>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</si>
  <si>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</si>
  <si>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</si>
  <si>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</si>
  <si>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</si>
  <si>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</si>
  <si>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</si>
  <si>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</si>
  <si>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</si>
  <si>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</si>
  <si>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</si>
  <si>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</si>
  <si>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</si>
  <si>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</si>
  <si>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</si>
  <si>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</si>
  <si>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</si>
  <si>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</si>
  <si>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</si>
  <si>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</si>
  <si>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</si>
  <si>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</si>
  <si>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</si>
  <si>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</si>
  <si>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</si>
  <si>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</si>
  <si>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</si>
  <si>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</si>
  <si>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</si>
  <si>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</si>
  <si>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</si>
  <si>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</si>
  <si>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</si>
  <si>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</si>
  <si>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</si>
  <si>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</si>
  <si>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</si>
  <si>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</si>
  <si>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</si>
  <si>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</si>
  <si>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</si>
  <si>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</si>
  <si>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</si>
  <si>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</si>
  <si>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</si>
  <si>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</si>
  <si>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</si>
  <si>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</si>
  <si>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</si>
  <si>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</si>
  <si>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</si>
  <si>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</si>
  <si>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</si>
  <si>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</si>
  <si>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</si>
  <si>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</si>
  <si>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</si>
  <si>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</si>
  <si>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</si>
  <si>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</si>
  <si>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</si>
  <si>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</si>
  <si>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</si>
  <si>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</si>
  <si>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</si>
  <si>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</si>
  <si>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</si>
  <si>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</si>
  <si>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</si>
  <si>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</si>
  <si>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</si>
  <si>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</si>
  <si>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</si>
  <si>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</si>
  <si>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</si>
  <si>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</si>
  <si>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</si>
  <si>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</si>
  <si>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</si>
  <si>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</si>
  <si>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</si>
  <si>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</si>
  <si>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</si>
  <si>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</si>
  <si>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</si>
  <si>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</si>
  <si>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</si>
  <si>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</si>
  <si>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</si>
  <si>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</si>
  <si>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</si>
  <si>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</si>
  <si>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</si>
  <si>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</si>
  <si>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</si>
  <si>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</si>
  <si>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</si>
  <si>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</si>
  <si>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</si>
  <si>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</si>
  <si>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</si>
  <si>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</si>
  <si>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</si>
  <si>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</si>
  <si>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</si>
  <si>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</si>
  <si>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</si>
  <si>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</si>
  <si>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</si>
  <si>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</si>
  <si>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</si>
  <si>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</si>
  <si>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</si>
  <si>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</si>
  <si>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</si>
  <si>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</si>
  <si>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</si>
  <si>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</si>
  <si>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</si>
  <si>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</si>
  <si>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</si>
  <si>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</si>
  <si>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</si>
  <si>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</si>
  <si>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</si>
  <si>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</si>
  <si>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</si>
  <si>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</si>
  <si>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</si>
  <si>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</si>
  <si>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</si>
  <si>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</si>
  <si>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</si>
  <si>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</si>
  <si>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</si>
  <si>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</si>
  <si>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</si>
  <si>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</si>
  <si>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</si>
  <si>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</si>
  <si>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</si>
  <si>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</si>
  <si>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</si>
  <si>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</si>
  <si>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</si>
  <si>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</si>
  <si>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</si>
  <si>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</si>
  <si>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</si>
  <si>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</si>
  <si>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</si>
  <si>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</si>
  <si>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</si>
  <si>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</si>
  <si>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</si>
  <si>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</si>
  <si>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</si>
  <si>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</si>
  <si>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</si>
  <si>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</si>
  <si>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</si>
  <si>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</si>
  <si>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</si>
  <si>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</si>
  <si>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</si>
  <si>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</si>
  <si>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</si>
  <si>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</si>
  <si>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</si>
  <si>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</si>
  <si>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</si>
  <si>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</si>
  <si>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</si>
  <si>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</si>
  <si>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</si>
  <si>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</si>
  <si>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</si>
  <si>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</si>
  <si>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</si>
  <si>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</si>
  <si>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</si>
  <si>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</si>
  <si>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</si>
  <si>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</si>
  <si>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</si>
  <si>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</si>
  <si>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</si>
  <si>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</si>
  <si>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</si>
  <si>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</si>
  <si>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</si>
  <si>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</si>
  <si>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</si>
  <si>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</si>
  <si>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</si>
  <si>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</si>
  <si>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</si>
  <si>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</si>
  <si>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</si>
  <si>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</si>
  <si>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</si>
  <si>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</si>
  <si>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</si>
  <si>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</si>
  <si>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</si>
  <si>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</si>
  <si>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</si>
  <si>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</si>
  <si>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</si>
  <si>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</si>
  <si>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</si>
  <si>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</si>
  <si>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</si>
  <si>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</si>
  <si>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</si>
  <si>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</si>
  <si>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</si>
  <si>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</si>
  <si>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</si>
  <si>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</si>
  <si>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</si>
  <si>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</si>
  <si>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</si>
  <si>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</si>
  <si>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</si>
  <si>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</si>
  <si>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</si>
  <si>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</si>
  <si>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</si>
  <si>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</si>
  <si>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</si>
  <si>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</si>
  <si>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</si>
  <si>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</si>
  <si>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</si>
  <si>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</si>
  <si>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</si>
  <si>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</si>
  <si>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</si>
  <si>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</si>
  <si>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</si>
  <si>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</si>
  <si>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</si>
  <si>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</si>
  <si>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</si>
  <si>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</si>
  <si>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</si>
  <si>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</si>
  <si>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</si>
  <si>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</si>
  <si>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</si>
  <si>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</si>
  <si>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</si>
  <si>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</si>
  <si>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</si>
  <si>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</si>
  <si>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</si>
  <si>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</si>
  <si>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</si>
  <si>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</si>
  <si>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</si>
  <si>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</si>
  <si>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</si>
  <si>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</si>
  <si>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</si>
  <si>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</si>
  <si>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</si>
  <si>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</si>
  <si>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</si>
  <si>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</si>
  <si>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</si>
  <si>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</si>
  <si>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</si>
  <si>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</si>
  <si>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</si>
  <si>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</si>
  <si>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</si>
  <si>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</si>
  <si>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</si>
  <si>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</si>
  <si>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</si>
  <si>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</si>
  <si>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</si>
  <si>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</si>
  <si>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</si>
  <si>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</si>
  <si>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</si>
  <si>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</si>
  <si>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</si>
  <si>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</si>
  <si>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</si>
  <si>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</si>
  <si>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</si>
  <si>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</si>
  <si>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</si>
  <si>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</si>
  <si>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</si>
  <si>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</si>
  <si>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</si>
  <si>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</si>
  <si>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</si>
  <si>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</si>
  <si>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</si>
  <si>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</si>
  <si>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</si>
  <si>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</si>
  <si>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</si>
  <si>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</si>
  <si>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</si>
  <si>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</si>
  <si>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</si>
  <si>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</si>
  <si>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</si>
  <si>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</si>
  <si>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</si>
  <si>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</si>
  <si>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</si>
  <si>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</si>
  <si>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</si>
  <si>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</si>
  <si>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</si>
  <si>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</si>
  <si>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</si>
  <si>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</si>
  <si>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</si>
  <si>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</si>
  <si>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</si>
  <si>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</si>
  <si>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</si>
  <si>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</si>
  <si>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</si>
  <si>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</si>
  <si>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</si>
  <si>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</si>
  <si>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</si>
  <si>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</si>
  <si>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</si>
  <si>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</si>
  <si>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</si>
  <si>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</si>
  <si>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</si>
  <si>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</si>
  <si>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</si>
  <si>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</si>
  <si>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</si>
  <si>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</si>
  <si>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</si>
  <si>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</si>
  <si>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</si>
  <si>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</si>
  <si>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</si>
  <si>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</si>
  <si>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</si>
  <si>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</si>
  <si>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</si>
  <si>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</si>
  <si>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</si>
  <si>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</si>
  <si>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</si>
  <si>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</si>
  <si>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</si>
  <si>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</si>
  <si>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</si>
  <si>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</si>
  <si>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</si>
  <si>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</si>
  <si>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</si>
  <si>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</si>
  <si>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</si>
  <si>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</si>
  <si>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</si>
  <si>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</si>
  <si>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</si>
  <si>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</si>
  <si>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</si>
  <si>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701.</t>
  </si>
  <si>
    <t>SBA 25/772</t>
  </si>
  <si>
    <t>702.</t>
  </si>
  <si>
    <t>SBA 25/773</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</si>
  <si>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</si>
  <si>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</si>
  <si>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</si>
  <si>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</si>
  <si>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</si>
  <si>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</si>
  <si>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</si>
  <si>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</si>
  <si>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</si>
  <si>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</si>
  <si>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</si>
  <si>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</si>
  <si>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</si>
  <si>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</si>
  <si>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</si>
  <si>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</si>
  <si>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</si>
  <si>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</si>
  <si>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</si>
  <si>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</si>
  <si>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</si>
  <si>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</si>
  <si>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</si>
  <si>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</si>
  <si>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</si>
  <si>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</si>
  <si>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</si>
  <si>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</si>
  <si>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</si>
  <si>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</si>
  <si>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</si>
  <si>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</si>
  <si>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</si>
  <si>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</si>
  <si>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</si>
  <si>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</si>
  <si>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</si>
  <si>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</si>
  <si>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</si>
  <si>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</si>
  <si>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</si>
  <si>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</si>
  <si>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</si>
  <si>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</si>
  <si>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</si>
  <si>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</si>
  <si>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</si>
  <si>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</si>
  <si>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</si>
  <si>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</si>
  <si>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</si>
  <si>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</si>
  <si>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</si>
  <si>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</si>
  <si>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</si>
  <si>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</si>
  <si>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</si>
  <si>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</si>
  <si>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</si>
  <si>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</si>
  <si>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</si>
  <si>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</si>
  <si>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</si>
  <si>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</si>
  <si>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</si>
  <si>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</si>
  <si>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</si>
  <si>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</si>
  <si>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</si>
  <si>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</si>
  <si>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</si>
  <si>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</si>
  <si>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</si>
  <si>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</si>
  <si>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</si>
  <si>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</si>
  <si>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</si>
  <si>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</si>
  <si>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</si>
  <si>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</si>
  <si>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</si>
  <si>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</si>
  <si>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</si>
  <si>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</si>
  <si>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</si>
  <si>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</si>
  <si>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</si>
  <si>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</si>
  <si>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</si>
  <si>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</si>
  <si>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</si>
  <si>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</si>
  <si>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</si>
  <si>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</si>
  <si>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</si>
  <si>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</si>
  <si>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</si>
  <si>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</si>
  <si>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</si>
  <si>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</si>
  <si>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</si>
  <si>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</si>
  <si>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</si>
  <si>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</si>
  <si>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</si>
  <si>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</si>
  <si>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</si>
  <si>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</si>
  <si>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</si>
  <si>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</si>
  <si>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</si>
  <si>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</si>
  <si>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</si>
  <si>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</si>
  <si>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</si>
  <si>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</si>
  <si>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</si>
  <si>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</si>
  <si>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</si>
  <si>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</si>
  <si>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</si>
  <si>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</si>
  <si>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</si>
  <si>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</si>
  <si>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</si>
  <si>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</si>
  <si>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</si>
  <si>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</si>
  <si>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</si>
  <si>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</si>
  <si>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</si>
  <si>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</si>
  <si>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</si>
  <si>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</si>
  <si>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</si>
  <si>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</si>
  <si>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</si>
  <si>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</si>
  <si>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</si>
  <si>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</si>
  <si>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</si>
  <si>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</si>
  <si>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</si>
  <si>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</si>
  <si>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</si>
  <si>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</si>
  <si>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</si>
  <si>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</si>
  <si>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</si>
  <si>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</si>
  <si>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</si>
  <si>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</si>
  <si>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</si>
  <si>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</si>
  <si>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</si>
  <si>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</si>
  <si>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</si>
  <si>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</si>
  <si>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</si>
  <si>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</si>
  <si>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</si>
  <si>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</si>
  <si>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</si>
  <si>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</si>
  <si>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</si>
  <si>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</si>
  <si>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</si>
  <si>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</si>
  <si>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</si>
  <si>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</si>
  <si>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</si>
  <si>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</si>
  <si>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</si>
  <si>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</si>
  <si>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</si>
  <si>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</si>
  <si>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</si>
  <si>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</si>
  <si>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</si>
  <si>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</si>
  <si>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</si>
  <si>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</si>
  <si>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</si>
  <si>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</si>
  <si>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</si>
  <si>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</si>
  <si>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</si>
  <si>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</si>
  <si>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</si>
  <si>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</si>
  <si>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</si>
  <si>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</si>
  <si>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</si>
  <si>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</si>
  <si>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</si>
  <si>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</si>
  <si>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</si>
  <si>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</si>
  <si>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</si>
  <si>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</si>
  <si>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</si>
  <si>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</si>
  <si>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</si>
  <si>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</si>
  <si>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</si>
  <si>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</si>
  <si>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</si>
  <si>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</si>
  <si>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</si>
  <si>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</si>
  <si>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</si>
  <si>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</si>
  <si>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</si>
  <si>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</si>
  <si>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</si>
  <si>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</si>
  <si>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</si>
  <si>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</si>
  <si>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</si>
  <si>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</si>
  <si>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</si>
  <si>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</si>
  <si>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</si>
  <si>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</si>
  <si>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</si>
  <si>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</si>
  <si>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</si>
  <si>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</si>
  <si>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</si>
  <si>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</si>
  <si>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</si>
  <si>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</si>
  <si>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</si>
  <si>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</si>
  <si>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</si>
  <si>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</si>
  <si>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</si>
  <si>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</si>
  <si>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</si>
  <si>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</si>
  <si>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</si>
  <si>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</si>
  <si>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</si>
  <si>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</si>
  <si>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</si>
  <si>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</si>
  <si>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</si>
  <si>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</si>
  <si>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</si>
  <si>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</si>
  <si>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</si>
  <si>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</si>
  <si>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</si>
  <si>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</si>
  <si>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</si>
  <si>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</si>
  <si>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</si>
  <si>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</si>
  <si>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</si>
  <si>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</si>
  <si>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</si>
  <si>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</si>
  <si>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</si>
  <si>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</si>
  <si>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</si>
  <si>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</si>
  <si>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</si>
  <si>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</si>
  <si>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</si>
  <si>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</si>
  <si>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</si>
  <si>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</si>
  <si>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</si>
  <si>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</si>
  <si>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</si>
  <si>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</si>
  <si>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</si>
  <si>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</si>
  <si>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</si>
  <si>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</si>
  <si>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</si>
  <si>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</si>
  <si>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</si>
  <si>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</si>
  <si>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</si>
  <si>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</si>
  <si>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</si>
  <si>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</si>
  <si>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</si>
  <si>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</si>
  <si>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</si>
  <si>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</si>
  <si>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</si>
  <si>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</si>
  <si>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</si>
  <si>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</si>
  <si>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</si>
  <si>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</si>
  <si>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</si>
  <si>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</si>
  <si>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</si>
  <si>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</si>
  <si>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</si>
  <si>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</si>
  <si>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</si>
  <si>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</si>
  <si>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</si>
  <si>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</si>
  <si>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</si>
  <si>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</si>
  <si>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</si>
  <si>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</si>
  <si>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</si>
  <si>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</si>
  <si>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</si>
  <si>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</si>
  <si>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</si>
  <si>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</si>
  <si>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</si>
  <si>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</si>
  <si>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</si>
  <si>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</si>
  <si>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</si>
  <si>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</si>
  <si>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</si>
  <si>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</si>
  <si>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</si>
  <si>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</si>
  <si>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</si>
  <si>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</si>
  <si>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</si>
  <si>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</si>
  <si>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</si>
  <si>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</si>
  <si>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</si>
  <si>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</si>
  <si>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</si>
  <si>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</si>
  <si>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</si>
  <si>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</si>
  <si>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</si>
  <si>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</si>
  <si>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</si>
  <si>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</si>
  <si>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</si>
  <si>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</si>
  <si>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</si>
  <si>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</si>
  <si>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</si>
  <si>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</si>
  <si>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</si>
  <si>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</si>
  <si>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</si>
  <si>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</si>
  <si>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</si>
  <si>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</si>
  <si>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</si>
  <si>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</si>
  <si>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</si>
  <si>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</si>
  <si>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</si>
  <si>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</si>
  <si>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</si>
  <si>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</si>
  <si>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</si>
  <si>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</si>
  <si>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</si>
  <si>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</si>
  <si>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</si>
  <si>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</si>
  <si>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</si>
  <si>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</si>
  <si>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</si>
  <si>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</si>
  <si>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</si>
  <si>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</si>
  <si>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</si>
  <si>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</si>
  <si>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</si>
  <si>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</si>
  <si>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</si>
  <si>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</si>
  <si>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</si>
  <si>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</si>
  <si>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</si>
  <si>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</si>
  <si>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</si>
  <si>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</si>
  <si>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</si>
  <si>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</si>
  <si>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</si>
  <si>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</si>
  <si>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</si>
  <si>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</si>
  <si>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</si>
  <si>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</si>
  <si>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</si>
  <si>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</si>
  <si>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</si>
  <si>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</si>
  <si>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</si>
  <si>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</si>
  <si>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</si>
  <si>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</si>
  <si>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</si>
  <si>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</si>
  <si>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</si>
  <si>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</si>
  <si>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</si>
  <si>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</si>
  <si>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</si>
  <si>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</si>
  <si>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</si>
  <si>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</si>
  <si>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</si>
  <si>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</si>
  <si>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</si>
  <si>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</si>
  <si>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</si>
  <si>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</si>
  <si>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</si>
  <si>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</si>
  <si>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</si>
  <si>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</si>
  <si>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</si>
  <si>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</si>
  <si>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</si>
  <si>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</si>
  <si>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</si>
  <si>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</si>
  <si>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</si>
  <si>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</si>
  <si>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</si>
  <si>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</si>
  <si>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</si>
  <si>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</si>
  <si>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</si>
  <si>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</si>
  <si>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</si>
  <si>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</si>
  <si>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</si>
  <si>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</si>
  <si>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</si>
  <si>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</si>
  <si>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</si>
  <si>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</si>
  <si>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</si>
  <si>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</si>
  <si>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</si>
  <si>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</si>
  <si>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</si>
  <si>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</si>
  <si>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</si>
  <si>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</si>
  <si>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</si>
  <si>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</si>
  <si>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</si>
  <si>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</si>
  <si>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</si>
  <si>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</si>
  <si>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</si>
  <si>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</si>
  <si>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</si>
  <si>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</si>
  <si>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</si>
  <si>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</si>
  <si>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</si>
  <si>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</si>
  <si>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</si>
  <si>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</si>
  <si>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</si>
  <si>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</si>
  <si>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</si>
  <si>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</si>
  <si>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</si>
  <si>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</si>
  <si>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</si>
  <si>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</si>
  <si>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</si>
  <si>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</si>
  <si>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</si>
  <si>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</si>
  <si>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</si>
  <si>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</si>
  <si>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</si>
  <si>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</si>
  <si>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</si>
  <si>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</si>
  <si>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</si>
  <si>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</si>
  <si>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</si>
  <si>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</si>
  <si>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</si>
  <si>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</si>
  <si>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</si>
  <si>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</si>
  <si>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</si>
  <si>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</si>
  <si>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</si>
  <si>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</si>
  <si>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</si>
  <si>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</si>
  <si>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</si>
  <si>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</si>
  <si>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</si>
  <si>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</si>
  <si>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</si>
  <si>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</si>
  <si>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</si>
  <si>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</si>
  <si>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</si>
  <si>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</si>
  <si>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</si>
  <si>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</si>
  <si>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</si>
  <si>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</si>
  <si>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</si>
  <si>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</si>
  <si>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</si>
  <si>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</si>
  <si>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</si>
  <si>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</si>
  <si>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</si>
  <si>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</si>
  <si>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</si>
  <si>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</si>
  <si>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</si>
  <si>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</si>
  <si>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</si>
  <si>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</si>
  <si>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</si>
  <si>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</si>
  <si>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</si>
  <si>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</si>
  <si>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</si>
  <si>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</si>
  <si>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</si>
  <si>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</si>
  <si>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</si>
  <si>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</si>
  <si>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</si>
  <si>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</si>
  <si>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</si>
  <si>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</si>
  <si>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</si>
  <si>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</si>
  <si>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</si>
  <si>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</si>
  <si>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</si>
  <si>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</si>
  <si>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</si>
  <si>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</si>
  <si>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</si>
  <si>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</si>
  <si>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</si>
  <si>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</si>
  <si>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</si>
  <si>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</si>
  <si>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</si>
  <si>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</si>
  <si>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</si>
  <si>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</si>
  <si>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</si>
  <si>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</si>
  <si>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</si>
  <si>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</si>
  <si>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</si>
  <si>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</si>
  <si>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</si>
  <si>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</si>
  <si>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</si>
  <si>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</si>
  <si>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</si>
  <si>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</si>
  <si>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</si>
  <si>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</si>
  <si>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</si>
  <si>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</si>
  <si>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</si>
  <si>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</si>
  <si>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</si>
  <si>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</si>
  <si>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</si>
  <si>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</si>
  <si>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</si>
  <si>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</si>
  <si>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</si>
  <si>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</si>
  <si>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</si>
  <si>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</si>
  <si>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</si>
  <si>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</si>
  <si>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</si>
  <si>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</si>
  <si>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</si>
  <si>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</si>
  <si>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</si>
  <si>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</si>
  <si>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</si>
  <si>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</si>
  <si>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</si>
  <si>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</si>
  <si>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</si>
  <si>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</si>
  <si>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</si>
  <si>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</si>
  <si>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</si>
  <si>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</si>
  <si>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</si>
  <si>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</si>
  <si>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</si>
  <si>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</si>
  <si>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</si>
  <si>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</si>
  <si>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</si>
  <si>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</si>
  <si>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</si>
  <si>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</si>
  <si>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</si>
  <si>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</si>
  <si>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</si>
  <si>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</si>
  <si>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</si>
  <si>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</si>
  <si>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</si>
  <si>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</si>
  <si>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</si>
  <si>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</si>
  <si>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</si>
  <si>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</si>
  <si>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</si>
  <si>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</si>
  <si>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</si>
  <si>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</si>
  <si>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</si>
  <si>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</si>
  <si>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</si>
  <si>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</si>
  <si>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</si>
  <si>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</si>
  <si>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</si>
  <si>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</si>
  <si>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</si>
  <si>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</si>
  <si>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</si>
  <si>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</si>
  <si>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</si>
  <si>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</si>
  <si>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</si>
  <si>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</si>
  <si>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</si>
  <si>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</si>
  <si>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</si>
  <si>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</si>
  <si>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</si>
  <si>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</si>
  <si>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</si>
  <si>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</si>
  <si>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</si>
  <si>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</si>
  <si>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</si>
  <si>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</si>
  <si>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</si>
  <si>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</si>
  <si>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</si>
  <si>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</si>
  <si>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</si>
  <si>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</si>
  <si>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</si>
  <si>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</si>
  <si>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</si>
  <si>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</si>
  <si>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</si>
  <si>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</si>
  <si>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</si>
  <si>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</si>
  <si>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</si>
  <si>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</si>
  <si>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</si>
  <si>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</si>
  <si>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</si>
  <si>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</si>
  <si>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</si>
  <si>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</si>
  <si>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</si>
  <si>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</si>
  <si>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</si>
  <si>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</si>
  <si>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</si>
  <si>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Dr. Öğr. Üyesi Gonca ÖZTEN</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</si>
  <si>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</si>
  <si>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</si>
  <si>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</si>
  <si>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</si>
  <si>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</si>
  <si>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</si>
  <si>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</si>
  <si>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</si>
  <si>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</si>
  <si>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</si>
  <si>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</si>
  <si>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</si>
  <si>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</si>
  <si>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</si>
  <si>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</si>
  <si>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</si>
  <si>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</si>
  <si>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</si>
  <si>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</si>
  <si>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</si>
  <si>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</si>
  <si>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</si>
  <si>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</si>
  <si>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</si>
  <si>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</si>
  <si>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</si>
  <si>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</si>
  <si>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</si>
  <si>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</si>
  <si>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</si>
  <si>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</si>
  <si>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</si>
  <si>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</si>
  <si>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</si>
  <si>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</si>
  <si>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</si>
  <si>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</si>
  <si>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</si>
  <si>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</si>
  <si>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</si>
  <si>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</si>
  <si>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</si>
  <si>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</si>
  <si>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</si>
  <si>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BİRİM BAZINDA BAŞVURU ANALİZİ — 2026</t>
  </si>
  <si>
    <t>Büyükten küçüğe otomatik sıralı · Başvuru sayfasından COUNTIFS + INDEX/MATCH formülleri</t>
  </si>
  <si>
    <t>Adı</t>
  </si>
  <si>
    <t>Bireysel</t>
  </si>
  <si>
    <t>Uzm.Tezi</t>
  </si>
  <si>
    <t>Doktora</t>
  </si>
  <si>
    <t>YL Tezi</t>
  </si>
  <si>
    <t>DÜZELT</t>
  </si>
  <si>
    <t>KAPSAM</t>
  </si>
  <si>
    <t>GERİ Ç</t>
  </si>
  <si>
    <t>YRD_LİSTE</t>
  </si>
  <si>
    <t>YRD_TOP</t>
  </si>
  <si>
    <t>YRD_SIRA</t>
  </si>
  <si>
    <t>%100</t>
  </si>
  <si>
    <t>SORUMLU ARAŞTIRMACI BAŞVURU ANALİZİ — 2026</t>
  </si>
  <si>
    <t>“Çocuklarda Gaucher Hastalığının İskelet Tutulumu: Kesitsel Bir Çalışma”</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</si>
  <si>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</si>
  <si>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</si>
  <si>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“Geriatrik Onkoloji Pratiğinde İmmün Kontrol Noktası İnhibitörü Kardiyotoksisitesi: Farmakovijilans Analizi ve Kamu Farkındalığının Değerlendirilmesi”</t>
  </si>
  <si>
    <t>Üniversitemiz Tıp Fakültesi İç Hastalıkları Anabilim Dalı öğretim üyelerinden Doç. Dr. Mert EŞME’nin sorumlu araştırmacı olduğu, Arş. Gör. Dr. Murat PEHLİVAN ile birlikte çalışacakları,</t>
  </si>
  <si>
    <t>“Yaşlanan Nüfusta Osteoporoz Hastalığının Sosyal Güvenlik Kurumuna Maliyetinin Kişisel Veri İçermeyen Toplu Veriler Üzerinden Değerlendirilmesi”</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</si>
  <si>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</si>
  <si>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</si>
  <si>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</si>
  <si>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</si>
  <si>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</si>
  <si>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</si>
  <si>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</si>
  <si>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“Antenatal Takiplerde Fetal Abdomen Çevresi ve Tahmini Fetal Ağırlık Persentilindeki Değişimlerin Perinatal Sonuçlar Üzerine Etkisi: Retrospektif Kohort Çalışması”</t>
  </si>
  <si>
    <t>Üniversitemiz Tıp Fakültesi Kadın Hastalıkları ve Doğum Anabilim Dalı öğretim üyelerinden Doç. Dr. Erdem FADILOĞLU’nun sorumlu araştırmacı olduğu, Arş. Gör. Dr. Mehlika Beste YÜCEDAĞ ile birlikte çalışacakları,</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</si>
  <si>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</si>
  <si>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</si>
  <si>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“Çocuklarda Bal Alerjisinin Klinik Özellikleri ve Aeroalerjen Duyarlılıklarının Retrospektif Değerlendirilmesi”</t>
  </si>
  <si>
    <t>“Canavan Hastalığı: Klinik, Laboratuvar, Moleküler ve Radyolojik Özelliklerin Retrospektif Olarak Değerlendirilmesi”</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</si>
  <si>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</si>
  <si>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</si>
  <si>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“Canlı Vericili Karaciğer Nakli Sonrası Sonuçların Öngörüsünde Hepatik Arter Anatomisi ve Anastomozun Kompleksitesi: Lob Temelli Kohort Çalışması”</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</si>
  <si>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</si>
  <si>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</si>
  <si>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</si>
  <si>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Prof. Dr. Levent ÖZÇAKAR</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</si>
  <si>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</si>
  <si>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</si>
  <si>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SBA 26/558</t>
  </si>
  <si>
    <t>SBA 26/559</t>
  </si>
  <si>
    <t>SBA 26/560</t>
  </si>
  <si>
    <t>SBA 26/561</t>
  </si>
  <si>
    <t>SBA 26/562</t>
  </si>
  <si>
    <t>SBA 26/563</t>
  </si>
  <si>
    <t>SBA 26/564</t>
  </si>
  <si>
    <t>SBA 26/565</t>
  </si>
  <si>
    <t>SBA 26/566</t>
  </si>
  <si>
    <t>SBA 26/567</t>
  </si>
  <si>
    <t>SBA 26/568</t>
  </si>
  <si>
    <t>SBA 26/569</t>
  </si>
  <si>
    <t>SBA 26/570</t>
  </si>
  <si>
    <t>SBA 26/571</t>
  </si>
  <si>
    <t>SBA 26/572</t>
  </si>
  <si>
    <t>SBA 26/573</t>
  </si>
  <si>
    <t>SBA 26/574</t>
  </si>
  <si>
    <t>SBA 26/575</t>
  </si>
  <si>
    <t>SBA 26/576</t>
  </si>
  <si>
    <t>SBA 26/577</t>
  </si>
  <si>
    <t>SBA 26/578</t>
  </si>
  <si>
    <t>SBA 26/579</t>
  </si>
  <si>
    <t>SBA 26/580</t>
  </si>
  <si>
    <t>SBA 26/581</t>
  </si>
  <si>
    <t>SBA 26/582</t>
  </si>
  <si>
    <t>SBA 26/583</t>
  </si>
  <si>
    <t>SBA 26/584</t>
  </si>
  <si>
    <t>SBA 26/585</t>
  </si>
  <si>
    <t>SBA 26/586</t>
  </si>
  <si>
    <t>SBA 26/587</t>
  </si>
  <si>
    <t>SBA 26/588</t>
  </si>
  <si>
    <t>SBA 26/589</t>
  </si>
  <si>
    <t>SBA 26/590</t>
  </si>
  <si>
    <t>SBA 26/591</t>
  </si>
  <si>
    <t>SBA 26/592</t>
  </si>
  <si>
    <t>SBA 26/593</t>
  </si>
  <si>
    <t>SBA 26/594</t>
  </si>
  <si>
    <t>SBA 26/595</t>
  </si>
  <si>
    <t>SBA 26/596</t>
  </si>
  <si>
    <t>SBA 26/597</t>
  </si>
  <si>
    <t>SBA 26/598</t>
  </si>
  <si>
    <t>SBA 26/599</t>
  </si>
  <si>
    <t>SBA 26/600</t>
  </si>
  <si>
    <t>SBA 26/601</t>
  </si>
  <si>
    <t>SBA 26/602</t>
  </si>
  <si>
    <t>SBA 26/603</t>
  </si>
  <si>
    <t>SBA 26/604</t>
  </si>
  <si>
    <t>SBA 26/605</t>
  </si>
  <si>
    <t>SBA 26/606</t>
  </si>
  <si>
    <t>SBA 26/607</t>
  </si>
  <si>
    <t>SBA 26/608</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</si>
  <si>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</si>
  <si>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</si>
  <si>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</si>
  <si>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</si>
  <si>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</si>
  <si>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</si>
  <si>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</si>
  <si>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</si>
  <si>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</si>
  <si>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</si>
  <si>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</si>
  <si>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</si>
  <si>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</si>
  <si>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</si>
  <si>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</si>
  <si>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</si>
  <si>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“Alt Üriner SistemDisfonksiyonu Sonucu Kronik Böbrek Yetmezliği Gelişen Çocuklarda Böbrek Nakli: Tek Merkez Deneyimi ve Literatür İncelemesi”</t>
  </si>
  <si>
    <t>Üniversitemiz Tıp Fakültesi Üroloji Anabilim Dalı öğretim üyelerinden Prof. Dr. Serdar TEKGÜL’ün sorumlu araştırmacı olduğu, Arş. Gör. Dr. Durmuş Alptuğ COŞAR ile birlikte çalışacakları,</t>
  </si>
  <si>
    <t>“Kene Kaynaklı Viral Enfeksiyonların Klinik ve Laboratuvar Özellikleri”</t>
  </si>
  <si>
    <t>Üniversitemiz Tıp Fakültesi Çocuk Sağlığı ve Hastalıkları Anabilim Dalı öğretim üyelerinden Doç. Dr. Kübra AYKAÇ’ın sorumlu araştırmacı olduğu, Prof. Dr. Yasemin ÖZSÜREKCİ ile birlikte çalışacakları,</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</si>
  <si>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</si>
  <si>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</si>
  <si>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Prof. Dr. Ahmet SERPER</t>
  </si>
  <si>
    <t>“Felçli Bireyler için Elektroensefalografi Tabanlı Hata Algısı ile Göz Takipli İletişim Sistemi Prototipi”</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</si>
  <si>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</si>
  <si>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</si>
  <si>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</si>
  <si>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</si>
  <si>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</si>
  <si>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“SAPHO Sendromu Tanılı Hastaların Klinik ve Genetik Özellikleri ile Tedavi ve Takiplerinin Değerlendirilmesi”</t>
  </si>
  <si>
    <t>Üniversitemiz Tıp Fakültesi Çocuk Sağlığı ve Hastalıkları Anabilim Dalı öğretim üyelerinden Prof. Dr. Seza ÖZEN' in sorumlu araştırmacı olduğu, Doç. Dr. Erdal SAĞ ve Arş. Gör. Dr. Mehmet Orhan ERKAN ile birlikte çalışacakları,</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</si>
  <si>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</si>
  <si>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</si>
  <si>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Prof. Dr. Selin AYTAÇ EYÜPOĞLU</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</si>
  <si>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</si>
  <si>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</si>
  <si>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</si>
  <si>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</si>
  <si>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</si>
  <si>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</si>
  <si>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</si>
  <si>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</si>
  <si>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Prof. Dr. B. Barış KUŞKONMAZ</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</si>
  <si>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</si>
  <si>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</si>
  <si>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“Geriatrik Diyabet Hastalarında Proton Pompa İnhibitörlerinin Kullanımı ve Sarkopenik Obezite İlişkisi”</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</si>
  <si>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</si>
  <si>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</si>
  <si>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</si>
  <si>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</si>
  <si>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</si>
  <si>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</si>
  <si>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</si>
  <si>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</si>
  <si>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</si>
  <si>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“Kakao Flavonoidlerinin Tek Doz Kullanımda Anksiyeteye Akut Etkisinin TSST-VR ile Ölçümü”</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</si>
  <si>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</si>
  <si>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</si>
  <si>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“İki Fitokannabinoid Türevinin DNA Etkileşimleri ve Antikanser Aktivitelerinin Değerlendirilmesi”</t>
  </si>
  <si>
    <t>Prof. Dr. Lokman UZUN</t>
  </si>
  <si>
    <t>Biyokimya Anabilim Dalı</t>
  </si>
  <si>
    <t>Üniversitemiz Fen Fakültesi Biyokimya Anabilim Dalı öğretim üyelerinden Prof. Dr. Lokman UZUN’un sorumlu araştırmacı olduğu, Dr. Alper FİTOZ ile birlikte çalışacakları,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</si>
</sst>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numFmt numFmtId="165" formatCode="[$-F800]dddd&quot;, &quot;mmmm\ dd&quot;, &quot;yyyy"/>
    <numFmt numFmtId="166" formatCode="dd\.mm\.yyyy"/>
    <numFmt numFmtId="167" formatCode="0.0%"/>
    <numFmt numFmtId="168" formatCode="&quot;Son güncelleme: &quot;dd/mm/yyyy"/>
  </numFmts>
  <fonts count="133"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b/>
      <sz val="10"/>
      <color rgb="FFC00000"/>
      <name val="Arial"/>
      <charset val="1"/>
    </font>
    <font>
      <sz val="12"/>
      <color rgb="FFFFFF00"/>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sz val="24"/>
      <color rgb="FFFFFF00"/>
      <name val="Times New Roman"/>
      <family val="1"/>
      <charset val="162"/>
    </font>
    <font>
      <sz val="36"/>
      <color rgb="FF002060"/>
      <name val="Times New Roman"/>
      <family val="1"/>
      <charset val="162"/>
    </font>
    <font>
      <b/>
      <sz val="36"/>
      <color rgb="FF002060"/>
      <name val="Times New Roman"/>
      <family val="1"/>
      <charset val="162"/>
    </font>
    <font>
      <sz val="36"/>
      <color rgb="FFFFFF00"/>
      <name val="Times New Roman"/>
      <family val="1"/>
      <charset val="162"/>
    </font>
    <font>
      <b/>
      <sz val="8"/>
      <color rgb="FFFFFFFF"/>
      <name val="Calibri"/>
      <charset val="1"/>
    </font>
    <font>
      <b/>
      <sz val="10"/>
      <color rgb="FFFFFFFF"/>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9"/>
      <color rgb="FF1A1814"/>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16"/>
      <color rgb="FFFFFF00"/>
      <name val="Times New Roman"/>
      <family val="1"/>
      <charset val="162"/>
    </font>
    <font>
      <b/>
      <sz val="13"/>
      <color rgb="FFFFFFFF"/>
      <name val="Calibri"/>
      <charset val="1"/>
    </font>
    <font>
      <i/>
      <sz val="8"/>
      <color rgb="FF8C8880"/>
      <name val="Calibri"/>
      <charset val="1"/>
    </font>
    <font>
      <b/>
      <sz val="8"/>
      <color rgb="FF2E7D32"/>
      <name val="Calibri"/>
      <charset val="1"/>
    </font>
    <font>
      <b/>
      <sz val="9"/>
      <color rgb="FFE65100"/>
      <name val="Calibri"/>
      <charset val="1"/>
    </font>
    <font>
      <b/>
      <sz val="10"/>
      <color rgb="FF2E7D32"/>
      <name val="Calibri"/>
      <charset val="1"/>
    </font>
    <font>
      <sz val="9"/>
      <color rgb="FFE0DCD4"/>
      <name val="Calibri"/>
      <charset val="1"/>
    </font>
    <font>
      <b/>
      <sz val="9"/>
      <color rgb="FF1565C0"/>
      <name val="Calibri"/>
      <charset val="1"/>
    </font>
    <font>
      <b/>
      <sz val="9"/>
      <color rgb="FF4527A0"/>
      <name val="Calibri"/>
      <charset val="1"/>
    </font>
    <font>
      <b/>
      <sz val="9"/>
      <color rgb="FFC62828"/>
      <name val="Calibri"/>
      <charset val="1"/>
    </font>
    <font>
      <sz val="8"/>
      <color rgb="FF8C8880"/>
      <name val="Calibri"/>
      <charset val="1"/>
    </font>
    <font>
      <b/>
      <sz val="9"/>
      <color rgb="FF1A2A34"/>
      <name val="Calibri"/>
      <charset val="1"/>
    </font>
    <font>
      <sz val="8"/>
      <color rgb="FF5A7A8A"/>
      <name val="Calibri"/>
      <charset val="1"/>
    </font>
    <font>
      <sz val="8"/>
      <color rgb="FF1A1814"/>
      <name val="Calibri"/>
      <charset val="1"/>
    </font>
    <font>
      <sz val="10"/>
      <color rgb="FFB0BEC5"/>
      <name val="Calibri"/>
      <charset val="1"/>
    </font>
    <font>
      <b/>
      <sz val="8"/>
      <color rgb="FF2D4A5A"/>
      <name val="Calibri"/>
      <charset val="1"/>
    </font>
    <font>
      <b/>
      <sz val="9"/>
      <color rgb="FF2E7D32"/>
      <name val="Calibri"/>
      <charset val="1"/>
    </font>
    <font>
      <sz val="9"/>
      <color rgb="FF2E7D32"/>
      <name val="Calibri"/>
      <charset val="1"/>
    </font>
    <font>
      <b/>
      <sz val="9"/>
      <color rgb="FF616161"/>
      <name val="Calibri"/>
      <charset val="1"/>
    </font>
    <font>
      <b/>
      <sz val="9"/>
      <color rgb="FF1A1814"/>
      <name val="Calibri"/>
      <charset val="1"/>
    </font>
    <font>
      <sz val="9"/>
      <color rgb="FFC8502A"/>
      <name val="Calibri"/>
      <charset val="1"/>
    </font>
    <font>
      <sz val="11"/>
      <color theme="1"/>
      <name val="Calibri"/>
      <family val="2"/>
      <charset val="162"/>
    </font>
    <font>
      <b/>
      <sz val="12"/>
      <color rgb="FFFFFFFF"/>
      <name val="Calibri"/>
    </font>
    <font>
      <i/>
      <sz val="9"/>
      <color rgb="FFFFFFFF"/>
      <name val="Calibri"/>
    </font>
    <font>
      <b/>
      <sz val="8"/>
      <color rgb="FFFFFFFF"/>
      <name val="Calibri"/>
    </font>
    <font>
      <b/>
      <sz val="9"/>
      <color rgb="FFFFFFFF"/>
      <name val="Calibri"/>
    </font>
    <font>
      <b/>
      <sz val="10"/>
      <color rgb="FFFFFFFF"/>
      <name val="Calibri"/>
    </font>
    <font>
      <b/>
      <sz val="8"/>
      <color rgb="FF1B5E20"/>
      <name val="Calibri"/>
    </font>
    <font>
      <b/>
      <sz val="8"/>
      <color rgb="FFE65100"/>
      <name val="Calibri"/>
    </font>
    <font>
      <b/>
      <sz val="8"/>
      <color rgb="FF4527A0"/>
      <name val="Calibri"/>
    </font>
    <font>
      <b/>
      <sz val="8"/>
      <color rgb="FF1565C0"/>
      <name val="Calibri"/>
    </font>
    <font>
      <b/>
      <sz val="8"/>
      <color rgb="FFC62828"/>
      <name val="Calibri"/>
    </font>
    <font>
      <b/>
      <sz val="8"/>
      <color rgb="FF616161"/>
      <name val="Calibri"/>
    </font>
    <font>
      <b/>
      <sz val="8"/>
      <color rgb="FF795548"/>
      <name val="Calibri"/>
    </font>
    <font>
      <sz val="7"/>
      <color rgb="FF999999"/>
      <name val="Calibri"/>
    </font>
    <font>
      <sz val="8"/>
      <color rgb="FF999999"/>
      <name val="Calibri"/>
    </font>
    <font>
      <sz val="8"/>
      <color rgb="FF757575"/>
      <name val="Calibri"/>
    </font>
    <font>
      <sz val="9"/>
      <color rgb="FF1A1814"/>
      <name val="Calibri"/>
    </font>
    <font>
      <b/>
      <sz val="10"/>
      <color rgb="FF1B3A4B"/>
      <name val="Calibri"/>
    </font>
    <font>
      <sz val="9"/>
      <color rgb="FF2D6A8A"/>
      <name val="Calibri"/>
    </font>
    <font>
      <sz val="9"/>
      <color rgb="FF1B5E20"/>
      <name val="Calibri"/>
    </font>
    <font>
      <sz val="9"/>
      <color rgb="FFE65100"/>
      <name val="Calibri"/>
    </font>
    <font>
      <sz val="9"/>
      <color rgb="FF4527A0"/>
      <name val="Calibri"/>
    </font>
    <font>
      <sz val="9"/>
      <color rgb="FF1565C0"/>
      <name val="Calibri"/>
    </font>
    <font>
      <sz val="9"/>
      <color rgb="FFC62828"/>
      <name val="Calibri"/>
    </font>
    <font>
      <sz val="9"/>
      <color rgb="FF616161"/>
      <name val="Calibri"/>
    </font>
    <font>
      <sz val="9"/>
      <color rgb="FF795548"/>
      <name val="Calibri"/>
    </font>
    <font>
      <b/>
      <sz val="11"/>
      <color rgb="FFFFFFFF"/>
      <name val="Calibri"/>
    </font>
    <font>
      <sz val="8"/>
      <color rgb="FFFFFFFF"/>
      <name val="Calibri"/>
    </font>
    <font>
      <b/>
      <sz val="10"/>
      <color rgb="FF1B5E20"/>
      <name val="Calibri"/>
    </font>
    <font>
      <b/>
      <sz val="10"/>
      <color rgb="FFE65100"/>
      <name val="Calibri"/>
    </font>
    <font>
      <b/>
      <sz val="10"/>
      <color rgb="FF4527A0"/>
      <name val="Calibri"/>
    </font>
    <font>
      <b/>
      <sz val="10"/>
      <color rgb="FF1565C0"/>
      <name val="Calibri"/>
    </font>
    <font>
      <b/>
      <sz val="10"/>
      <color rgb="FFC62828"/>
      <name val="Calibri"/>
    </font>
    <font>
      <b/>
      <sz val="10"/>
      <color rgb="FF616161"/>
      <name val="Calibri"/>
    </font>
    <font>
      <b/>
      <sz val="10"/>
      <color rgb="FF795548"/>
      <name val="Calibri"/>
    </font>
    <font>
      <sz val="8"/>
      <name val="Calibri"/>
      <family val="2"/>
      <charset val="162"/>
    </font>
  </fonts>
  <fills count="59">
    <fill>
      <patternFill patternType="none"/>
    </fill>
    <fill>
      <patternFill patternType="gray125"/>
    </fill>
    <fill>
      <patternFill patternType="mediumGray">
        <fgColor rgb="FF1B3A4B"/>
        <bgColor rgb="FF18364E"/>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7F5F2"/>
      </patternFill>
    </fill>
    <fill>
      <patternFill patternType="solid">
        <fgColor rgb="FFE8F5E9"/>
        <bgColor rgb="FFEBF4F8"/>
      </patternFill>
    </fill>
    <fill>
      <patternFill patternType="solid">
        <fgColor rgb="FFFFFFFF"/>
        <bgColor rgb="FFF8FAFB"/>
      </patternFill>
    </fill>
    <fill>
      <patternFill patternType="solid">
        <fgColor rgb="FFFFF3E0"/>
        <bgColor rgb="FFFFF8E1"/>
      </patternFill>
    </fill>
    <fill>
      <patternFill patternType="solid">
        <fgColor rgb="FFEDE7F6"/>
        <bgColor rgb="FFDEEAF1"/>
      </patternFill>
    </fill>
    <fill>
      <patternFill patternType="solid">
        <fgColor rgb="FFFFEBED"/>
        <bgColor rgb="FFFFF3E0"/>
      </patternFill>
    </fill>
    <fill>
      <patternFill patternType="solid">
        <fgColor theme="4" tint="-0.499984740745262"/>
        <bgColor rgb="FF1B5E7B"/>
      </patternFill>
    </fill>
    <fill>
      <patternFill patternType="darkGray">
        <fgColor rgb="FF855909"/>
        <bgColor rgb="FF795548"/>
      </patternFill>
    </fill>
    <fill>
      <patternFill patternType="solid">
        <fgColor rgb="FFC00000"/>
        <bgColor rgb="FFC62828"/>
      </patternFill>
    </fill>
    <fill>
      <patternFill patternType="solid">
        <fgColor rgb="FF002060"/>
        <bgColor rgb="FF18364E"/>
      </patternFill>
    </fill>
    <fill>
      <patternFill patternType="solid">
        <fgColor rgb="FF00B050"/>
        <bgColor rgb="FF277A2D"/>
      </patternFill>
    </fill>
    <fill>
      <patternFill patternType="solid">
        <fgColor theme="5" tint="0.39948728904080327"/>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00000"/>
      </patternFill>
    </fill>
    <fill>
      <patternFill patternType="solid">
        <fgColor theme="1"/>
        <bgColor rgb="FF250818"/>
      </patternFill>
    </fill>
    <fill>
      <patternFill patternType="solid">
        <fgColor rgb="FF1F3864"/>
        <bgColor rgb="FF18364E"/>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6E8F0"/>
      </patternFill>
    </fill>
    <fill>
      <patternFill patternType="solid">
        <fgColor theme="4" tint="0.59959715567491678"/>
        <bgColor rgb="FFC8D8E0"/>
      </patternFill>
    </fill>
    <fill>
      <patternFill patternType="solid">
        <fgColor rgb="FFEBF4FA"/>
        <bgColor rgb="FFEBF4F8"/>
      </patternFill>
    </fill>
    <fill>
      <patternFill patternType="solid">
        <fgColor rgb="FF1B5E7B"/>
        <bgColor rgb="FF1F4E79"/>
      </patternFill>
    </fill>
    <fill>
      <patternFill patternType="solid">
        <fgColor rgb="FFC85318"/>
        <bgColor rgb="FFE65100"/>
      </patternFill>
    </fill>
    <fill>
      <patternFill patternType="solid">
        <fgColor rgb="FF4527A0"/>
        <bgColor rgb="FF7030A0"/>
      </patternFill>
    </fill>
    <fill>
      <patternFill patternType="solid">
        <fgColor theme="4" tint="0.39948728904080327"/>
        <bgColor rgb="FF95B3D7"/>
      </patternFill>
    </fill>
    <fill>
      <patternFill patternType="solid">
        <fgColor rgb="FFFFFF00"/>
        <bgColor rgb="FFFFD966"/>
      </patternFill>
    </fill>
    <fill>
      <patternFill patternType="solid">
        <fgColor rgb="FFFFF8E1"/>
        <bgColor rgb="FFFFF3E0"/>
      </patternFill>
    </fill>
    <fill>
      <patternFill patternType="solid">
        <fgColor rgb="FFE3F2FD"/>
        <bgColor rgb="FFEBF4FA"/>
      </patternFill>
    </fill>
    <fill>
      <patternFill patternType="solid">
        <fgColor rgb="FFFFF9C4"/>
        <bgColor rgb="FFFFF2CC"/>
      </patternFill>
    </fill>
    <fill>
      <patternFill patternType="solid">
        <fgColor theme="8" tint="-0.249977111117893"/>
        <bgColor rgb="FF1F4E79"/>
      </patternFill>
    </fill>
    <fill>
      <patternFill patternType="solid">
        <fgColor rgb="FF314753"/>
        <bgColor rgb="FF1F4E79"/>
      </patternFill>
    </fill>
    <fill>
      <patternFill patternType="solid">
        <fgColor rgb="FFF7F5F2"/>
        <bgColor rgb="FFF5F5F5"/>
      </patternFill>
    </fill>
    <fill>
      <patternFill patternType="solid">
        <fgColor rgb="FFF8FAFB"/>
        <bgColor rgb="FFF5F5F5"/>
      </patternFill>
    </fill>
    <fill>
      <patternFill patternType="mediumGray">
        <fgColor rgb="FFF1F3F6"/>
        <bgColor rgb="FFEBF4F8"/>
      </patternFill>
    </fill>
    <fill>
      <patternFill patternType="mediumGray">
        <fgColor rgb="FF18364E"/>
        <bgColor rgb="FF002060"/>
      </patternFill>
    </fill>
    <fill>
      <patternFill patternType="darkGray">
        <fgColor rgb="FF277A2D"/>
        <bgColor rgb="FF1B5E20"/>
      </patternFill>
    </fill>
    <fill>
      <patternFill patternType="solid">
        <fgColor rgb="FFE65100"/>
        <bgColor rgb="FFC85318"/>
      </patternFill>
    </fill>
    <fill>
      <patternFill patternType="solid">
        <fgColor rgb="FF1B3A4B"/>
      </patternFill>
    </fill>
    <fill>
      <patternFill patternType="solid">
        <fgColor rgb="FF2D6A8A"/>
      </patternFill>
    </fill>
    <fill>
      <patternFill patternType="solid">
        <fgColor rgb="FFE8F5E9"/>
      </patternFill>
    </fill>
    <fill>
      <patternFill patternType="solid">
        <fgColor rgb="FFFFF8E1"/>
      </patternFill>
    </fill>
    <fill>
      <patternFill patternType="solid">
        <fgColor rgb="FFEDE7F6"/>
      </patternFill>
    </fill>
    <fill>
      <patternFill patternType="solid">
        <fgColor rgb="FFE3F2FD"/>
      </patternFill>
    </fill>
    <fill>
      <patternFill patternType="solid">
        <fgColor rgb="FFFFEBEE"/>
      </patternFill>
    </fill>
    <fill>
      <patternFill patternType="solid">
        <fgColor rgb="FFF5F5F5"/>
      </patternFill>
    </fill>
    <fill>
      <patternFill patternType="solid">
        <fgColor rgb="FFFFF9C4"/>
      </patternFill>
    </fill>
    <fill>
      <patternFill patternType="solid">
        <fgColor rgb="FFEEEEEE"/>
      </patternFill>
    </fill>
    <fill>
      <patternFill patternType="solid">
        <fgColor rgb="FFEBF4F8"/>
      </patternFill>
    </fill>
    <fill>
      <patternFill patternType="solid">
        <fgColor rgb="FFFFFFFF"/>
      </patternFill>
    </fill>
    <fill>
      <patternFill patternType="solid">
        <fgColor theme="4" tint="0.79998168889431442"/>
        <bgColor rgb="FFF8FAFB"/>
      </patternFill>
    </fill>
    <fill>
      <patternFill patternType="solid">
        <fgColor theme="4" tint="0.79998168889431442"/>
        <bgColor rgb="FFFFF9C4"/>
      </patternFill>
    </fill>
  </fills>
  <borders count="44">
    <border>
      <left/>
      <right/>
      <top/>
      <bottom/>
      <diagonal/>
    </border>
    <border>
      <left style="thin">
        <color rgb="FFD0D8E0"/>
      </left>
      <right style="thin">
        <color rgb="FFD0D8E0"/>
      </right>
      <top style="thin">
        <color rgb="FFD0D8E0"/>
      </top>
      <bottom style="thin">
        <color rgb="FFD0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B9BEC3"/>
      </left>
      <right style="thin">
        <color rgb="FFB9BEC3"/>
      </right>
      <top style="thin">
        <color rgb="FFB9BEC3"/>
      </top>
      <bottom style="thin">
        <color rgb="FFB9BEC3"/>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right style="thin">
        <color rgb="FF002060"/>
      </right>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thin">
        <color rgb="FFD0CBC0"/>
      </left>
      <right style="thin">
        <color rgb="FFD0CBC0"/>
      </right>
      <top style="thin">
        <color rgb="FFD0CBC0"/>
      </top>
      <bottom style="thin">
        <color rgb="FFD0CBC0"/>
      </bottom>
      <diagonal/>
    </border>
    <border>
      <left/>
      <right/>
      <top style="thin">
        <color auto="1"/>
      </top>
      <bottom/>
      <diagonal/>
    </border>
    <border>
      <left/>
      <right/>
      <top style="thin">
        <color rgb="FF002060"/>
      </top>
      <bottom/>
      <diagonal/>
    </border>
    <border>
      <left style="thin">
        <color rgb="FFFFFF00"/>
      </left>
      <right style="thin">
        <color rgb="FF002060"/>
      </right>
      <top style="thin">
        <color rgb="FFFFFF00"/>
      </top>
      <bottom style="thin">
        <color rgb="FFFFFF00"/>
      </bottom>
      <diagonal/>
    </border>
    <border>
      <left style="thin">
        <color rgb="FFFFFF00"/>
      </left>
      <right style="thin">
        <color rgb="FF002060"/>
      </right>
      <top style="thin">
        <color rgb="FFFFFF00"/>
      </top>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
      <left/>
      <right/>
      <top style="thin">
        <color rgb="FFD0D8E0"/>
      </top>
      <bottom style="thin">
        <color rgb="FFD0D8E0"/>
      </bottom>
      <diagonal/>
    </border>
    <border>
      <left/>
      <right style="thin">
        <color rgb="FFD0D8E0"/>
      </right>
      <top style="thin">
        <color rgb="FFD0D8E0"/>
      </top>
      <bottom style="thin">
        <color rgb="FFD0D8E0"/>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right style="thin">
        <color rgb="FF002060"/>
      </right>
      <top style="thin">
        <color rgb="FF002060"/>
      </top>
      <bottom style="thin">
        <color rgb="FF002060"/>
      </bottom>
      <diagonal/>
    </border>
    <border>
      <left/>
      <right/>
      <top style="thin">
        <color rgb="FFFFFF00"/>
      </top>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auto="1"/>
      </right>
      <top/>
      <bottom style="thin">
        <color rgb="FFFFFF0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C8D8E0"/>
      </left>
      <right style="thin">
        <color rgb="FFC8D8E0"/>
      </right>
      <top style="thin">
        <color rgb="FFC8D8E0"/>
      </top>
      <bottom style="thin">
        <color rgb="FFC8D8E0"/>
      </bottom>
      <diagonal/>
    </border>
  </borders>
  <cellStyleXfs count="8">
    <xf numFmtId="0" fontId="0" fillId="0" borderId="0"/>
    <xf numFmtId="0" fontId="1" fillId="0" borderId="0"/>
    <xf numFmtId="0" fontId="97" fillId="0" borderId="0">
      <alignment horizontal="left"/>
    </xf>
    <xf numFmtId="0" fontId="97" fillId="0" borderId="0"/>
    <xf numFmtId="0" fontId="97" fillId="0" borderId="0"/>
    <xf numFmtId="0" fontId="2" fillId="0" borderId="0"/>
    <xf numFmtId="0" fontId="2" fillId="0" borderId="0">
      <alignment horizontal="left"/>
    </xf>
    <xf numFmtId="0" fontId="97" fillId="0" borderId="0"/>
  </cellStyleXfs>
  <cellXfs count="338">
    <xf numFmtId="0" fontId="0" fillId="0" borderId="0" xfId="0"/>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164" fontId="15" fillId="0" borderId="0" xfId="0" applyNumberFormat="1" applyFont="1" applyAlignment="1">
      <alignment horizontal="left"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164" fontId="18" fillId="12" borderId="2" xfId="0" applyNumberFormat="1"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9" fillId="13" borderId="0" xfId="0" applyFont="1" applyFill="1" applyAlignment="1">
      <alignment horizontal="center" vertical="center" wrapText="1"/>
    </xf>
    <xf numFmtId="0" fontId="19" fillId="14" borderId="5" xfId="0" applyFont="1" applyFill="1" applyBorder="1" applyAlignment="1">
      <alignment horizontal="center"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5" fontId="15" fillId="0" borderId="2" xfId="0" applyNumberFormat="1" applyFont="1" applyBorder="1" applyAlignment="1">
      <alignment horizontal="center" vertical="center"/>
    </xf>
    <xf numFmtId="166"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0" fillId="0" borderId="0" xfId="0" applyAlignment="1">
      <alignment horizontal="center" vertical="center" wrapText="1"/>
    </xf>
    <xf numFmtId="0" fontId="20" fillId="0" borderId="5" xfId="0" applyFont="1" applyBorder="1" applyAlignment="1">
      <alignment horizontal="center"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21" fillId="15"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165"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15" fillId="0" borderId="7" xfId="0" applyFont="1" applyBorder="1" applyAlignment="1">
      <alignment horizontal="justify" vertical="top"/>
    </xf>
    <xf numFmtId="0" fontId="22" fillId="16" borderId="8" xfId="0" applyFont="1" applyFill="1" applyBorder="1" applyAlignment="1">
      <alignment horizontal="right" vertical="center"/>
    </xf>
    <xf numFmtId="0" fontId="22" fillId="16" borderId="9" xfId="0" applyFont="1" applyFill="1" applyBorder="1" applyAlignment="1">
      <alignment horizontal="center" vertical="center"/>
    </xf>
    <xf numFmtId="0" fontId="22" fillId="16" borderId="8" xfId="0" applyFont="1" applyFill="1" applyBorder="1" applyAlignment="1">
      <alignment horizontal="center" vertical="center"/>
    </xf>
    <xf numFmtId="0" fontId="22" fillId="16" borderId="10" xfId="0" applyFont="1" applyFill="1" applyBorder="1" applyAlignment="1">
      <alignment horizontal="center" vertical="center"/>
    </xf>
    <xf numFmtId="0" fontId="22" fillId="17" borderId="8" xfId="0" applyFont="1" applyFill="1" applyBorder="1" applyAlignment="1">
      <alignment horizontal="right" vertical="center"/>
    </xf>
    <xf numFmtId="0" fontId="22" fillId="17" borderId="9" xfId="0" applyFont="1" applyFill="1" applyBorder="1" applyAlignment="1">
      <alignment horizontal="center" vertical="center"/>
    </xf>
    <xf numFmtId="0" fontId="22" fillId="17" borderId="8" xfId="0" applyFont="1" applyFill="1" applyBorder="1" applyAlignment="1">
      <alignment horizontal="center" vertical="center"/>
    </xf>
    <xf numFmtId="0" fontId="22" fillId="17" borderId="11" xfId="0" applyFont="1" applyFill="1" applyBorder="1" applyAlignment="1">
      <alignment horizontal="center" vertical="center"/>
    </xf>
    <xf numFmtId="0" fontId="22" fillId="15" borderId="8" xfId="0" applyFont="1" applyFill="1" applyBorder="1" applyAlignment="1">
      <alignment horizontal="right" vertical="center"/>
    </xf>
    <xf numFmtId="0" fontId="22" fillId="15" borderId="9" xfId="0" applyFont="1" applyFill="1" applyBorder="1" applyAlignment="1">
      <alignment horizontal="center" vertical="center"/>
    </xf>
    <xf numFmtId="0" fontId="22" fillId="15" borderId="8" xfId="0" applyFont="1" applyFill="1" applyBorder="1" applyAlignment="1">
      <alignment horizontal="center" vertical="center"/>
    </xf>
    <xf numFmtId="0" fontId="22" fillId="18" borderId="8" xfId="0" applyFont="1" applyFill="1" applyBorder="1" applyAlignment="1">
      <alignment horizontal="right" vertical="center"/>
    </xf>
    <xf numFmtId="0" fontId="22" fillId="18" borderId="9" xfId="0" applyFont="1" applyFill="1" applyBorder="1" applyAlignment="1">
      <alignment horizontal="center" vertical="center"/>
    </xf>
    <xf numFmtId="0" fontId="22" fillId="18" borderId="8" xfId="0" applyFont="1" applyFill="1" applyBorder="1" applyAlignment="1">
      <alignment horizontal="center" vertical="center"/>
    </xf>
    <xf numFmtId="0" fontId="22" fillId="19" borderId="8" xfId="0" applyFont="1" applyFill="1" applyBorder="1" applyAlignment="1">
      <alignment horizontal="right" vertical="center"/>
    </xf>
    <xf numFmtId="0" fontId="22" fillId="19" borderId="9" xfId="0" applyFont="1" applyFill="1" applyBorder="1" applyAlignment="1">
      <alignment horizontal="center" vertical="center"/>
    </xf>
    <xf numFmtId="0" fontId="22" fillId="19" borderId="8" xfId="0" applyFont="1" applyFill="1" applyBorder="1" applyAlignment="1">
      <alignment horizontal="center" vertical="center"/>
    </xf>
    <xf numFmtId="0" fontId="22" fillId="20" borderId="11" xfId="0" applyFont="1" applyFill="1" applyBorder="1" applyAlignment="1">
      <alignment horizontal="right" vertical="center"/>
    </xf>
    <xf numFmtId="0" fontId="22" fillId="20" borderId="12" xfId="0" applyFont="1" applyFill="1" applyBorder="1" applyAlignment="1">
      <alignment horizontal="center" vertical="center"/>
    </xf>
    <xf numFmtId="0" fontId="22" fillId="20" borderId="11" xfId="0" applyFont="1" applyFill="1" applyBorder="1" applyAlignment="1">
      <alignment horizontal="center" vertical="center"/>
    </xf>
    <xf numFmtId="0" fontId="22" fillId="21" borderId="8" xfId="0" applyFont="1" applyFill="1" applyBorder="1" applyAlignment="1">
      <alignment horizontal="right" vertical="center"/>
    </xf>
    <xf numFmtId="0" fontId="22" fillId="21" borderId="9" xfId="0" applyFont="1" applyFill="1" applyBorder="1" applyAlignment="1">
      <alignment horizontal="center" vertical="center"/>
    </xf>
    <xf numFmtId="0" fontId="22" fillId="21" borderId="8" xfId="0" applyFont="1" applyFill="1" applyBorder="1" applyAlignment="1">
      <alignment horizontal="center" vertical="center"/>
    </xf>
    <xf numFmtId="0" fontId="23" fillId="15" borderId="11" xfId="0" applyFont="1" applyFill="1" applyBorder="1" applyAlignment="1">
      <alignment horizontal="right" vertical="center"/>
    </xf>
    <xf numFmtId="0" fontId="23" fillId="15" borderId="13" xfId="0" applyFont="1" applyFill="1" applyBorder="1" applyAlignment="1">
      <alignment horizontal="center" vertical="center"/>
    </xf>
    <xf numFmtId="0" fontId="23" fillId="15" borderId="11" xfId="0" applyFont="1" applyFill="1" applyBorder="1" applyAlignment="1">
      <alignment horizontal="center" vertical="center"/>
    </xf>
    <xf numFmtId="0" fontId="24" fillId="0" borderId="0" xfId="0" applyFont="1" applyAlignment="1">
      <alignment horizontal="left" vertical="center"/>
    </xf>
    <xf numFmtId="0" fontId="27" fillId="12" borderId="14" xfId="0" applyFont="1" applyFill="1" applyBorder="1" applyAlignment="1">
      <alignment horizontal="center" vertical="center" wrapText="1"/>
    </xf>
    <xf numFmtId="0" fontId="27" fillId="24" borderId="14" xfId="0" applyFont="1" applyFill="1" applyBorder="1" applyAlignment="1">
      <alignment horizontal="center" vertical="center" wrapText="1"/>
    </xf>
    <xf numFmtId="0" fontId="28" fillId="8" borderId="14" xfId="0" applyFont="1" applyFill="1" applyBorder="1" applyAlignment="1">
      <alignment horizontal="center" vertical="center" wrapText="1"/>
    </xf>
    <xf numFmtId="166" fontId="29" fillId="25" borderId="15" xfId="0" applyNumberFormat="1" applyFont="1" applyFill="1" applyBorder="1" applyAlignment="1">
      <alignment horizontal="center" vertical="center" wrapText="1"/>
    </xf>
    <xf numFmtId="0" fontId="29" fillId="8" borderId="14" xfId="0" applyFont="1" applyFill="1" applyBorder="1" applyAlignment="1">
      <alignment horizontal="center" vertical="center" wrapText="1"/>
    </xf>
    <xf numFmtId="167" fontId="28" fillId="8" borderId="14" xfId="0" applyNumberFormat="1" applyFont="1" applyFill="1" applyBorder="1" applyAlignment="1">
      <alignment horizontal="center" vertical="center" wrapText="1"/>
    </xf>
    <xf numFmtId="0" fontId="28" fillId="8" borderId="14" xfId="0" applyFont="1" applyFill="1" applyBorder="1" applyAlignment="1">
      <alignment horizontal="left" vertical="center"/>
    </xf>
    <xf numFmtId="0" fontId="28" fillId="26" borderId="14" xfId="0" applyFont="1" applyFill="1" applyBorder="1" applyAlignment="1">
      <alignment horizontal="center" vertical="center" wrapText="1"/>
    </xf>
    <xf numFmtId="0" fontId="29" fillId="26" borderId="14" xfId="0" applyFont="1" applyFill="1" applyBorder="1" applyAlignment="1">
      <alignment horizontal="center" vertical="center" wrapText="1"/>
    </xf>
    <xf numFmtId="167" fontId="28" fillId="26" borderId="14" xfId="0" applyNumberFormat="1" applyFont="1" applyFill="1" applyBorder="1" applyAlignment="1">
      <alignment horizontal="center" vertical="center" wrapText="1"/>
    </xf>
    <xf numFmtId="0" fontId="28" fillId="26" borderId="14" xfId="0" applyFont="1" applyFill="1" applyBorder="1" applyAlignment="1">
      <alignment horizontal="left" vertical="center"/>
    </xf>
    <xf numFmtId="0" fontId="29" fillId="27" borderId="14" xfId="0" applyFont="1" applyFill="1" applyBorder="1" applyAlignment="1">
      <alignment horizontal="center" vertical="center" wrapText="1"/>
    </xf>
    <xf numFmtId="167" fontId="29" fillId="27" borderId="14" xfId="0" applyNumberFormat="1" applyFont="1" applyFill="1" applyBorder="1" applyAlignment="1">
      <alignment horizontal="center" vertical="center" wrapText="1"/>
    </xf>
    <xf numFmtId="0" fontId="19" fillId="12" borderId="16" xfId="0" applyFont="1" applyFill="1" applyBorder="1" applyAlignment="1">
      <alignment horizontal="center" vertical="center" wrapText="1"/>
    </xf>
    <xf numFmtId="166" fontId="33" fillId="24" borderId="17" xfId="0" applyNumberFormat="1" applyFont="1" applyFill="1" applyBorder="1" applyAlignment="1">
      <alignment horizontal="center" vertical="center" wrapText="1"/>
    </xf>
    <xf numFmtId="0" fontId="34" fillId="26" borderId="17" xfId="0" applyFont="1" applyFill="1" applyBorder="1" applyAlignment="1">
      <alignment horizontal="left" vertical="center" wrapText="1"/>
    </xf>
    <xf numFmtId="0" fontId="35" fillId="26" borderId="17" xfId="0" applyFont="1" applyFill="1" applyBorder="1" applyAlignment="1">
      <alignment horizontal="center" vertical="center" wrapText="1"/>
    </xf>
    <xf numFmtId="0" fontId="36" fillId="27" borderId="18" xfId="0" applyFont="1" applyFill="1" applyBorder="1" applyAlignment="1">
      <alignment horizontal="center" vertical="center" wrapText="1"/>
    </xf>
    <xf numFmtId="0" fontId="34" fillId="8" borderId="17" xfId="0" applyFont="1" applyFill="1" applyBorder="1" applyAlignment="1">
      <alignment horizontal="left" vertical="center" wrapText="1"/>
    </xf>
    <xf numFmtId="0" fontId="35" fillId="8" borderId="17"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27" fillId="22" borderId="16" xfId="0" applyFont="1" applyFill="1" applyBorder="1" applyAlignment="1">
      <alignment horizontal="center" vertical="center" wrapText="1"/>
    </xf>
    <xf numFmtId="0" fontId="38" fillId="0" borderId="0" xfId="0" applyFont="1" applyAlignment="1">
      <alignment horizontal="center" vertical="center"/>
    </xf>
    <xf numFmtId="0" fontId="38" fillId="0" borderId="0" xfId="0" applyFont="1"/>
    <xf numFmtId="0" fontId="39" fillId="29" borderId="7" xfId="0" applyFont="1" applyFill="1" applyBorder="1" applyAlignment="1">
      <alignment vertical="center"/>
    </xf>
    <xf numFmtId="0" fontId="39" fillId="29" borderId="7" xfId="0" applyFont="1" applyFill="1" applyBorder="1" applyAlignment="1">
      <alignment horizontal="center" vertical="center"/>
    </xf>
    <xf numFmtId="0" fontId="39" fillId="29" borderId="19" xfId="0" applyFont="1" applyFill="1" applyBorder="1" applyAlignment="1">
      <alignment vertical="center"/>
    </xf>
    <xf numFmtId="0" fontId="39" fillId="29" borderId="20" xfId="0" applyFont="1" applyFill="1" applyBorder="1" applyAlignment="1">
      <alignment horizontal="center" vertical="center"/>
    </xf>
    <xf numFmtId="0" fontId="39" fillId="15" borderId="21" xfId="0" applyFont="1" applyFill="1" applyBorder="1" applyAlignment="1">
      <alignment horizontal="center" vertical="center"/>
    </xf>
    <xf numFmtId="0" fontId="39" fillId="29" borderId="22" xfId="0" applyFont="1" applyFill="1" applyBorder="1" applyAlignment="1">
      <alignment horizontal="center" vertical="center"/>
    </xf>
    <xf numFmtId="0" fontId="39" fillId="15" borderId="23" xfId="0" applyFont="1" applyFill="1" applyBorder="1" applyAlignment="1">
      <alignment horizontal="center" vertical="center"/>
    </xf>
    <xf numFmtId="0" fontId="39" fillId="15" borderId="24" xfId="0" applyFont="1" applyFill="1" applyBorder="1" applyAlignment="1">
      <alignment horizontal="center" vertical="center"/>
    </xf>
    <xf numFmtId="0" fontId="39" fillId="18" borderId="2" xfId="0" applyFont="1" applyFill="1" applyBorder="1" applyAlignment="1">
      <alignment horizontal="center" vertical="center"/>
    </xf>
    <xf numFmtId="0" fontId="39" fillId="15" borderId="2" xfId="0" applyFont="1" applyFill="1" applyBorder="1" applyAlignment="1">
      <alignment vertical="center"/>
    </xf>
    <xf numFmtId="0" fontId="40" fillId="30" borderId="25" xfId="0" applyFont="1" applyFill="1" applyBorder="1" applyAlignment="1">
      <alignment horizontal="center" vertical="center" wrapText="1"/>
    </xf>
    <xf numFmtId="0" fontId="40" fillId="31" borderId="25" xfId="0" applyFont="1" applyFill="1" applyBorder="1" applyAlignment="1">
      <alignment horizontal="center" vertical="center" wrapText="1"/>
    </xf>
    <xf numFmtId="0" fontId="41" fillId="0" borderId="0" xfId="0" applyFont="1" applyAlignment="1">
      <alignment horizontal="center" vertical="center"/>
    </xf>
    <xf numFmtId="0" fontId="42" fillId="0" borderId="7" xfId="0" applyFont="1" applyBorder="1" applyAlignment="1">
      <alignment horizontal="center" vertical="center"/>
    </xf>
    <xf numFmtId="0" fontId="43" fillId="0" borderId="7" xfId="0" applyFont="1" applyBorder="1" applyAlignment="1">
      <alignment horizontal="justify" vertical="center"/>
    </xf>
    <xf numFmtId="0" fontId="44" fillId="0" borderId="2" xfId="0" applyFont="1" applyBorder="1" applyAlignment="1">
      <alignment horizontal="center" vertical="center"/>
    </xf>
    <xf numFmtId="0" fontId="44" fillId="23" borderId="2" xfId="0" applyFont="1" applyFill="1" applyBorder="1" applyAlignment="1">
      <alignment horizontal="center" vertical="center"/>
    </xf>
    <xf numFmtId="0" fontId="45" fillId="27" borderId="2" xfId="0" applyFont="1" applyFill="1" applyBorder="1" applyAlignment="1">
      <alignment horizontal="center" vertical="center"/>
    </xf>
    <xf numFmtId="0" fontId="45" fillId="27" borderId="4" xfId="0" applyFont="1" applyFill="1" applyBorder="1" applyAlignment="1">
      <alignment horizontal="center" vertical="center"/>
    </xf>
    <xf numFmtId="0" fontId="46" fillId="9" borderId="25" xfId="0" applyFont="1" applyFill="1" applyBorder="1" applyAlignment="1">
      <alignment horizontal="center" vertical="center"/>
    </xf>
    <xf numFmtId="0" fontId="47" fillId="10" borderId="25" xfId="0" applyFont="1" applyFill="1" applyBorder="1" applyAlignment="1">
      <alignment horizontal="center" vertical="center"/>
    </xf>
    <xf numFmtId="0" fontId="48" fillId="29" borderId="7" xfId="0" applyFont="1" applyFill="1" applyBorder="1" applyAlignment="1">
      <alignment horizontal="center" vertical="center"/>
    </xf>
    <xf numFmtId="0" fontId="48" fillId="15" borderId="0" xfId="0" applyFont="1" applyFill="1" applyAlignment="1">
      <alignment horizontal="center" vertical="center"/>
    </xf>
    <xf numFmtId="0" fontId="48" fillId="18" borderId="2" xfId="0" applyFont="1" applyFill="1" applyBorder="1" applyAlignment="1">
      <alignment horizontal="center" vertical="center"/>
    </xf>
    <xf numFmtId="0" fontId="48" fillId="18" borderId="4" xfId="0" applyFont="1" applyFill="1" applyBorder="1" applyAlignment="1">
      <alignment horizontal="center" vertical="center"/>
    </xf>
    <xf numFmtId="0" fontId="48" fillId="15" borderId="7" xfId="0" applyFont="1" applyFill="1" applyBorder="1" applyAlignment="1">
      <alignment horizontal="center" vertical="center"/>
    </xf>
    <xf numFmtId="0" fontId="40" fillId="30" borderId="25" xfId="0" applyFont="1" applyFill="1" applyBorder="1" applyAlignment="1">
      <alignment horizontal="center" vertical="center"/>
    </xf>
    <xf numFmtId="0" fontId="40" fillId="31" borderId="25" xfId="0" applyFont="1" applyFill="1" applyBorder="1" applyAlignment="1">
      <alignment horizontal="center" vertical="center"/>
    </xf>
    <xf numFmtId="0" fontId="49" fillId="0" borderId="0" xfId="0" applyFont="1" applyAlignment="1">
      <alignment horizontal="center" vertical="center"/>
    </xf>
    <xf numFmtId="0" fontId="50" fillId="0" borderId="0" xfId="0" applyFont="1" applyAlignment="1">
      <alignment horizontal="center" vertical="center"/>
    </xf>
    <xf numFmtId="0" fontId="48" fillId="0" borderId="0" xfId="0" applyFont="1" applyAlignment="1">
      <alignment vertical="center"/>
    </xf>
    <xf numFmtId="0" fontId="49" fillId="0" borderId="0" xfId="0" applyFont="1" applyAlignment="1">
      <alignment vertical="center"/>
    </xf>
    <xf numFmtId="0" fontId="48" fillId="0" borderId="26" xfId="0" applyFont="1" applyBorder="1" applyAlignment="1">
      <alignment horizontal="center" vertical="center"/>
    </xf>
    <xf numFmtId="0" fontId="48" fillId="0" borderId="27" xfId="0" applyFont="1" applyBorder="1" applyAlignment="1">
      <alignment horizontal="center" vertical="center"/>
    </xf>
    <xf numFmtId="0" fontId="18" fillId="29" borderId="7" xfId="0" applyFont="1" applyFill="1" applyBorder="1" applyAlignment="1">
      <alignment horizontal="center" vertical="center"/>
    </xf>
    <xf numFmtId="0" fontId="51" fillId="0" borderId="7" xfId="0" applyFont="1" applyBorder="1" applyAlignment="1">
      <alignment horizontal="center" vertical="center"/>
    </xf>
    <xf numFmtId="0" fontId="43" fillId="0" borderId="7" xfId="0" applyFont="1" applyBorder="1" applyAlignment="1">
      <alignment horizontal="center" vertical="center"/>
    </xf>
    <xf numFmtId="0" fontId="51" fillId="32" borderId="7" xfId="0" applyFont="1" applyFill="1" applyBorder="1" applyAlignment="1">
      <alignment horizontal="center" vertical="center"/>
    </xf>
    <xf numFmtId="0" fontId="43" fillId="32" borderId="7" xfId="0" applyFont="1" applyFill="1" applyBorder="1" applyAlignment="1">
      <alignment horizontal="justify" vertical="center"/>
    </xf>
    <xf numFmtId="0" fontId="43" fillId="32" borderId="7" xfId="0" applyFont="1" applyFill="1" applyBorder="1" applyAlignment="1">
      <alignment horizontal="center" vertical="center"/>
    </xf>
    <xf numFmtId="0" fontId="43" fillId="0" borderId="7" xfId="0" applyFont="1" applyBorder="1" applyAlignment="1">
      <alignment horizontal="left" vertical="center"/>
    </xf>
    <xf numFmtId="0" fontId="39" fillId="18" borderId="7" xfId="0" applyFont="1" applyFill="1" applyBorder="1" applyAlignment="1">
      <alignment horizontal="center" vertical="center"/>
    </xf>
    <xf numFmtId="0" fontId="39" fillId="18" borderId="20" xfId="0" applyFont="1" applyFill="1" applyBorder="1" applyAlignment="1">
      <alignment horizontal="center" textRotation="90"/>
    </xf>
    <xf numFmtId="0" fontId="39" fillId="15" borderId="21" xfId="0" applyFont="1" applyFill="1" applyBorder="1" applyAlignment="1">
      <alignment horizontal="center" textRotation="90"/>
    </xf>
    <xf numFmtId="0" fontId="39" fillId="18" borderId="22" xfId="0" applyFont="1" applyFill="1" applyBorder="1" applyAlignment="1">
      <alignment horizontal="center" textRotation="90"/>
    </xf>
    <xf numFmtId="0" fontId="39" fillId="15" borderId="23" xfId="0" applyFont="1" applyFill="1" applyBorder="1" applyAlignment="1">
      <alignment horizontal="center" textRotation="90"/>
    </xf>
    <xf numFmtId="0" fontId="39" fillId="15" borderId="24" xfId="0" applyFont="1" applyFill="1" applyBorder="1" applyAlignment="1">
      <alignment horizontal="center" textRotation="90"/>
    </xf>
    <xf numFmtId="0" fontId="42" fillId="27" borderId="2" xfId="0" applyFont="1" applyFill="1" applyBorder="1" applyAlignment="1">
      <alignment horizontal="center" textRotation="90"/>
    </xf>
    <xf numFmtId="0" fontId="52" fillId="18" borderId="2" xfId="0" applyFont="1" applyFill="1" applyBorder="1" applyAlignment="1">
      <alignment horizontal="center" vertical="center"/>
    </xf>
    <xf numFmtId="0" fontId="53" fillId="33" borderId="0" xfId="0" applyFont="1" applyFill="1" applyAlignment="1">
      <alignment horizontal="center" vertical="center"/>
    </xf>
    <xf numFmtId="0" fontId="18" fillId="18" borderId="7" xfId="0" applyFont="1" applyFill="1" applyBorder="1" applyAlignment="1">
      <alignment horizontal="center" vertical="center"/>
    </xf>
    <xf numFmtId="0" fontId="21" fillId="37" borderId="2" xfId="0" applyFont="1" applyFill="1" applyBorder="1" applyAlignment="1">
      <alignment horizontal="center" vertical="center"/>
    </xf>
    <xf numFmtId="0" fontId="16" fillId="0" borderId="2" xfId="0" applyFont="1" applyBorder="1" applyAlignment="1">
      <alignment horizontal="center" vertical="center"/>
    </xf>
    <xf numFmtId="0" fontId="76" fillId="15" borderId="30" xfId="0" applyFont="1" applyFill="1" applyBorder="1" applyAlignment="1">
      <alignment horizontal="center" vertical="center"/>
    </xf>
    <xf numFmtId="0" fontId="21" fillId="37" borderId="30" xfId="0" applyFont="1" applyFill="1" applyBorder="1" applyAlignment="1">
      <alignment horizontal="center" vertical="center"/>
    </xf>
    <xf numFmtId="0" fontId="21" fillId="37" borderId="11"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5" fillId="0" borderId="0" xfId="0" applyFont="1" applyAlignment="1">
      <alignment horizontal="justify" vertical="center" wrapText="1"/>
    </xf>
    <xf numFmtId="0" fontId="14" fillId="0" borderId="7" xfId="0" applyFont="1" applyBorder="1" applyAlignment="1">
      <alignment horizontal="center" vertical="center"/>
    </xf>
    <xf numFmtId="0" fontId="15" fillId="0" borderId="7" xfId="0" applyFont="1" applyBorder="1" applyAlignment="1">
      <alignment horizontal="left" vertical="center"/>
    </xf>
    <xf numFmtId="0" fontId="15" fillId="0" borderId="7" xfId="0" applyFont="1" applyBorder="1" applyAlignment="1">
      <alignment horizontal="left" vertical="center" wrapText="1"/>
    </xf>
    <xf numFmtId="0" fontId="57" fillId="38" borderId="25" xfId="0" applyFont="1" applyFill="1" applyBorder="1" applyAlignment="1">
      <alignment horizontal="center" vertical="center" wrapText="1"/>
    </xf>
    <xf numFmtId="0" fontId="13" fillId="38" borderId="25" xfId="0" applyFont="1" applyFill="1" applyBorder="1" applyAlignment="1">
      <alignment horizontal="center" vertical="center" wrapText="1"/>
    </xf>
    <xf numFmtId="0" fontId="79" fillId="7" borderId="25" xfId="0" applyFont="1" applyFill="1" applyBorder="1" applyAlignment="1">
      <alignment horizontal="center" vertical="center" wrapText="1"/>
    </xf>
    <xf numFmtId="0" fontId="58" fillId="34" borderId="25" xfId="0" applyFont="1" applyFill="1" applyBorder="1" applyAlignment="1">
      <alignment horizontal="center" vertical="center" wrapText="1"/>
    </xf>
    <xf numFmtId="0" fontId="60" fillId="35" borderId="25" xfId="0" applyFont="1" applyFill="1" applyBorder="1" applyAlignment="1">
      <alignment horizontal="center" vertical="center" wrapText="1"/>
    </xf>
    <xf numFmtId="0" fontId="59" fillId="10" borderId="25" xfId="0" applyFont="1" applyFill="1" applyBorder="1" applyAlignment="1">
      <alignment horizontal="center" vertical="center" wrapText="1"/>
    </xf>
    <xf numFmtId="0" fontId="61" fillId="11" borderId="25" xfId="0" applyFont="1" applyFill="1" applyBorder="1" applyAlignment="1">
      <alignment horizontal="center" vertical="center" wrapText="1"/>
    </xf>
    <xf numFmtId="0" fontId="62" fillId="6" borderId="25" xfId="0" applyFont="1" applyFill="1" applyBorder="1" applyAlignment="1">
      <alignment horizontal="center" vertical="center" wrapText="1"/>
    </xf>
    <xf numFmtId="0" fontId="63" fillId="36" borderId="25" xfId="0" applyFont="1" applyFill="1" applyBorder="1" applyAlignment="1">
      <alignment horizontal="center" vertical="center" wrapText="1"/>
    </xf>
    <xf numFmtId="0" fontId="13" fillId="2" borderId="25" xfId="0" applyFont="1" applyFill="1" applyBorder="1" applyAlignment="1">
      <alignment horizontal="center" vertical="center" wrapText="1"/>
    </xf>
    <xf numFmtId="0" fontId="80" fillId="34" borderId="25" xfId="0" applyFont="1" applyFill="1" applyBorder="1" applyAlignment="1">
      <alignment horizontal="center" vertical="center" wrapText="1"/>
    </xf>
    <xf numFmtId="0" fontId="81" fillId="7" borderId="25" xfId="0" applyFont="1" applyFill="1" applyBorder="1" applyAlignment="1">
      <alignment horizontal="center" vertical="center" wrapText="1"/>
    </xf>
    <xf numFmtId="0" fontId="70" fillId="34" borderId="25" xfId="0" applyFont="1" applyFill="1" applyBorder="1" applyAlignment="1">
      <alignment horizontal="center" vertical="center" wrapText="1"/>
    </xf>
    <xf numFmtId="0" fontId="72" fillId="35" borderId="25" xfId="0" applyFont="1" applyFill="1" applyBorder="1" applyAlignment="1">
      <alignment horizontal="center" vertical="center" wrapText="1"/>
    </xf>
    <xf numFmtId="0" fontId="82" fillId="40" borderId="25" xfId="0" applyFont="1" applyFill="1" applyBorder="1" applyAlignment="1">
      <alignment horizontal="center" vertical="center" wrapText="1"/>
    </xf>
    <xf numFmtId="0" fontId="75" fillId="36" borderId="25" xfId="0" applyFont="1" applyFill="1" applyBorder="1" applyAlignment="1">
      <alignment horizontal="center" vertical="center" wrapText="1"/>
    </xf>
    <xf numFmtId="0" fontId="5" fillId="41" borderId="25" xfId="0" applyFont="1" applyFill="1" applyBorder="1" applyAlignment="1">
      <alignment horizontal="center" vertical="center" wrapText="1"/>
    </xf>
    <xf numFmtId="0" fontId="83" fillId="35" borderId="25" xfId="0" applyFont="1" applyFill="1" applyBorder="1" applyAlignment="1">
      <alignment horizontal="center" vertical="center" wrapText="1"/>
    </xf>
    <xf numFmtId="0" fontId="84" fillId="10" borderId="25" xfId="0" applyFont="1" applyFill="1" applyBorder="1" applyAlignment="1">
      <alignment horizontal="center" vertical="center" wrapText="1"/>
    </xf>
    <xf numFmtId="0" fontId="85" fillId="11" borderId="25" xfId="0" applyFont="1" applyFill="1" applyBorder="1" applyAlignment="1">
      <alignment horizontal="center" vertical="center" wrapText="1"/>
    </xf>
    <xf numFmtId="0" fontId="57" fillId="2" borderId="25" xfId="0" applyFont="1" applyFill="1" applyBorder="1" applyAlignment="1">
      <alignment horizontal="center" vertical="center" wrapText="1"/>
    </xf>
    <xf numFmtId="0" fontId="4" fillId="42" borderId="25" xfId="0" applyFont="1" applyFill="1" applyBorder="1" applyAlignment="1">
      <alignment horizontal="center" vertical="center" wrapText="1"/>
    </xf>
    <xf numFmtId="0" fontId="56" fillId="38" borderId="25" xfId="0" applyFont="1" applyFill="1" applyBorder="1" applyAlignment="1">
      <alignment horizontal="center" vertical="center" wrapText="1"/>
    </xf>
    <xf numFmtId="0" fontId="86" fillId="8" borderId="25" xfId="0" applyFont="1" applyFill="1" applyBorder="1" applyAlignment="1">
      <alignment horizontal="center" vertical="center" wrapText="1"/>
    </xf>
    <xf numFmtId="0" fontId="87" fillId="8" borderId="25" xfId="0" applyFont="1" applyFill="1" applyBorder="1" applyAlignment="1">
      <alignment horizontal="center" vertical="center" wrapText="1"/>
    </xf>
    <xf numFmtId="0" fontId="88" fillId="8" borderId="25" xfId="0" applyFont="1" applyFill="1" applyBorder="1" applyAlignment="1">
      <alignment horizontal="center" vertical="center" wrapText="1"/>
    </xf>
    <xf numFmtId="0" fontId="89" fillId="8" borderId="25" xfId="0" applyFont="1" applyFill="1" applyBorder="1" applyAlignment="1">
      <alignment horizontal="left" vertical="center" wrapText="1"/>
    </xf>
    <xf numFmtId="0" fontId="90" fillId="8" borderId="25" xfId="0" applyFont="1" applyFill="1" applyBorder="1" applyAlignment="1">
      <alignment horizontal="center" vertical="center" wrapText="1"/>
    </xf>
    <xf numFmtId="0" fontId="64" fillId="8" borderId="25" xfId="0" applyFont="1" applyFill="1" applyBorder="1" applyAlignment="1">
      <alignment horizontal="left" vertical="center" wrapText="1"/>
    </xf>
    <xf numFmtId="0" fontId="86" fillId="40" borderId="25" xfId="0" applyFont="1" applyFill="1" applyBorder="1" applyAlignment="1">
      <alignment horizontal="center" vertical="center" wrapText="1"/>
    </xf>
    <xf numFmtId="0" fontId="87" fillId="40" borderId="25" xfId="0" applyFont="1" applyFill="1" applyBorder="1" applyAlignment="1">
      <alignment horizontal="center" vertical="center" wrapText="1"/>
    </xf>
    <xf numFmtId="0" fontId="88" fillId="40" borderId="25" xfId="0" applyFont="1" applyFill="1" applyBorder="1" applyAlignment="1">
      <alignment horizontal="center" vertical="center" wrapText="1"/>
    </xf>
    <xf numFmtId="0" fontId="89" fillId="40" borderId="25" xfId="0" applyFont="1" applyFill="1" applyBorder="1" applyAlignment="1">
      <alignment horizontal="left" vertical="center" wrapText="1"/>
    </xf>
    <xf numFmtId="0" fontId="90" fillId="40" borderId="25" xfId="0" applyFont="1" applyFill="1" applyBorder="1" applyAlignment="1">
      <alignment horizontal="center" vertical="center" wrapText="1"/>
    </xf>
    <xf numFmtId="0" fontId="64" fillId="40" borderId="25" xfId="0" applyFont="1" applyFill="1" applyBorder="1" applyAlignment="1">
      <alignment horizontal="left" vertical="center" wrapText="1"/>
    </xf>
    <xf numFmtId="0" fontId="91" fillId="41" borderId="25" xfId="0" applyFont="1" applyFill="1" applyBorder="1" applyAlignment="1">
      <alignment horizontal="center" vertical="center" wrapText="1"/>
    </xf>
    <xf numFmtId="0" fontId="92" fillId="7" borderId="25" xfId="0" applyFont="1" applyFill="1" applyBorder="1" applyAlignment="1">
      <alignment horizontal="left" vertical="center" wrapText="1"/>
    </xf>
    <xf numFmtId="0" fontId="93" fillId="7" borderId="25" xfId="0" applyFont="1" applyFill="1" applyBorder="1" applyAlignment="1">
      <alignment horizontal="center" vertical="center" wrapText="1"/>
    </xf>
    <xf numFmtId="0" fontId="93" fillId="7" borderId="25" xfId="0" applyFont="1" applyFill="1" applyBorder="1" applyAlignment="1">
      <alignment horizontal="left" vertical="center" wrapText="1"/>
    </xf>
    <xf numFmtId="0" fontId="80" fillId="34" borderId="25" xfId="0" applyFont="1" applyFill="1" applyBorder="1" applyAlignment="1">
      <alignment horizontal="left" vertical="center" wrapText="1"/>
    </xf>
    <xf numFmtId="0" fontId="65" fillId="34" borderId="25" xfId="0" applyFont="1" applyFill="1" applyBorder="1" applyAlignment="1">
      <alignment horizontal="center" vertical="center" wrapText="1"/>
    </xf>
    <xf numFmtId="0" fontId="65" fillId="34" borderId="25" xfId="0" applyFont="1" applyFill="1" applyBorder="1" applyAlignment="1">
      <alignment horizontal="left" vertical="center" wrapText="1"/>
    </xf>
    <xf numFmtId="0" fontId="83" fillId="35" borderId="25" xfId="0" applyFont="1" applyFill="1" applyBorder="1" applyAlignment="1">
      <alignment horizontal="left" vertical="center" wrapText="1"/>
    </xf>
    <xf numFmtId="0" fontId="67" fillId="35" borderId="25" xfId="0" applyFont="1" applyFill="1" applyBorder="1" applyAlignment="1">
      <alignment horizontal="center" vertical="center" wrapText="1"/>
    </xf>
    <xf numFmtId="0" fontId="67" fillId="35" borderId="25" xfId="0" applyFont="1" applyFill="1" applyBorder="1" applyAlignment="1">
      <alignment horizontal="left" vertical="center" wrapText="1"/>
    </xf>
    <xf numFmtId="0" fontId="84" fillId="10" borderId="25" xfId="0" applyFont="1" applyFill="1" applyBorder="1" applyAlignment="1">
      <alignment horizontal="left" vertical="center" wrapText="1"/>
    </xf>
    <xf numFmtId="0" fontId="71" fillId="10" borderId="25" xfId="0" applyFont="1" applyFill="1" applyBorder="1" applyAlignment="1">
      <alignment horizontal="center" vertical="center" wrapText="1"/>
    </xf>
    <xf numFmtId="0" fontId="66" fillId="10" borderId="25" xfId="0" applyFont="1" applyFill="1" applyBorder="1" applyAlignment="1">
      <alignment horizontal="center" vertical="center" wrapText="1"/>
    </xf>
    <xf numFmtId="0" fontId="66" fillId="10" borderId="25" xfId="0" applyFont="1" applyFill="1" applyBorder="1" applyAlignment="1">
      <alignment horizontal="left" vertical="center" wrapText="1"/>
    </xf>
    <xf numFmtId="0" fontId="85" fillId="11" borderId="25" xfId="0" applyFont="1" applyFill="1" applyBorder="1" applyAlignment="1">
      <alignment horizontal="left" vertical="center" wrapText="1"/>
    </xf>
    <xf numFmtId="0" fontId="73" fillId="11" borderId="25" xfId="0" applyFont="1" applyFill="1" applyBorder="1" applyAlignment="1">
      <alignment horizontal="center" vertical="center" wrapText="1"/>
    </xf>
    <xf numFmtId="0" fontId="68" fillId="11" borderId="25" xfId="0" applyFont="1" applyFill="1" applyBorder="1" applyAlignment="1">
      <alignment horizontal="center" vertical="center" wrapText="1"/>
    </xf>
    <xf numFmtId="0" fontId="68" fillId="11" borderId="25" xfId="0" applyFont="1" applyFill="1" applyBorder="1" applyAlignment="1">
      <alignment horizontal="left" vertical="center" wrapText="1"/>
    </xf>
    <xf numFmtId="0" fontId="94" fillId="6" borderId="25" xfId="0" applyFont="1" applyFill="1" applyBorder="1" applyAlignment="1">
      <alignment horizontal="left" vertical="center" wrapText="1"/>
    </xf>
    <xf numFmtId="0" fontId="74" fillId="6" borderId="25" xfId="0" applyFont="1" applyFill="1" applyBorder="1" applyAlignment="1">
      <alignment horizontal="center" vertical="center" wrapText="1"/>
    </xf>
    <xf numFmtId="0" fontId="69" fillId="6" borderId="25" xfId="0" applyFont="1" applyFill="1" applyBorder="1" applyAlignment="1">
      <alignment horizontal="center" vertical="center" wrapText="1"/>
    </xf>
    <xf numFmtId="0" fontId="69" fillId="6" borderId="25" xfId="0" applyFont="1" applyFill="1" applyBorder="1" applyAlignment="1">
      <alignment horizontal="left" vertical="center" wrapText="1"/>
    </xf>
    <xf numFmtId="0" fontId="13" fillId="2" borderId="25" xfId="0" applyFont="1" applyFill="1" applyBorder="1" applyAlignment="1">
      <alignment horizontal="left" vertical="center" wrapText="1"/>
    </xf>
    <xf numFmtId="0" fontId="95" fillId="40" borderId="25" xfId="0" applyFont="1" applyFill="1" applyBorder="1" applyAlignment="1">
      <alignment horizontal="center" vertical="center" wrapText="1"/>
    </xf>
    <xf numFmtId="0" fontId="96" fillId="9" borderId="25" xfId="0" applyFont="1" applyFill="1" applyBorder="1" applyAlignment="1">
      <alignment horizontal="center" vertical="center" wrapText="1"/>
    </xf>
    <xf numFmtId="0" fontId="95" fillId="8" borderId="25" xfId="0" applyFont="1" applyFill="1" applyBorder="1" applyAlignment="1">
      <alignment horizontal="center" vertical="center" wrapText="1"/>
    </xf>
    <xf numFmtId="0" fontId="89" fillId="40" borderId="25" xfId="0" applyFont="1" applyFill="1" applyBorder="1" applyAlignment="1">
      <alignment horizontal="center" vertical="center" wrapText="1"/>
    </xf>
    <xf numFmtId="0" fontId="89" fillId="8" borderId="25" xfId="0" applyFont="1" applyFill="1" applyBorder="1" applyAlignment="1">
      <alignment horizontal="center" vertical="center" wrapText="1"/>
    </xf>
    <xf numFmtId="0" fontId="57" fillId="43" borderId="25" xfId="0" applyFont="1" applyFill="1" applyBorder="1" applyAlignment="1">
      <alignment horizontal="center" vertical="center" wrapText="1"/>
    </xf>
    <xf numFmtId="0" fontId="57" fillId="44" borderId="25" xfId="0" applyFont="1" applyFill="1" applyBorder="1" applyAlignment="1">
      <alignment horizontal="center" vertical="center" wrapText="1"/>
    </xf>
    <xf numFmtId="14" fontId="16" fillId="0" borderId="2" xfId="0" applyNumberFormat="1" applyFont="1" applyBorder="1" applyAlignment="1">
      <alignment horizontal="center" vertical="center"/>
    </xf>
    <xf numFmtId="0" fontId="100" fillId="45" borderId="43" xfId="0" applyFont="1" applyFill="1" applyBorder="1" applyAlignment="1">
      <alignment horizontal="center" vertical="center"/>
    </xf>
    <xf numFmtId="0" fontId="101" fillId="45" borderId="43" xfId="0" applyFont="1" applyFill="1" applyBorder="1" applyAlignment="1">
      <alignment horizontal="left" vertical="center"/>
    </xf>
    <xf numFmtId="0" fontId="102" fillId="45" borderId="43" xfId="0" applyFont="1" applyFill="1" applyBorder="1" applyAlignment="1">
      <alignment horizontal="center" vertical="center"/>
    </xf>
    <xf numFmtId="0" fontId="100" fillId="46" borderId="43" xfId="0" applyFont="1" applyFill="1" applyBorder="1" applyAlignment="1">
      <alignment horizontal="center" vertical="center"/>
    </xf>
    <xf numFmtId="0" fontId="103" fillId="47" borderId="43" xfId="0" applyFont="1" applyFill="1" applyBorder="1" applyAlignment="1">
      <alignment horizontal="center" vertical="center"/>
    </xf>
    <xf numFmtId="0" fontId="104" fillId="48" borderId="43" xfId="0" applyFont="1" applyFill="1" applyBorder="1" applyAlignment="1">
      <alignment horizontal="center" vertical="center"/>
    </xf>
    <xf numFmtId="0" fontId="105" fillId="49" borderId="43" xfId="0" applyFont="1" applyFill="1" applyBorder="1" applyAlignment="1">
      <alignment horizontal="center" vertical="center"/>
    </xf>
    <xf numFmtId="0" fontId="106" fillId="50" borderId="43" xfId="0" applyFont="1" applyFill="1" applyBorder="1" applyAlignment="1">
      <alignment horizontal="center" vertical="center"/>
    </xf>
    <xf numFmtId="0" fontId="107" fillId="51" borderId="43" xfId="0" applyFont="1" applyFill="1" applyBorder="1" applyAlignment="1">
      <alignment horizontal="center" vertical="center"/>
    </xf>
    <xf numFmtId="0" fontId="108" fillId="52" borderId="43" xfId="0" applyFont="1" applyFill="1" applyBorder="1" applyAlignment="1">
      <alignment horizontal="center" vertical="center"/>
    </xf>
    <xf numFmtId="0" fontId="109" fillId="53" borderId="43" xfId="0" applyFont="1" applyFill="1" applyBorder="1" applyAlignment="1">
      <alignment horizontal="center" vertical="center"/>
    </xf>
    <xf numFmtId="0" fontId="110" fillId="54" borderId="43" xfId="0" applyFont="1" applyFill="1" applyBorder="1" applyAlignment="1">
      <alignment horizontal="center" vertical="center"/>
    </xf>
    <xf numFmtId="0" fontId="112" fillId="55" borderId="43" xfId="0" applyFont="1" applyFill="1" applyBorder="1" applyAlignment="1">
      <alignment horizontal="center" vertical="center"/>
    </xf>
    <xf numFmtId="0" fontId="113" fillId="55" borderId="43" xfId="0" applyFont="1" applyFill="1" applyBorder="1" applyAlignment="1">
      <alignment horizontal="left" vertical="center"/>
    </xf>
    <xf numFmtId="0" fontId="114" fillId="55" borderId="43" xfId="0" applyFont="1" applyFill="1" applyBorder="1" applyAlignment="1">
      <alignment horizontal="center" vertical="center"/>
    </xf>
    <xf numFmtId="0" fontId="115" fillId="55" borderId="43" xfId="0" applyFont="1" applyFill="1" applyBorder="1" applyAlignment="1">
      <alignment horizontal="center" vertical="center"/>
    </xf>
    <xf numFmtId="0" fontId="116" fillId="55" borderId="43" xfId="0" applyFont="1" applyFill="1" applyBorder="1" applyAlignment="1">
      <alignment horizontal="center" vertical="center"/>
    </xf>
    <xf numFmtId="0" fontId="117" fillId="55" borderId="43" xfId="0" applyFont="1" applyFill="1" applyBorder="1" applyAlignment="1">
      <alignment horizontal="center" vertical="center"/>
    </xf>
    <xf numFmtId="0" fontId="118" fillId="55" borderId="43" xfId="0" applyFont="1" applyFill="1" applyBorder="1" applyAlignment="1">
      <alignment horizontal="center" vertical="center"/>
    </xf>
    <xf numFmtId="0" fontId="119" fillId="55" borderId="43" xfId="0" applyFont="1" applyFill="1" applyBorder="1" applyAlignment="1">
      <alignment horizontal="center" vertical="center"/>
    </xf>
    <xf numFmtId="0" fontId="120" fillId="55" borderId="43" xfId="0" applyFont="1" applyFill="1" applyBorder="1" applyAlignment="1">
      <alignment horizontal="center" vertical="center"/>
    </xf>
    <xf numFmtId="0" fontId="121" fillId="55" borderId="43" xfId="0" applyFont="1" applyFill="1" applyBorder="1" applyAlignment="1">
      <alignment horizontal="center" vertical="center"/>
    </xf>
    <xf numFmtId="0" fontId="122" fillId="55" borderId="43" xfId="0" applyFont="1" applyFill="1" applyBorder="1" applyAlignment="1">
      <alignment horizontal="center" vertical="center"/>
    </xf>
    <xf numFmtId="0" fontId="111" fillId="52" borderId="0" xfId="0" applyFont="1" applyFill="1" applyAlignment="1">
      <alignment horizontal="left" vertical="center"/>
    </xf>
    <xf numFmtId="0" fontId="111" fillId="52" borderId="0" xfId="0" applyFont="1" applyFill="1" applyAlignment="1">
      <alignment horizontal="center" vertical="center"/>
    </xf>
    <xf numFmtId="0" fontId="112" fillId="56" borderId="43" xfId="0" applyFont="1" applyFill="1" applyBorder="1" applyAlignment="1">
      <alignment horizontal="center" vertical="center"/>
    </xf>
    <xf numFmtId="0" fontId="113" fillId="56" borderId="43" xfId="0" applyFont="1" applyFill="1" applyBorder="1" applyAlignment="1">
      <alignment horizontal="left" vertical="center"/>
    </xf>
    <xf numFmtId="0" fontId="114" fillId="56" borderId="43" xfId="0" applyFont="1" applyFill="1" applyBorder="1" applyAlignment="1">
      <alignment horizontal="center" vertical="center"/>
    </xf>
    <xf numFmtId="0" fontId="115" fillId="56" borderId="43" xfId="0" applyFont="1" applyFill="1" applyBorder="1" applyAlignment="1">
      <alignment horizontal="center" vertical="center"/>
    </xf>
    <xf numFmtId="0" fontId="116" fillId="56" borderId="43" xfId="0" applyFont="1" applyFill="1" applyBorder="1" applyAlignment="1">
      <alignment horizontal="center" vertical="center"/>
    </xf>
    <xf numFmtId="0" fontId="117" fillId="56" borderId="43" xfId="0" applyFont="1" applyFill="1" applyBorder="1" applyAlignment="1">
      <alignment horizontal="center" vertical="center"/>
    </xf>
    <xf numFmtId="0" fontId="118" fillId="56" borderId="43" xfId="0" applyFont="1" applyFill="1" applyBorder="1" applyAlignment="1">
      <alignment horizontal="center" vertical="center"/>
    </xf>
    <xf numFmtId="0" fontId="119" fillId="56" borderId="43" xfId="0" applyFont="1" applyFill="1" applyBorder="1" applyAlignment="1">
      <alignment horizontal="center" vertical="center"/>
    </xf>
    <xf numFmtId="0" fontId="120" fillId="56" borderId="43" xfId="0" applyFont="1" applyFill="1" applyBorder="1" applyAlignment="1">
      <alignment horizontal="center" vertical="center"/>
    </xf>
    <xf numFmtId="0" fontId="121" fillId="56" borderId="43" xfId="0" applyFont="1" applyFill="1" applyBorder="1" applyAlignment="1">
      <alignment horizontal="center" vertical="center"/>
    </xf>
    <xf numFmtId="0" fontId="122" fillId="56" borderId="43" xfId="0" applyFont="1" applyFill="1" applyBorder="1" applyAlignment="1">
      <alignment horizontal="center" vertical="center"/>
    </xf>
    <xf numFmtId="0" fontId="113" fillId="45" borderId="43" xfId="0" applyFont="1" applyFill="1" applyBorder="1" applyAlignment="1">
      <alignment horizontal="center" vertical="center"/>
    </xf>
    <xf numFmtId="0" fontId="123" fillId="45" borderId="43" xfId="0" applyFont="1" applyFill="1" applyBorder="1" applyAlignment="1">
      <alignment horizontal="left" vertical="center"/>
    </xf>
    <xf numFmtId="0" fontId="123" fillId="45" borderId="43" xfId="0" applyFont="1" applyFill="1" applyBorder="1" applyAlignment="1">
      <alignment horizontal="center" vertical="center"/>
    </xf>
    <xf numFmtId="0" fontId="124" fillId="45" borderId="43" xfId="0" applyFont="1" applyFill="1" applyBorder="1" applyAlignment="1">
      <alignment horizontal="center" vertical="center"/>
    </xf>
    <xf numFmtId="0" fontId="101" fillId="46" borderId="43" xfId="0" applyFont="1" applyFill="1" applyBorder="1" applyAlignment="1">
      <alignment horizontal="center" vertical="center"/>
    </xf>
    <xf numFmtId="0" fontId="125" fillId="47" borderId="43" xfId="0" applyFont="1" applyFill="1" applyBorder="1" applyAlignment="1">
      <alignment horizontal="center" vertical="center"/>
    </xf>
    <xf numFmtId="0" fontId="126" fillId="48" borderId="43" xfId="0" applyFont="1" applyFill="1" applyBorder="1" applyAlignment="1">
      <alignment horizontal="center" vertical="center"/>
    </xf>
    <xf numFmtId="0" fontId="127" fillId="49" borderId="43" xfId="0" applyFont="1" applyFill="1" applyBorder="1" applyAlignment="1">
      <alignment horizontal="center" vertical="center"/>
    </xf>
    <xf numFmtId="0" fontId="128" fillId="50" borderId="43" xfId="0" applyFont="1" applyFill="1" applyBorder="1" applyAlignment="1">
      <alignment horizontal="center" vertical="center"/>
    </xf>
    <xf numFmtId="0" fontId="129" fillId="51" borderId="43" xfId="0" applyFont="1" applyFill="1" applyBorder="1" applyAlignment="1">
      <alignment horizontal="center" vertical="center"/>
    </xf>
    <xf numFmtId="0" fontId="130" fillId="52" borderId="43" xfId="0" applyFont="1" applyFill="1" applyBorder="1" applyAlignment="1">
      <alignment horizontal="center" vertical="center"/>
    </xf>
    <xf numFmtId="0" fontId="131" fillId="53" borderId="43" xfId="0" applyFont="1" applyFill="1" applyBorder="1" applyAlignment="1">
      <alignment horizontal="center" vertical="center"/>
    </xf>
    <xf numFmtId="0" fontId="28" fillId="57" borderId="14" xfId="0" applyFont="1" applyFill="1" applyBorder="1" applyAlignment="1">
      <alignment horizontal="center" vertical="center" wrapText="1"/>
    </xf>
    <xf numFmtId="166" fontId="29" fillId="58" borderId="15" xfId="0" applyNumberFormat="1" applyFont="1" applyFill="1" applyBorder="1" applyAlignment="1">
      <alignment horizontal="center" vertical="center" wrapText="1"/>
    </xf>
    <xf numFmtId="0" fontId="29" fillId="57" borderId="14" xfId="0" applyFont="1" applyFill="1" applyBorder="1" applyAlignment="1">
      <alignment horizontal="center" vertical="center" wrapText="1"/>
    </xf>
    <xf numFmtId="167" fontId="28" fillId="57" borderId="14" xfId="0" applyNumberFormat="1" applyFont="1" applyFill="1" applyBorder="1" applyAlignment="1">
      <alignment horizontal="center" vertical="center" wrapText="1"/>
    </xf>
    <xf numFmtId="0" fontId="28" fillId="57" borderId="14" xfId="0" applyFont="1" applyFill="1" applyBorder="1" applyAlignment="1">
      <alignment horizontal="left" vertical="center"/>
    </xf>
    <xf numFmtId="0" fontId="4" fillId="2" borderId="1" xfId="0" applyFont="1" applyFill="1" applyBorder="1" applyAlignment="1">
      <alignment horizontal="center" vertical="center" wrapText="1"/>
    </xf>
    <xf numFmtId="0" fontId="0" fillId="0" borderId="32" xfId="0" applyBorder="1"/>
    <xf numFmtId="0" fontId="0" fillId="0" borderId="33" xfId="0" applyBorder="1"/>
    <xf numFmtId="168" fontId="13" fillId="2" borderId="0" xfId="0" applyNumberFormat="1" applyFont="1" applyFill="1" applyAlignment="1">
      <alignment horizontal="left" vertical="center"/>
    </xf>
    <xf numFmtId="0" fontId="0" fillId="0" borderId="0" xfId="0"/>
    <xf numFmtId="0" fontId="4" fillId="3" borderId="1" xfId="0" applyFont="1" applyFill="1" applyBorder="1" applyAlignment="1">
      <alignment horizontal="center" vertical="center" wrapText="1"/>
    </xf>
    <xf numFmtId="0" fontId="12" fillId="0" borderId="0" xfId="0" applyFont="1" applyAlignment="1">
      <alignment horizontal="left" vertical="center" wrapText="1"/>
    </xf>
    <xf numFmtId="0" fontId="3" fillId="2" borderId="1" xfId="0" applyFont="1" applyFill="1" applyBorder="1" applyAlignment="1">
      <alignment horizontal="center" vertical="center" wrapText="1"/>
    </xf>
    <xf numFmtId="0" fontId="30" fillId="27" borderId="14" xfId="0" applyFont="1" applyFill="1" applyBorder="1" applyAlignment="1">
      <alignment horizontal="center" vertical="center" wrapText="1"/>
    </xf>
    <xf numFmtId="0" fontId="0" fillId="0" borderId="34" xfId="0" applyBorder="1"/>
    <xf numFmtId="0" fontId="0" fillId="0" borderId="35" xfId="0" applyBorder="1"/>
    <xf numFmtId="0" fontId="31" fillId="0" borderId="0" xfId="0" applyFont="1" applyAlignment="1">
      <alignment horizontal="left" vertical="center" wrapText="1"/>
    </xf>
    <xf numFmtId="0" fontId="26" fillId="23" borderId="0" xfId="0" applyFont="1" applyFill="1" applyAlignment="1">
      <alignment horizontal="left" vertical="center"/>
    </xf>
    <xf numFmtId="0" fontId="25" fillId="22" borderId="0" xfId="0" applyFont="1" applyFill="1" applyAlignment="1">
      <alignment horizontal="center" vertical="center" wrapText="1"/>
    </xf>
    <xf numFmtId="0" fontId="48" fillId="29" borderId="7" xfId="0" applyFont="1" applyFill="1" applyBorder="1" applyAlignment="1">
      <alignment horizontal="right" vertical="center"/>
    </xf>
    <xf numFmtId="0" fontId="0" fillId="0" borderId="36" xfId="0" applyBorder="1"/>
    <xf numFmtId="0" fontId="18" fillId="29" borderId="7" xfId="0" applyFont="1" applyFill="1" applyBorder="1" applyAlignment="1">
      <alignment horizontal="right" vertical="center"/>
    </xf>
    <xf numFmtId="0" fontId="55" fillId="15" borderId="0" xfId="0" applyFont="1" applyFill="1" applyAlignment="1">
      <alignment horizontal="center" vertical="center"/>
    </xf>
    <xf numFmtId="0" fontId="15" fillId="0" borderId="0" xfId="0" applyFont="1" applyAlignment="1">
      <alignment horizontal="center" vertical="center"/>
    </xf>
    <xf numFmtId="0" fontId="18" fillId="18" borderId="7" xfId="0" applyFont="1" applyFill="1" applyBorder="1" applyAlignment="1">
      <alignment horizontal="right" vertical="center"/>
    </xf>
    <xf numFmtId="0" fontId="39" fillId="15" borderId="0" xfId="0" applyFont="1" applyFill="1" applyAlignment="1">
      <alignment horizontal="center" vertical="center"/>
    </xf>
    <xf numFmtId="0" fontId="41" fillId="0" borderId="0" xfId="0" applyFont="1" applyAlignment="1">
      <alignment horizontal="center" vertical="center"/>
    </xf>
    <xf numFmtId="0" fontId="39" fillId="18" borderId="7" xfId="0" applyFont="1" applyFill="1" applyBorder="1" applyAlignment="1">
      <alignment horizontal="center" vertical="center"/>
    </xf>
    <xf numFmtId="0" fontId="0" fillId="0" borderId="20" xfId="0" applyBorder="1"/>
    <xf numFmtId="0" fontId="39" fillId="18" borderId="27" xfId="0" applyFont="1" applyFill="1" applyBorder="1" applyAlignment="1">
      <alignment horizontal="center" vertical="center"/>
    </xf>
    <xf numFmtId="0" fontId="39" fillId="15" borderId="28" xfId="0" applyFont="1" applyFill="1" applyBorder="1" applyAlignment="1">
      <alignment horizontal="center" vertical="center"/>
    </xf>
    <xf numFmtId="0" fontId="0" fillId="0" borderId="9" xfId="0" applyBorder="1"/>
    <xf numFmtId="0" fontId="0" fillId="0" borderId="39" xfId="0" applyBorder="1"/>
    <xf numFmtId="0" fontId="54" fillId="27" borderId="0" xfId="0" applyFont="1" applyFill="1" applyAlignment="1">
      <alignment horizontal="center" vertical="center"/>
    </xf>
    <xf numFmtId="0" fontId="39" fillId="15" borderId="29" xfId="0" applyFont="1" applyFill="1" applyBorder="1" applyAlignment="1">
      <alignment horizontal="center" vertical="center"/>
    </xf>
    <xf numFmtId="0" fontId="0" fillId="0" borderId="37" xfId="0" applyBorder="1"/>
    <xf numFmtId="0" fontId="0" fillId="0" borderId="38" xfId="0" applyBorder="1"/>
    <xf numFmtId="0" fontId="39" fillId="18" borderId="7" xfId="0" applyFont="1" applyFill="1" applyBorder="1" applyAlignment="1">
      <alignment horizontal="right" vertical="center"/>
    </xf>
    <xf numFmtId="0" fontId="99" fillId="46" borderId="43" xfId="0" applyFont="1" applyFill="1" applyBorder="1" applyAlignment="1">
      <alignment horizontal="center" vertical="center"/>
    </xf>
    <xf numFmtId="0" fontId="98" fillId="45" borderId="43" xfId="0" applyFont="1" applyFill="1" applyBorder="1" applyAlignment="1">
      <alignment horizontal="center" vertical="center"/>
    </xf>
    <xf numFmtId="0" fontId="27" fillId="22" borderId="0" xfId="0" applyFont="1" applyFill="1" applyAlignment="1">
      <alignment horizontal="center" vertical="center" wrapText="1"/>
    </xf>
    <xf numFmtId="0" fontId="37" fillId="0" borderId="0" xfId="0" applyFont="1" applyAlignment="1">
      <alignment horizontal="left" vertical="center" wrapText="1"/>
    </xf>
    <xf numFmtId="0" fontId="32" fillId="28" borderId="0" xfId="0" applyFont="1" applyFill="1" applyAlignment="1">
      <alignment horizontal="left" vertical="center" wrapText="1"/>
    </xf>
    <xf numFmtId="0" fontId="21" fillId="37" borderId="0" xfId="0" applyFont="1" applyFill="1" applyAlignment="1">
      <alignment horizontal="center" vertical="center"/>
    </xf>
    <xf numFmtId="0" fontId="21" fillId="37" borderId="26" xfId="0" applyFont="1" applyFill="1" applyBorder="1" applyAlignment="1">
      <alignment horizontal="right" vertical="center"/>
    </xf>
    <xf numFmtId="0" fontId="0" fillId="0" borderId="26" xfId="0" applyBorder="1"/>
    <xf numFmtId="0" fontId="21" fillId="37" borderId="31" xfId="0" applyFont="1" applyFill="1" applyBorder="1" applyAlignment="1">
      <alignment horizontal="center" vertical="center"/>
    </xf>
    <xf numFmtId="0" fontId="0" fillId="0" borderId="40" xfId="0" applyBorder="1"/>
    <xf numFmtId="0" fontId="78" fillId="39" borderId="25" xfId="0" applyFont="1" applyFill="1" applyBorder="1" applyAlignment="1">
      <alignment horizontal="left" vertical="center" wrapText="1"/>
    </xf>
    <xf numFmtId="0" fontId="0" fillId="0" borderId="41" xfId="0" applyBorder="1"/>
    <xf numFmtId="0" fontId="0" fillId="0" borderId="42" xfId="0" applyBorder="1"/>
    <xf numFmtId="0" fontId="77" fillId="2" borderId="25" xfId="0" applyFont="1" applyFill="1" applyBorder="1" applyAlignment="1">
      <alignment horizontal="center" vertical="center" wrapText="1"/>
    </xf>
    <xf numFmtId="0" fontId="57" fillId="38" borderId="25" xfId="0" applyFont="1" applyFill="1" applyBorder="1" applyAlignment="1">
      <alignment horizontal="center" vertical="center" wrapText="1"/>
    </xf>
  </cellXfs>
  <cellStyles count="8">
    <cellStyle name="Normal" xfId="0" builtinId="0"/>
    <cellStyle name="Normal 2" xfId="1" xr:uid="{00000000-0005-0000-0000-000001000000}"/>
    <cellStyle name="Pivot Table Category" xfId="2" xr:uid="{00000000-0005-0000-0000-000002000000}"/>
    <cellStyle name="Pivot Table Corner" xfId="3" xr:uid="{00000000-0005-0000-0000-000003000000}"/>
    <cellStyle name="Pivot Table Field" xfId="4" xr:uid="{00000000-0005-0000-0000-000004000000}"/>
    <cellStyle name="Pivot Table Result" xfId="5" xr:uid="{00000000-0005-0000-0000-000005000000}"/>
    <cellStyle name="Pivot Table Title" xfId="6" xr:uid="{00000000-0005-0000-0000-000006000000}"/>
    <cellStyle name="Pivot Table Value" xfId="7" xr:uid="{00000000-0005-0000-0000-000007000000}"/>
  </cellStyles>
  <dxfs count="29">
    <dxf>
      <fill>
        <patternFill>
          <bgColor theme="7" tint="0.39948728904080327"/>
        </patternFill>
      </fill>
    </dxf>
    <dxf>
      <fill>
        <patternFill>
          <bgColor theme="4" tint="0.59959715567491678"/>
        </patternFill>
      </fill>
    </dxf>
    <dxf>
      <fill>
        <patternFill>
          <bgColor theme="7" tint="0.39957884456923126"/>
        </patternFill>
      </fill>
    </dxf>
    <dxf>
      <fill>
        <patternFill>
          <bgColor theme="4" tint="0.39948728904080327"/>
        </patternFill>
      </fill>
    </dxf>
    <dxf>
      <fill>
        <patternFill>
          <bgColor theme="4" tint="0.39948728904080327"/>
        </patternFill>
      </fill>
    </dxf>
    <dxf>
      <fill>
        <patternFill>
          <bgColor theme="4" tint="0.39948728904080327"/>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48728904080327"/>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7" tint="0.39948728904080327"/>
        </patternFill>
      </fill>
    </dxf>
    <dxf>
      <fill>
        <patternFill>
          <bgColor theme="7" tint="0.39957884456923126"/>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1F3F6"/>
      <rgbColor rgb="FFDEEAF1"/>
      <rgbColor rgb="FFC00000"/>
      <rgbColor rgb="FF277A2D"/>
      <rgbColor rgb="FF250818"/>
      <rgbColor rgb="FF855909"/>
      <rgbColor rgb="FFF5F5F5"/>
      <rgbColor rgb="FF1B5E7B"/>
      <rgbColor rgb="FFB9BEC3"/>
      <rgbColor rgb="FF8B8883"/>
      <rgbColor rgb="FF95B3D7"/>
      <rgbColor rgb="FF7030A0"/>
      <rgbColor rgb="FFFFF9C4"/>
      <rgbColor rgb="FFE3F2FD"/>
      <rgbColor rgb="FF1F4E79"/>
      <rgbColor rgb="FFC85318"/>
      <rgbColor rgb="FF0070C0"/>
      <rgbColor rgb="FFBDD7EE"/>
      <rgbColor rgb="FF1F3864"/>
      <rgbColor rgb="FFFFF3E0"/>
      <rgbColor rgb="FFFFF8E1"/>
      <rgbColor rgb="FFEBF4FA"/>
      <rgbColor rgb="FFF7F5F2"/>
      <rgbColor rgb="FF1B5E20"/>
      <rgbColor rgb="FF2D6A8A"/>
      <rgbColor rgb="FFF8FAFB"/>
      <rgbColor rgb="FFEDE7F6"/>
      <rgbColor rgb="FFE8F5E9"/>
      <rgbColor rgb="FFD6E8F0"/>
      <rgbColor rgb="FFFFF2CC"/>
      <rgbColor rgb="FF9DC3E6"/>
      <rgbColor rgb="FFF4B183"/>
      <rgbColor rgb="FFD0CBC0"/>
      <rgbColor rgb="FFFFD966"/>
      <rgbColor rgb="FF1565C0"/>
      <rgbColor rgb="FF2E75B6"/>
      <rgbColor rgb="FFC8D8E0"/>
      <rgbColor rgb="FFD0D8E0"/>
      <rgbColor rgb="FFFFEBED"/>
      <rgbColor rgb="FFE65100"/>
      <rgbColor rgb="FF63696B"/>
      <rgbColor rgb="FF585858"/>
      <rgbColor rgb="FF002060"/>
      <rgbColor rgb="FF00B050"/>
      <rgbColor rgb="FF18364E"/>
      <rgbColor rgb="FF314753"/>
      <rgbColor rgb="FFC62828"/>
      <rgbColor rgb="FF795548"/>
      <rgbColor rgb="FF4527A0"/>
      <rgbColor rgb="FF1B3A4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H29" sqref="H29"/>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97" t="s">
        <v>0</v>
      </c>
      <c r="C2" s="291"/>
      <c r="D2" s="292"/>
    </row>
    <row r="3" spans="2:4" ht="24" customHeight="1" x14ac:dyDescent="0.25">
      <c r="B3" s="290" t="s">
        <v>1</v>
      </c>
      <c r="C3" s="291"/>
      <c r="D3" s="292"/>
    </row>
    <row r="4" spans="2:4" ht="18" customHeight="1" x14ac:dyDescent="0.25">
      <c r="B4" s="295" t="s">
        <v>2</v>
      </c>
      <c r="C4" s="291"/>
      <c r="D4" s="292"/>
    </row>
    <row r="5" spans="2:4" ht="7.5" customHeight="1" x14ac:dyDescent="0.25"/>
    <row r="6" spans="2:4" ht="21.75" customHeight="1" x14ac:dyDescent="0.25">
      <c r="B6" s="1" t="s">
        <v>3</v>
      </c>
      <c r="C6" s="1" t="s">
        <v>4</v>
      </c>
      <c r="D6" s="2" t="s">
        <v>5</v>
      </c>
    </row>
    <row r="7" spans="2:4" ht="21.75" customHeight="1" x14ac:dyDescent="0.25">
      <c r="B7" s="3" t="s">
        <v>6</v>
      </c>
      <c r="C7" s="4">
        <f>COUNTIFS(Başvuru!B:B,"SBA 26/*",Başvuru!F:F,"&lt;&gt;"&amp;"")</f>
        <v>578</v>
      </c>
      <c r="D7" s="5" t="s">
        <v>7</v>
      </c>
    </row>
    <row r="8" spans="2:4" ht="21.75" customHeight="1" x14ac:dyDescent="0.25">
      <c r="B8" s="3" t="s">
        <v>8</v>
      </c>
      <c r="C8" s="4">
        <f>COUNTA(Sayılar!B4:B26)</f>
        <v>12</v>
      </c>
      <c r="D8" s="5" t="s">
        <v>9</v>
      </c>
    </row>
    <row r="9" spans="2:4" ht="6" customHeight="1" x14ac:dyDescent="0.25"/>
    <row r="10" spans="2:4" ht="21.75" customHeight="1" x14ac:dyDescent="0.25">
      <c r="B10" s="6" t="s">
        <v>10</v>
      </c>
      <c r="C10" s="7">
        <f>COUNTIFS(Başvuru!L:L,"DÜZELTME",Başvuru!F:F,"&lt;&gt;"&amp;"")</f>
        <v>165</v>
      </c>
      <c r="D10" s="5" t="s">
        <v>11</v>
      </c>
    </row>
    <row r="11" spans="2:4" ht="6" customHeight="1" x14ac:dyDescent="0.25"/>
    <row r="12" spans="2:4" ht="21.75" customHeight="1" x14ac:dyDescent="0.25">
      <c r="B12" s="8" t="s">
        <v>12</v>
      </c>
      <c r="C12" s="9"/>
      <c r="D12" s="10" t="s">
        <v>13</v>
      </c>
    </row>
    <row r="13" spans="2:4" ht="21.75" customHeight="1" x14ac:dyDescent="0.25">
      <c r="B13" s="11" t="s">
        <v>14</v>
      </c>
      <c r="C13" s="12">
        <f>COUNTIFS(Başvuru!P:P,"ONAY",Başvuru!F:F,"&lt;&gt;"&amp;"")</f>
        <v>390</v>
      </c>
      <c r="D13" s="13" t="s">
        <v>15</v>
      </c>
    </row>
    <row r="14" spans="2:4" ht="21.75" customHeight="1" x14ac:dyDescent="0.25">
      <c r="B14" s="11" t="s">
        <v>16</v>
      </c>
      <c r="C14" s="12">
        <f>COUNTIFS(Başvuru!L:L,"DÜZELTME",Başvuru!M:M,"&lt;&gt;"&amp;"",Başvuru!F:F,"&lt;&gt;"&amp;"")</f>
        <v>120</v>
      </c>
      <c r="D14" s="13" t="s">
        <v>17</v>
      </c>
    </row>
    <row r="15" spans="2:4" ht="21.75" customHeight="1" x14ac:dyDescent="0.25">
      <c r="B15" s="14" t="s">
        <v>18</v>
      </c>
      <c r="C15" s="15">
        <f>COUNTIFS(Başvuru!L:L,"DÜZELTME",Başvuru!M:M,"",Başvuru!F:F,"&lt;&gt;"&amp;"")</f>
        <v>45</v>
      </c>
      <c r="D15" s="13" t="s">
        <v>19</v>
      </c>
    </row>
    <row r="16" spans="2:4" ht="21.75" customHeight="1" x14ac:dyDescent="0.25">
      <c r="B16" s="16" t="s">
        <v>20</v>
      </c>
      <c r="C16" s="17">
        <f>COUNTIFS(Başvuru!L:L,"KAEK",Başvuru!F:F,"&lt;&gt;"&amp;"")</f>
        <v>7</v>
      </c>
      <c r="D16" s="13" t="s">
        <v>21</v>
      </c>
    </row>
    <row r="17" spans="2:4" ht="21.75" customHeight="1" x14ac:dyDescent="0.25">
      <c r="B17" s="18" t="s">
        <v>22</v>
      </c>
      <c r="C17" s="7">
        <f>COUNTIFS(Başvuru!P:P,"KAPSAM DIŞI",Başvuru!F:F,"&lt;&gt;"&amp;"")</f>
        <v>8</v>
      </c>
      <c r="D17" s="13" t="s">
        <v>23</v>
      </c>
    </row>
    <row r="18" spans="2:4" ht="21.75" customHeight="1" x14ac:dyDescent="0.25">
      <c r="B18" s="19" t="s">
        <v>24</v>
      </c>
      <c r="C18" s="20">
        <f>COUNTIFS(Başvuru!P:P,"RET",Başvuru!F:F,"&lt;&gt;"&amp;"")</f>
        <v>15</v>
      </c>
      <c r="D18" s="13" t="s">
        <v>25</v>
      </c>
    </row>
    <row r="19" spans="2:4" ht="21.75" customHeight="1" x14ac:dyDescent="0.25">
      <c r="B19" s="18" t="s">
        <v>26</v>
      </c>
      <c r="C19" s="7">
        <f>COUNTIFS(Başvuru!P:P,"GERİ ÇEKİLDİ",Başvuru!F:F,"&lt;&gt;"&amp;"")</f>
        <v>4</v>
      </c>
      <c r="D19" s="13" t="s">
        <v>27</v>
      </c>
    </row>
    <row r="20" spans="2:4" ht="6" customHeight="1" x14ac:dyDescent="0.25"/>
    <row r="21" spans="2:4" ht="21.75" customHeight="1" x14ac:dyDescent="0.25">
      <c r="B21" s="3" t="s">
        <v>28</v>
      </c>
      <c r="C21" s="4">
        <f>COUNTIFS(Başvuru!L:L,"GÖRÜŞ",Başvuru!F:F,"&lt;&gt;"&amp;"")</f>
        <v>23</v>
      </c>
      <c r="D21" s="5" t="s">
        <v>29</v>
      </c>
    </row>
    <row r="22" spans="2:4" ht="21.75" customHeight="1" x14ac:dyDescent="0.25">
      <c r="B22" s="21" t="s">
        <v>30</v>
      </c>
      <c r="C22" s="15">
        <f>COUNTIFS(Başvuru!L:L,"",Başvuru!J:J,"&lt;&gt;"&amp;"",Başvuru!F:F,"&lt;&gt;"&amp;"")</f>
        <v>52</v>
      </c>
      <c r="D22" s="5" t="s">
        <v>31</v>
      </c>
    </row>
    <row r="23" spans="2:4" ht="6" customHeight="1" x14ac:dyDescent="0.25"/>
    <row r="24" spans="2:4" ht="21.75" customHeight="1" x14ac:dyDescent="0.25">
      <c r="B24" s="8" t="s">
        <v>32</v>
      </c>
      <c r="C24" s="9"/>
      <c r="D24" s="10" t="s">
        <v>33</v>
      </c>
    </row>
    <row r="25" spans="2:4" ht="21.75" customHeight="1" x14ac:dyDescent="0.25">
      <c r="B25" s="22" t="s">
        <v>34</v>
      </c>
      <c r="C25" s="4">
        <f>COUNTIFS(Başvuru!G:G,"Bireysel Araştırma",Başvuru!F:F,"&lt;&gt;"&amp;"")</f>
        <v>435</v>
      </c>
      <c r="D25" s="13"/>
    </row>
    <row r="26" spans="2:4" ht="21.75" customHeight="1" x14ac:dyDescent="0.25">
      <c r="B26" s="22" t="s">
        <v>35</v>
      </c>
      <c r="C26" s="4">
        <f>COUNTIFS(Başvuru!G:G,"Uzmanlık Tezi",Başvuru!F:F,"&lt;&gt;"&amp;"")</f>
        <v>100</v>
      </c>
      <c r="D26" s="13"/>
    </row>
    <row r="27" spans="2:4" ht="21.75" customHeight="1" x14ac:dyDescent="0.25">
      <c r="B27" s="22" t="s">
        <v>36</v>
      </c>
      <c r="C27" s="4">
        <f>COUNTIFS(Başvuru!G:G,"Yüksek Lisans Tezi",Başvuru!F:F,"&lt;&gt;"&amp;"")</f>
        <v>14</v>
      </c>
      <c r="D27" s="13"/>
    </row>
    <row r="28" spans="2:4" ht="21.75" customHeight="1" x14ac:dyDescent="0.25">
      <c r="B28" s="22" t="s">
        <v>37</v>
      </c>
      <c r="C28" s="4">
        <f>COUNTIFS(Başvuru!G:G,"Doktora Tezi",Başvuru!F:F,"&lt;&gt;"&amp;"")</f>
        <v>29</v>
      </c>
      <c r="D28" s="13"/>
    </row>
    <row r="30" spans="2:4" ht="39.75" customHeight="1" x14ac:dyDescent="0.25">
      <c r="B30" s="296" t="s">
        <v>38</v>
      </c>
      <c r="C30" s="294"/>
      <c r="D30" s="294"/>
    </row>
    <row r="32" spans="2:4" ht="18" customHeight="1" x14ac:dyDescent="0.25">
      <c r="B32" s="293">
        <f ca="1">TODAY()</f>
        <v>46196</v>
      </c>
      <c r="C32" s="294"/>
      <c r="D32" s="294"/>
    </row>
  </sheetData>
  <mergeCells count="5">
    <mergeCell ref="B3:D3"/>
    <mergeCell ref="B32:D32"/>
    <mergeCell ref="B4:D4"/>
    <mergeCell ref="B30:D30"/>
    <mergeCell ref="B2:D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T1694"/>
  <sheetViews>
    <sheetView showZeros="0" tabSelected="1" zoomScale="80" zoomScaleNormal="80" workbookViewId="0">
      <pane xSplit="2" ySplit="1" topLeftCell="E534" activePane="bottomRight" state="frozen"/>
      <selection pane="topRight" activeCell="C1" sqref="C1"/>
      <selection pane="bottomLeft" activeCell="A533" sqref="A533"/>
      <selection pane="bottomRight" activeCell="J540" sqref="J540"/>
    </sheetView>
  </sheetViews>
  <sheetFormatPr defaultColWidth="26" defaultRowHeight="20.25" x14ac:dyDescent="0.25"/>
  <cols>
    <col min="1" max="1" width="6.28515625" style="23" customWidth="1"/>
    <col min="2" max="2" width="18.85546875" style="23" customWidth="1"/>
    <col min="3" max="3" width="48.7109375" style="23" customWidth="1"/>
    <col min="4" max="5" width="60.7109375" style="23" customWidth="1"/>
    <col min="6" max="6" width="50.7109375" style="24" customWidth="1"/>
    <col min="7" max="7" width="18.140625" style="25" customWidth="1"/>
    <col min="8" max="8" width="25.7109375" style="26" customWidth="1"/>
    <col min="9" max="9" width="18.28515625" style="27" customWidth="1"/>
    <col min="10" max="10" width="39.85546875" style="28" customWidth="1"/>
    <col min="11" max="11" width="39.85546875" style="26" customWidth="1"/>
    <col min="12" max="13" width="22" style="25" customWidth="1"/>
    <col min="14" max="15" width="21.140625" style="26" customWidth="1"/>
    <col min="16" max="16" width="20.5703125" style="29" customWidth="1"/>
    <col min="17" max="17" width="39.42578125" style="25" customWidth="1"/>
    <col min="18" max="18" width="20" style="30" customWidth="1"/>
    <col min="19" max="19" width="20.28515625" style="26" customWidth="1"/>
    <col min="20" max="20" width="30.7109375" style="26" customWidth="1"/>
    <col min="21" max="21" width="26" style="26" customWidth="1"/>
    <col min="22" max="16384" width="26" style="26"/>
  </cols>
  <sheetData>
    <row r="1" spans="1:20" s="23" customFormat="1" ht="25.5" customHeight="1" x14ac:dyDescent="0.25">
      <c r="A1" s="31" t="s">
        <v>39</v>
      </c>
      <c r="B1" s="31" t="s">
        <v>40</v>
      </c>
      <c r="C1" s="31" t="s">
        <v>41</v>
      </c>
      <c r="D1" s="31" t="s">
        <v>42</v>
      </c>
      <c r="E1" s="31" t="s">
        <v>43</v>
      </c>
      <c r="F1" s="31" t="s">
        <v>44</v>
      </c>
      <c r="G1" s="31" t="s">
        <v>45</v>
      </c>
      <c r="H1" s="32" t="s">
        <v>46</v>
      </c>
      <c r="I1" s="33" t="s">
        <v>47</v>
      </c>
      <c r="J1" s="31" t="s">
        <v>48</v>
      </c>
      <c r="K1" s="31" t="s">
        <v>49</v>
      </c>
      <c r="L1" s="34" t="s">
        <v>50</v>
      </c>
      <c r="M1" s="35" t="s">
        <v>51</v>
      </c>
      <c r="N1" s="35" t="s">
        <v>52</v>
      </c>
      <c r="O1" s="36" t="s">
        <v>53</v>
      </c>
      <c r="P1" s="35" t="s">
        <v>54</v>
      </c>
      <c r="Q1" s="31" t="s">
        <v>55</v>
      </c>
      <c r="R1" s="37" t="s">
        <v>56</v>
      </c>
      <c r="T1" s="38" t="s">
        <v>57</v>
      </c>
    </row>
    <row r="2" spans="1:20" ht="63" customHeight="1" x14ac:dyDescent="0.25">
      <c r="A2" s="39" t="s">
        <v>58</v>
      </c>
      <c r="B2" s="39" t="s">
        <v>59</v>
      </c>
      <c r="C2" s="40" t="s">
        <v>60</v>
      </c>
      <c r="D2" s="40" t="s">
        <v>61</v>
      </c>
      <c r="E2" s="41" t="s">
        <v>62</v>
      </c>
      <c r="F2" s="41" t="s">
        <v>63</v>
      </c>
      <c r="G2" s="42" t="s">
        <v>34</v>
      </c>
      <c r="H2" s="43"/>
      <c r="I2" s="44">
        <v>46028</v>
      </c>
      <c r="J2" s="40" t="s">
        <v>64</v>
      </c>
      <c r="K2" s="40" t="s">
        <v>65</v>
      </c>
      <c r="L2" s="45" t="s">
        <v>66</v>
      </c>
      <c r="M2" s="46"/>
      <c r="N2" s="46"/>
      <c r="O2" s="45"/>
      <c r="P2" s="46" t="str">
        <f t="shared" ref="P2:P65" si="0">IF(O2&lt;&gt;"",O2, IF(N2&lt;&gt;"",N2, IF(M2&lt;&gt;"",M2, L2)))</f>
        <v>ONAY</v>
      </c>
      <c r="R2" s="47" t="str">
        <f>IF(AND($I2&lt;&gt;"",$I2&gt;=DATE(2026,6,23),COUNTIFS($C:$C,$C2,$I:$I,$I2)&gt;2),"⚠ "&amp;COUNTIFS($C:$C,$C2,$I:$I,$I2)&amp;" BAŞVURU!","")</f>
        <v/>
      </c>
      <c r="S2" s="26" t="str">
        <f>IF(AND(P2="", B2&lt;&gt;""), B2, "")</f>
        <v/>
      </c>
      <c r="T2" s="48" t="s">
        <v>67</v>
      </c>
    </row>
    <row r="3" spans="1:20" ht="94.5" customHeight="1" x14ac:dyDescent="0.25">
      <c r="A3" s="39" t="s">
        <v>68</v>
      </c>
      <c r="B3" s="39" t="s">
        <v>69</v>
      </c>
      <c r="C3" s="40" t="s">
        <v>70</v>
      </c>
      <c r="D3" s="40" t="s">
        <v>71</v>
      </c>
      <c r="E3" s="41" t="s">
        <v>72</v>
      </c>
      <c r="F3" s="41" t="s">
        <v>73</v>
      </c>
      <c r="G3" s="42" t="s">
        <v>34</v>
      </c>
      <c r="H3" s="43"/>
      <c r="I3" s="44">
        <v>46028</v>
      </c>
      <c r="J3" s="40" t="s">
        <v>65</v>
      </c>
      <c r="K3" s="40" t="s">
        <v>74</v>
      </c>
      <c r="L3" s="45" t="s">
        <v>66</v>
      </c>
      <c r="M3" s="46"/>
      <c r="N3" s="46"/>
      <c r="O3" s="45"/>
      <c r="P3" s="46" t="str">
        <f t="shared" si="0"/>
        <v>ONAY</v>
      </c>
      <c r="R3" s="47" t="str">
        <f>IF(AND($I3&lt;&gt;"",$I3&gt;=DATE(2026,6,23),COUNTIFS($C:$C,$C3,$I:$I,$I3)&gt;2),"⚠ "&amp;COUNTIFS($C:$C,$C3,$I:$I,$I3)&amp;" BAŞVURU!","")</f>
        <v/>
      </c>
      <c r="T3" s="48" t="s">
        <v>75</v>
      </c>
    </row>
    <row r="4" spans="1:20" ht="94.5" customHeight="1" x14ac:dyDescent="0.25">
      <c r="A4" s="39" t="s">
        <v>76</v>
      </c>
      <c r="B4" s="39" t="s">
        <v>77</v>
      </c>
      <c r="C4" s="40" t="s">
        <v>78</v>
      </c>
      <c r="D4" s="40" t="s">
        <v>79</v>
      </c>
      <c r="E4" s="41" t="s">
        <v>80</v>
      </c>
      <c r="F4" s="41" t="s">
        <v>81</v>
      </c>
      <c r="G4" s="42" t="s">
        <v>34</v>
      </c>
      <c r="H4" s="43"/>
      <c r="I4" s="44">
        <v>46028</v>
      </c>
      <c r="J4" s="40" t="s">
        <v>82</v>
      </c>
      <c r="K4" s="40" t="s">
        <v>83</v>
      </c>
      <c r="L4" s="46" t="s">
        <v>66</v>
      </c>
      <c r="M4" s="49"/>
      <c r="N4" s="49"/>
      <c r="O4" s="50"/>
      <c r="P4" s="46" t="str">
        <f t="shared" si="0"/>
        <v>ONAY</v>
      </c>
      <c r="R4" s="47" t="str">
        <f>IF(AND($I4&lt;&gt;"",$I4&gt;=DATE(2026,6,23),COUNTIFS($C:$C,$C4,$I:$I,$I4)&gt;2),"⚠ "&amp;COUNTIFS($C:$C,$C4,$I:$I,$I4)&amp;" BAŞVURU!","")</f>
        <v/>
      </c>
      <c r="T4" s="48" t="s">
        <v>84</v>
      </c>
    </row>
    <row r="5" spans="1:20" ht="78.75" customHeight="1" x14ac:dyDescent="0.25">
      <c r="A5" s="39" t="s">
        <v>85</v>
      </c>
      <c r="B5" s="39" t="s">
        <v>86</v>
      </c>
      <c r="C5" s="40" t="s">
        <v>87</v>
      </c>
      <c r="D5" s="51" t="s">
        <v>88</v>
      </c>
      <c r="E5" s="41" t="s">
        <v>89</v>
      </c>
      <c r="F5" s="41" t="s">
        <v>90</v>
      </c>
      <c r="G5" s="42" t="s">
        <v>37</v>
      </c>
      <c r="H5" s="43"/>
      <c r="I5" s="44">
        <v>46028</v>
      </c>
      <c r="J5" s="40" t="s">
        <v>91</v>
      </c>
      <c r="K5" s="40" t="s">
        <v>92</v>
      </c>
      <c r="L5" s="46" t="s">
        <v>93</v>
      </c>
      <c r="M5" s="46" t="s">
        <v>66</v>
      </c>
      <c r="N5" s="46"/>
      <c r="O5" s="45"/>
      <c r="P5" s="46" t="str">
        <f t="shared" si="0"/>
        <v>ONAY</v>
      </c>
      <c r="Q5" s="25" t="s">
        <v>92</v>
      </c>
      <c r="R5" s="47" t="str">
        <f>IF(AND($I5&lt;&gt;"",$I5&gt;=DATE(2026,6,23),COUNTIFS($C:$C,$C5,$I:$I,$I5)&gt;2),"⚠ "&amp;COUNTIFS($C:$C,$C5,$I:$I,$I5)&amp;" BAŞVURU!","")</f>
        <v/>
      </c>
      <c r="T5" s="48" t="s">
        <v>94</v>
      </c>
    </row>
    <row r="6" spans="1:20" ht="47.25" customHeight="1" x14ac:dyDescent="0.25">
      <c r="A6" s="39" t="s">
        <v>95</v>
      </c>
      <c r="B6" s="39" t="s">
        <v>96</v>
      </c>
      <c r="C6" s="40" t="s">
        <v>97</v>
      </c>
      <c r="D6" s="40" t="s">
        <v>98</v>
      </c>
      <c r="E6" s="41" t="s">
        <v>99</v>
      </c>
      <c r="F6" s="41" t="s">
        <v>100</v>
      </c>
      <c r="G6" s="42" t="s">
        <v>37</v>
      </c>
      <c r="H6" s="43"/>
      <c r="I6" s="44">
        <v>46028</v>
      </c>
      <c r="J6" s="40" t="s">
        <v>101</v>
      </c>
      <c r="K6" s="40" t="s">
        <v>102</v>
      </c>
      <c r="L6" s="46" t="s">
        <v>93</v>
      </c>
      <c r="M6" s="46" t="s">
        <v>66</v>
      </c>
      <c r="N6" s="46"/>
      <c r="O6" s="45"/>
      <c r="P6" s="46" t="str">
        <f t="shared" si="0"/>
        <v>ONAY</v>
      </c>
      <c r="Q6" s="25" t="s">
        <v>102</v>
      </c>
      <c r="R6" s="47" t="str">
        <f>IF(AND($I6&lt;&gt;"",$I6&gt;=DATE(2026,6,23),COUNTIFS($C:$C,$C6,$I:$I,$I6)&gt;2),"⚠ "&amp;COUNTIFS($C:$C,$C6,$I:$I,$I6)&amp;" BAŞVURU!","")</f>
        <v/>
      </c>
      <c r="T6" s="48" t="s">
        <v>103</v>
      </c>
    </row>
    <row r="7" spans="1:20" ht="63" customHeight="1" x14ac:dyDescent="0.25">
      <c r="A7" s="39" t="s">
        <v>104</v>
      </c>
      <c r="B7" s="39" t="s">
        <v>105</v>
      </c>
      <c r="C7" s="40" t="s">
        <v>106</v>
      </c>
      <c r="D7" s="40" t="s">
        <v>107</v>
      </c>
      <c r="E7" s="41" t="s">
        <v>108</v>
      </c>
      <c r="F7" s="41" t="s">
        <v>109</v>
      </c>
      <c r="G7" s="42" t="s">
        <v>34</v>
      </c>
      <c r="H7" s="43"/>
      <c r="I7" s="44">
        <v>46028</v>
      </c>
      <c r="J7" s="40" t="s">
        <v>74</v>
      </c>
      <c r="K7" s="40" t="s">
        <v>110</v>
      </c>
      <c r="L7" s="46" t="s">
        <v>66</v>
      </c>
      <c r="M7" s="46"/>
      <c r="N7" s="46"/>
      <c r="O7" s="45"/>
      <c r="P7" s="46" t="str">
        <f t="shared" si="0"/>
        <v>ONAY</v>
      </c>
      <c r="R7" s="47" t="str">
        <f>IF(AND($I7&lt;&gt;"",$I7&gt;=DATE(2026,6,23),COUNTIFS($C:$C,$C7,$I:$I,$I7)&gt;2),"⚠ "&amp;COUNTIFS($C:$C,$C7,$I:$I,$I7)&amp;" BAŞVURU!","")</f>
        <v/>
      </c>
      <c r="T7" s="48" t="s">
        <v>111</v>
      </c>
    </row>
    <row r="8" spans="1:20" ht="47.25" customHeight="1" x14ac:dyDescent="0.25">
      <c r="A8" s="39" t="s">
        <v>112</v>
      </c>
      <c r="B8" s="39" t="s">
        <v>113</v>
      </c>
      <c r="C8" s="40" t="s">
        <v>114</v>
      </c>
      <c r="D8" s="40" t="s">
        <v>115</v>
      </c>
      <c r="E8" s="41" t="s">
        <v>116</v>
      </c>
      <c r="F8" s="41" t="s">
        <v>117</v>
      </c>
      <c r="G8" s="42" t="s">
        <v>35</v>
      </c>
      <c r="H8" s="43"/>
      <c r="I8" s="44">
        <v>46028</v>
      </c>
      <c r="J8" s="40" t="s">
        <v>118</v>
      </c>
      <c r="K8" s="40" t="s">
        <v>110</v>
      </c>
      <c r="L8" s="46" t="s">
        <v>66</v>
      </c>
      <c r="M8" s="46"/>
      <c r="N8" s="46"/>
      <c r="O8" s="45"/>
      <c r="P8" s="46" t="str">
        <f t="shared" si="0"/>
        <v>ONAY</v>
      </c>
      <c r="R8" s="47" t="str">
        <f>IF(AND($I8&lt;&gt;"",$I8&gt;=DATE(2026,6,23),COUNTIFS($C:$C,$C8,$I:$I,$I8)&gt;2),"⚠ "&amp;COUNTIFS($C:$C,$C8,$I:$I,$I8)&amp;" BAŞVURU!","")</f>
        <v/>
      </c>
      <c r="T8" s="48" t="s">
        <v>119</v>
      </c>
    </row>
    <row r="9" spans="1:20" ht="63" customHeight="1" x14ac:dyDescent="0.25">
      <c r="A9" s="39" t="s">
        <v>120</v>
      </c>
      <c r="B9" s="39" t="s">
        <v>121</v>
      </c>
      <c r="C9" s="40" t="s">
        <v>122</v>
      </c>
      <c r="D9" s="40" t="s">
        <v>107</v>
      </c>
      <c r="E9" s="41" t="s">
        <v>123</v>
      </c>
      <c r="F9" s="41" t="s">
        <v>124</v>
      </c>
      <c r="G9" s="42" t="s">
        <v>35</v>
      </c>
      <c r="H9" s="43"/>
      <c r="I9" s="44">
        <v>46028</v>
      </c>
      <c r="J9" s="40" t="s">
        <v>91</v>
      </c>
      <c r="K9" s="40" t="s">
        <v>125</v>
      </c>
      <c r="L9" s="46" t="s">
        <v>66</v>
      </c>
      <c r="M9" s="46"/>
      <c r="N9" s="46"/>
      <c r="O9" s="45"/>
      <c r="P9" s="46" t="str">
        <f t="shared" si="0"/>
        <v>ONAY</v>
      </c>
      <c r="R9" s="47" t="str">
        <f>IF(AND($I9&lt;&gt;"",$I9&gt;=DATE(2026,6,23),COUNTIFS($C:$C,$C9,$I:$I,$I9)&gt;2),"⚠ "&amp;COUNTIFS($C:$C,$C9,$I:$I,$I9)&amp;" BAŞVURU!","")</f>
        <v/>
      </c>
      <c r="T9" s="48" t="s">
        <v>126</v>
      </c>
    </row>
    <row r="10" spans="1:20" ht="110.25" customHeight="1" x14ac:dyDescent="0.25">
      <c r="A10" s="39" t="s">
        <v>127</v>
      </c>
      <c r="B10" s="39" t="s">
        <v>128</v>
      </c>
      <c r="C10" s="40" t="s">
        <v>129</v>
      </c>
      <c r="D10" s="40" t="s">
        <v>130</v>
      </c>
      <c r="E10" s="41" t="s">
        <v>131</v>
      </c>
      <c r="F10" s="41" t="s">
        <v>132</v>
      </c>
      <c r="G10" s="42" t="s">
        <v>34</v>
      </c>
      <c r="H10" s="43"/>
      <c r="I10" s="44">
        <v>46028</v>
      </c>
      <c r="J10" s="40" t="s">
        <v>92</v>
      </c>
      <c r="K10" s="40" t="s">
        <v>65</v>
      </c>
      <c r="L10" s="46" t="s">
        <v>66</v>
      </c>
      <c r="M10" s="46"/>
      <c r="N10" s="46"/>
      <c r="O10" s="45"/>
      <c r="P10" s="46" t="str">
        <f t="shared" si="0"/>
        <v>ONAY</v>
      </c>
      <c r="R10" s="47" t="str">
        <f>IF(AND($I10&lt;&gt;"",$I10&gt;=DATE(2026,6,23),COUNTIFS($C:$C,$C10,$I:$I,$I10)&gt;2),"⚠ "&amp;COUNTIFS($C:$C,$C10,$I:$I,$I10)&amp;" BAŞVURU!","")</f>
        <v/>
      </c>
      <c r="T10" s="48" t="s">
        <v>133</v>
      </c>
    </row>
    <row r="11" spans="1:20" ht="94.5" customHeight="1" x14ac:dyDescent="0.25">
      <c r="A11" s="39" t="s">
        <v>134</v>
      </c>
      <c r="B11" s="39" t="s">
        <v>135</v>
      </c>
      <c r="C11" s="40" t="s">
        <v>136</v>
      </c>
      <c r="D11" s="40" t="s">
        <v>137</v>
      </c>
      <c r="E11" s="41" t="s">
        <v>138</v>
      </c>
      <c r="F11" s="41" t="s">
        <v>139</v>
      </c>
      <c r="G11" s="42" t="s">
        <v>37</v>
      </c>
      <c r="H11" s="43"/>
      <c r="I11" s="44">
        <v>46028</v>
      </c>
      <c r="J11" s="40" t="s">
        <v>118</v>
      </c>
      <c r="K11" s="40" t="s">
        <v>64</v>
      </c>
      <c r="L11" s="46" t="s">
        <v>93</v>
      </c>
      <c r="M11" s="46" t="s">
        <v>66</v>
      </c>
      <c r="N11" s="46"/>
      <c r="O11" s="45"/>
      <c r="P11" s="46" t="str">
        <f t="shared" si="0"/>
        <v>ONAY</v>
      </c>
      <c r="Q11" s="25" t="s">
        <v>64</v>
      </c>
      <c r="R11" s="47" t="str">
        <f>IF(AND($I11&lt;&gt;"",$I11&gt;=DATE(2026,6,23),COUNTIFS($C:$C,$C11,$I:$I,$I11)&gt;2),"⚠ "&amp;COUNTIFS($C:$C,$C11,$I:$I,$I11)&amp;" BAŞVURU!","")</f>
        <v/>
      </c>
      <c r="T11" s="48" t="s">
        <v>140</v>
      </c>
    </row>
    <row r="12" spans="1:20" ht="78.75" customHeight="1" x14ac:dyDescent="0.25">
      <c r="A12" s="39" t="s">
        <v>141</v>
      </c>
      <c r="B12" s="39" t="s">
        <v>142</v>
      </c>
      <c r="C12" s="40" t="s">
        <v>143</v>
      </c>
      <c r="D12" s="40" t="s">
        <v>107</v>
      </c>
      <c r="E12" s="41" t="s">
        <v>144</v>
      </c>
      <c r="F12" s="41" t="s">
        <v>145</v>
      </c>
      <c r="G12" s="42" t="s">
        <v>34</v>
      </c>
      <c r="H12" s="43"/>
      <c r="I12" s="44">
        <v>46028</v>
      </c>
      <c r="J12" s="40" t="s">
        <v>125</v>
      </c>
      <c r="K12" s="40" t="s">
        <v>101</v>
      </c>
      <c r="L12" s="46" t="s">
        <v>66</v>
      </c>
      <c r="M12" s="46"/>
      <c r="N12" s="46"/>
      <c r="O12" s="45"/>
      <c r="P12" s="46" t="str">
        <f t="shared" si="0"/>
        <v>ONAY</v>
      </c>
      <c r="R12" s="47" t="str">
        <f>IF(AND($I12&lt;&gt;"",$I12&gt;=DATE(2026,6,23),COUNTIFS($C:$C,$C12,$I:$I,$I12)&gt;2),"⚠ "&amp;COUNTIFS($C:$C,$C12,$I:$I,$I12)&amp;" BAŞVURU!","")</f>
        <v/>
      </c>
      <c r="T12" s="48" t="s">
        <v>146</v>
      </c>
    </row>
    <row r="13" spans="1:20" ht="78.75" customHeight="1" x14ac:dyDescent="0.25">
      <c r="A13" s="39" t="s">
        <v>147</v>
      </c>
      <c r="B13" s="39" t="s">
        <v>148</v>
      </c>
      <c r="C13" s="40" t="s">
        <v>149</v>
      </c>
      <c r="D13" s="40" t="s">
        <v>150</v>
      </c>
      <c r="E13" s="41" t="s">
        <v>151</v>
      </c>
      <c r="F13" s="41" t="s">
        <v>152</v>
      </c>
      <c r="G13" s="42" t="s">
        <v>35</v>
      </c>
      <c r="H13" s="43"/>
      <c r="I13" s="44">
        <v>46028</v>
      </c>
      <c r="J13" s="40" t="s">
        <v>83</v>
      </c>
      <c r="K13" s="40" t="s">
        <v>102</v>
      </c>
      <c r="L13" s="46" t="s">
        <v>153</v>
      </c>
      <c r="M13" s="46"/>
      <c r="N13" s="46"/>
      <c r="O13" s="45"/>
      <c r="P13" s="46" t="str">
        <f t="shared" si="0"/>
        <v>KAPSAM DIŞI</v>
      </c>
      <c r="R13" s="47" t="str">
        <f>IF(AND($I13&lt;&gt;"",$I13&gt;=DATE(2026,6,23),COUNTIFS($C:$C,$C13,$I:$I,$I13)&gt;2),"⚠ "&amp;COUNTIFS($C:$C,$C13,$I:$I,$I13)&amp;" BAŞVURU!","")</f>
        <v/>
      </c>
      <c r="T13" s="48" t="s">
        <v>154</v>
      </c>
    </row>
    <row r="14" spans="1:20" ht="63" customHeight="1" x14ac:dyDescent="0.25">
      <c r="A14" s="39" t="s">
        <v>155</v>
      </c>
      <c r="B14" s="39" t="s">
        <v>156</v>
      </c>
      <c r="C14" s="40" t="s">
        <v>157</v>
      </c>
      <c r="D14" s="40" t="s">
        <v>158</v>
      </c>
      <c r="E14" s="41" t="s">
        <v>159</v>
      </c>
      <c r="F14" s="41" t="s">
        <v>160</v>
      </c>
      <c r="G14" s="42" t="s">
        <v>36</v>
      </c>
      <c r="H14" s="43"/>
      <c r="I14" s="44">
        <v>46028</v>
      </c>
      <c r="J14" s="40" t="s">
        <v>82</v>
      </c>
      <c r="K14" s="40" t="s">
        <v>91</v>
      </c>
      <c r="L14" s="46" t="s">
        <v>93</v>
      </c>
      <c r="M14" s="46" t="s">
        <v>66</v>
      </c>
      <c r="N14" s="46"/>
      <c r="O14" s="45"/>
      <c r="P14" s="46" t="str">
        <f t="shared" si="0"/>
        <v>ONAY</v>
      </c>
      <c r="Q14" s="25" t="s">
        <v>82</v>
      </c>
      <c r="R14" s="47" t="str">
        <f>IF(AND($I14&lt;&gt;"",$I14&gt;=DATE(2026,6,23),COUNTIFS($C:$C,$C14,$I:$I,$I14)&gt;2),"⚠ "&amp;COUNTIFS($C:$C,$C14,$I:$I,$I14)&amp;" BAŞVURU!","")</f>
        <v/>
      </c>
      <c r="T14" s="48" t="s">
        <v>161</v>
      </c>
    </row>
    <row r="15" spans="1:20" ht="78.75" customHeight="1" x14ac:dyDescent="0.25">
      <c r="A15" s="39" t="s">
        <v>162</v>
      </c>
      <c r="B15" s="39" t="s">
        <v>163</v>
      </c>
      <c r="C15" s="40" t="s">
        <v>164</v>
      </c>
      <c r="D15" s="40" t="s">
        <v>165</v>
      </c>
      <c r="E15" s="41" t="s">
        <v>166</v>
      </c>
      <c r="F15" s="41" t="s">
        <v>167</v>
      </c>
      <c r="G15" s="42" t="s">
        <v>34</v>
      </c>
      <c r="H15" s="43"/>
      <c r="I15" s="44">
        <v>46028</v>
      </c>
      <c r="J15" s="40" t="s">
        <v>110</v>
      </c>
      <c r="K15" s="40" t="s">
        <v>65</v>
      </c>
      <c r="L15" s="46" t="s">
        <v>66</v>
      </c>
      <c r="M15" s="46"/>
      <c r="N15" s="46"/>
      <c r="O15" s="45"/>
      <c r="P15" s="46" t="str">
        <f t="shared" si="0"/>
        <v>ONAY</v>
      </c>
      <c r="R15" s="47" t="str">
        <f>IF(AND($I15&lt;&gt;"",$I15&gt;=DATE(2026,6,23),COUNTIFS($C:$C,$C15,$I:$I,$I15)&gt;2),"⚠ "&amp;COUNTIFS($C:$C,$C15,$I:$I,$I15)&amp;" BAŞVURU!","")</f>
        <v/>
      </c>
      <c r="T15" s="48" t="s">
        <v>168</v>
      </c>
    </row>
    <row r="16" spans="1:20" ht="94.5" customHeight="1" x14ac:dyDescent="0.25">
      <c r="A16" s="39" t="s">
        <v>169</v>
      </c>
      <c r="B16" s="39" t="s">
        <v>170</v>
      </c>
      <c r="C16" s="40" t="s">
        <v>171</v>
      </c>
      <c r="D16" s="40" t="s">
        <v>172</v>
      </c>
      <c r="E16" s="41" t="s">
        <v>173</v>
      </c>
      <c r="F16" s="41" t="s">
        <v>174</v>
      </c>
      <c r="G16" s="42" t="s">
        <v>34</v>
      </c>
      <c r="H16" s="43"/>
      <c r="I16" s="44">
        <v>46028</v>
      </c>
      <c r="J16" s="40" t="s">
        <v>102</v>
      </c>
      <c r="K16" s="40" t="s">
        <v>74</v>
      </c>
      <c r="L16" s="46" t="s">
        <v>175</v>
      </c>
      <c r="M16" s="46" t="s">
        <v>93</v>
      </c>
      <c r="N16" s="46" t="s">
        <v>93</v>
      </c>
      <c r="O16" s="45"/>
      <c r="P16" s="46" t="str">
        <f t="shared" si="0"/>
        <v>DÜZELTME</v>
      </c>
      <c r="R16" s="47" t="str">
        <f>IF(AND($I16&lt;&gt;"",$I16&gt;=DATE(2026,6,23),COUNTIFS($C:$C,$C16,$I:$I,$I16)&gt;2),"⚠ "&amp;COUNTIFS($C:$C,$C16,$I:$I,$I16)&amp;" BAŞVURU!","")</f>
        <v/>
      </c>
      <c r="T16" s="48" t="s">
        <v>176</v>
      </c>
    </row>
    <row r="17" spans="1:20" ht="94.5" customHeight="1" x14ac:dyDescent="0.25">
      <c r="A17" s="39" t="s">
        <v>177</v>
      </c>
      <c r="B17" s="39" t="s">
        <v>178</v>
      </c>
      <c r="C17" s="40" t="s">
        <v>179</v>
      </c>
      <c r="D17" s="40" t="s">
        <v>172</v>
      </c>
      <c r="E17" s="41" t="s">
        <v>180</v>
      </c>
      <c r="F17" s="41" t="s">
        <v>181</v>
      </c>
      <c r="G17" s="42" t="s">
        <v>34</v>
      </c>
      <c r="H17" s="43"/>
      <c r="I17" s="44">
        <v>46028</v>
      </c>
      <c r="J17" s="40" t="s">
        <v>125</v>
      </c>
      <c r="K17" s="40" t="s">
        <v>101</v>
      </c>
      <c r="L17" s="46" t="s">
        <v>66</v>
      </c>
      <c r="M17" s="46"/>
      <c r="N17" s="46"/>
      <c r="O17" s="45"/>
      <c r="P17" s="46" t="str">
        <f t="shared" si="0"/>
        <v>ONAY</v>
      </c>
      <c r="R17" s="47" t="str">
        <f>IF(AND($I17&lt;&gt;"",$I17&gt;=DATE(2026,6,23),COUNTIFS($C:$C,$C17,$I:$I,$I17)&gt;2),"⚠ "&amp;COUNTIFS($C:$C,$C17,$I:$I,$I17)&amp;" BAŞVURU!","")</f>
        <v/>
      </c>
      <c r="T17" s="48" t="s">
        <v>182</v>
      </c>
    </row>
    <row r="18" spans="1:20" ht="63" customHeight="1" x14ac:dyDescent="0.25">
      <c r="A18" s="39" t="s">
        <v>183</v>
      </c>
      <c r="B18" s="39" t="s">
        <v>184</v>
      </c>
      <c r="C18" s="40" t="s">
        <v>185</v>
      </c>
      <c r="D18" s="40" t="s">
        <v>186</v>
      </c>
      <c r="E18" s="41" t="s">
        <v>187</v>
      </c>
      <c r="F18" s="41" t="s">
        <v>188</v>
      </c>
      <c r="G18" s="42" t="s">
        <v>35</v>
      </c>
      <c r="H18" s="43"/>
      <c r="I18" s="44">
        <v>46028</v>
      </c>
      <c r="J18" s="40" t="s">
        <v>91</v>
      </c>
      <c r="K18" s="40" t="s">
        <v>92</v>
      </c>
      <c r="L18" s="46" t="s">
        <v>93</v>
      </c>
      <c r="M18" s="46" t="s">
        <v>66</v>
      </c>
      <c r="N18" s="46"/>
      <c r="O18" s="45"/>
      <c r="P18" s="46" t="str">
        <f t="shared" si="0"/>
        <v>ONAY</v>
      </c>
      <c r="Q18" s="25" t="s">
        <v>64</v>
      </c>
      <c r="R18" s="47" t="str">
        <f>IF(AND($I18&lt;&gt;"",$I18&gt;=DATE(2026,6,23),COUNTIFS($C:$C,$C18,$I:$I,$I18)&gt;2),"⚠ "&amp;COUNTIFS($C:$C,$C18,$I:$I,$I18)&amp;" BAŞVURU!","")</f>
        <v/>
      </c>
      <c r="T18" s="48" t="s">
        <v>189</v>
      </c>
    </row>
    <row r="19" spans="1:20" ht="63" customHeight="1" x14ac:dyDescent="0.25">
      <c r="A19" s="39" t="s">
        <v>190</v>
      </c>
      <c r="B19" s="39" t="s">
        <v>191</v>
      </c>
      <c r="C19" s="40" t="s">
        <v>192</v>
      </c>
      <c r="D19" s="40" t="s">
        <v>193</v>
      </c>
      <c r="E19" s="41" t="s">
        <v>194</v>
      </c>
      <c r="F19" s="41" t="s">
        <v>195</v>
      </c>
      <c r="G19" s="42" t="s">
        <v>34</v>
      </c>
      <c r="H19" s="43"/>
      <c r="I19" s="44">
        <v>46028</v>
      </c>
      <c r="J19" s="40" t="s">
        <v>64</v>
      </c>
      <c r="K19" s="40" t="s">
        <v>65</v>
      </c>
      <c r="L19" s="46" t="s">
        <v>66</v>
      </c>
      <c r="M19" s="46"/>
      <c r="N19" s="46"/>
      <c r="O19" s="45"/>
      <c r="P19" s="46" t="str">
        <f t="shared" si="0"/>
        <v>ONAY</v>
      </c>
      <c r="R19" s="47" t="str">
        <f>IF(AND($I19&lt;&gt;"",$I19&gt;=DATE(2026,6,23),COUNTIFS($C:$C,$C19,$I:$I,$I19)&gt;2),"⚠ "&amp;COUNTIFS($C:$C,$C19,$I:$I,$I19)&amp;" BAŞVURU!","")</f>
        <v/>
      </c>
      <c r="T19" s="48" t="s">
        <v>196</v>
      </c>
    </row>
    <row r="20" spans="1:20" ht="76.5" customHeight="1" x14ac:dyDescent="0.25">
      <c r="A20" s="39" t="s">
        <v>197</v>
      </c>
      <c r="B20" s="39" t="s">
        <v>198</v>
      </c>
      <c r="C20" s="40" t="s">
        <v>199</v>
      </c>
      <c r="D20" s="40" t="s">
        <v>200</v>
      </c>
      <c r="E20" s="41" t="s">
        <v>201</v>
      </c>
      <c r="F20" s="41" t="s">
        <v>202</v>
      </c>
      <c r="G20" s="42" t="s">
        <v>34</v>
      </c>
      <c r="H20" s="43"/>
      <c r="I20" s="44">
        <v>46028</v>
      </c>
      <c r="J20" s="40" t="s">
        <v>83</v>
      </c>
      <c r="K20" s="40" t="s">
        <v>125</v>
      </c>
      <c r="L20" s="46" t="s">
        <v>66</v>
      </c>
      <c r="M20" s="46"/>
      <c r="N20" s="46"/>
      <c r="O20" s="45"/>
      <c r="P20" s="46" t="str">
        <f t="shared" si="0"/>
        <v>ONAY</v>
      </c>
      <c r="R20" s="47" t="str">
        <f>IF(AND($I20&lt;&gt;"",$I20&gt;=DATE(2026,6,23),COUNTIFS($C:$C,$C20,$I:$I,$I20)&gt;2),"⚠ "&amp;COUNTIFS($C:$C,$C20,$I:$I,$I20)&amp;" BAŞVURU!","")</f>
        <v/>
      </c>
      <c r="T20" s="48" t="s">
        <v>203</v>
      </c>
    </row>
    <row r="21" spans="1:20" ht="80.25" customHeight="1" x14ac:dyDescent="0.25">
      <c r="A21" s="39" t="s">
        <v>204</v>
      </c>
      <c r="B21" s="39" t="s">
        <v>205</v>
      </c>
      <c r="C21" s="40" t="s">
        <v>199</v>
      </c>
      <c r="D21" s="40" t="s">
        <v>200</v>
      </c>
      <c r="E21" s="41" t="s">
        <v>206</v>
      </c>
      <c r="F21" s="41" t="s">
        <v>207</v>
      </c>
      <c r="G21" s="42" t="s">
        <v>34</v>
      </c>
      <c r="H21" s="43"/>
      <c r="I21" s="44">
        <v>46028</v>
      </c>
      <c r="J21" s="40" t="s">
        <v>82</v>
      </c>
      <c r="K21" s="40" t="s">
        <v>101</v>
      </c>
      <c r="L21" s="46" t="s">
        <v>66</v>
      </c>
      <c r="M21" s="46"/>
      <c r="N21" s="46"/>
      <c r="O21" s="45"/>
      <c r="P21" s="46" t="str">
        <f t="shared" si="0"/>
        <v>ONAY</v>
      </c>
      <c r="R21" s="47" t="str">
        <f>IF(AND($I21&lt;&gt;"",$I21&gt;=DATE(2026,6,23),COUNTIFS($C:$C,$C21,$I:$I,$I21)&gt;2),"⚠ "&amp;COUNTIFS($C:$C,$C21,$I:$I,$I21)&amp;" BAŞVURU!","")</f>
        <v/>
      </c>
      <c r="T21" s="48" t="s">
        <v>208</v>
      </c>
    </row>
    <row r="22" spans="1:20" ht="63" customHeight="1" x14ac:dyDescent="0.25">
      <c r="A22" s="39" t="s">
        <v>209</v>
      </c>
      <c r="B22" s="39" t="s">
        <v>210</v>
      </c>
      <c r="C22" s="40" t="s">
        <v>211</v>
      </c>
      <c r="D22" s="40" t="s">
        <v>212</v>
      </c>
      <c r="E22" s="41" t="s">
        <v>213</v>
      </c>
      <c r="F22" s="41" t="s">
        <v>214</v>
      </c>
      <c r="G22" s="42" t="s">
        <v>37</v>
      </c>
      <c r="H22" s="43"/>
      <c r="I22" s="44">
        <v>46028</v>
      </c>
      <c r="J22" s="40" t="s">
        <v>110</v>
      </c>
      <c r="K22" s="40" t="s">
        <v>102</v>
      </c>
      <c r="L22" s="46" t="s">
        <v>93</v>
      </c>
      <c r="M22" s="46" t="s">
        <v>215</v>
      </c>
      <c r="N22" s="46" t="s">
        <v>66</v>
      </c>
      <c r="O22" s="45"/>
      <c r="P22" s="46" t="str">
        <f t="shared" si="0"/>
        <v>ONAY</v>
      </c>
      <c r="Q22" s="25" t="s">
        <v>110</v>
      </c>
      <c r="R22" s="47" t="str">
        <f>IF(AND($I22&lt;&gt;"",$I22&gt;=DATE(2026,6,23),COUNTIFS($C:$C,$C22,$I:$I,$I22)&gt;2),"⚠ "&amp;COUNTIFS($C:$C,$C22,$I:$I,$I22)&amp;" BAŞVURU!","")</f>
        <v/>
      </c>
      <c r="T22" s="48" t="s">
        <v>216</v>
      </c>
    </row>
    <row r="23" spans="1:20" ht="63" customHeight="1" x14ac:dyDescent="0.25">
      <c r="A23" s="39" t="s">
        <v>217</v>
      </c>
      <c r="B23" s="39" t="s">
        <v>218</v>
      </c>
      <c r="C23" s="40" t="s">
        <v>219</v>
      </c>
      <c r="D23" s="40" t="s">
        <v>130</v>
      </c>
      <c r="E23" s="41" t="s">
        <v>220</v>
      </c>
      <c r="F23" s="41" t="s">
        <v>221</v>
      </c>
      <c r="G23" s="42" t="s">
        <v>35</v>
      </c>
      <c r="H23" s="43"/>
      <c r="I23" s="44">
        <v>46028</v>
      </c>
      <c r="J23" s="40" t="s">
        <v>92</v>
      </c>
      <c r="K23" s="40" t="s">
        <v>74</v>
      </c>
      <c r="L23" s="46" t="s">
        <v>93</v>
      </c>
      <c r="M23" s="46" t="s">
        <v>66</v>
      </c>
      <c r="N23" s="46"/>
      <c r="O23" s="45"/>
      <c r="P23" s="46" t="str">
        <f t="shared" si="0"/>
        <v>ONAY</v>
      </c>
      <c r="Q23" s="25" t="s">
        <v>92</v>
      </c>
      <c r="R23" s="47" t="str">
        <f>IF(AND($I23&lt;&gt;"",$I23&gt;=DATE(2026,6,23),COUNTIFS($C:$C,$C23,$I:$I,$I23)&gt;2),"⚠ "&amp;COUNTIFS($C:$C,$C23,$I:$I,$I23)&amp;" BAŞVURU!","")</f>
        <v/>
      </c>
      <c r="T23" s="48" t="s">
        <v>222</v>
      </c>
    </row>
    <row r="24" spans="1:20" ht="78.75" customHeight="1" x14ac:dyDescent="0.25">
      <c r="A24" s="39" t="s">
        <v>223</v>
      </c>
      <c r="B24" s="39" t="s">
        <v>224</v>
      </c>
      <c r="C24" s="40" t="s">
        <v>225</v>
      </c>
      <c r="D24" s="40" t="s">
        <v>226</v>
      </c>
      <c r="E24" s="41" t="s">
        <v>227</v>
      </c>
      <c r="F24" s="41" t="s">
        <v>228</v>
      </c>
      <c r="G24" s="42" t="s">
        <v>34</v>
      </c>
      <c r="H24" s="43"/>
      <c r="I24" s="44">
        <v>46028</v>
      </c>
      <c r="J24" s="40" t="s">
        <v>118</v>
      </c>
      <c r="K24" s="40" t="s">
        <v>83</v>
      </c>
      <c r="L24" s="46" t="s">
        <v>215</v>
      </c>
      <c r="M24" s="46" t="s">
        <v>229</v>
      </c>
      <c r="N24" s="46"/>
      <c r="O24" s="45"/>
      <c r="P24" s="46" t="str">
        <f t="shared" si="0"/>
        <v>KAEK</v>
      </c>
      <c r="R24" s="47" t="str">
        <f>IF(AND($I24&lt;&gt;"",$I24&gt;=DATE(2026,6,23),COUNTIFS($C:$C,$C24,$I:$I,$I24)&gt;2),"⚠ "&amp;COUNTIFS($C:$C,$C24,$I:$I,$I24)&amp;" BAŞVURU!","")</f>
        <v/>
      </c>
      <c r="T24" s="48" t="s">
        <v>230</v>
      </c>
    </row>
    <row r="25" spans="1:20" ht="94.5" customHeight="1" x14ac:dyDescent="0.25">
      <c r="A25" s="39" t="s">
        <v>231</v>
      </c>
      <c r="B25" s="39" t="s">
        <v>232</v>
      </c>
      <c r="C25" s="40" t="s">
        <v>233</v>
      </c>
      <c r="D25" s="40" t="s">
        <v>234</v>
      </c>
      <c r="E25" s="41" t="s">
        <v>235</v>
      </c>
      <c r="F25" s="41" t="s">
        <v>236</v>
      </c>
      <c r="G25" s="42" t="s">
        <v>34</v>
      </c>
      <c r="H25" s="43"/>
      <c r="I25" s="44">
        <v>46028</v>
      </c>
      <c r="J25" s="40" t="s">
        <v>92</v>
      </c>
      <c r="K25" s="40" t="s">
        <v>101</v>
      </c>
      <c r="L25" s="46" t="s">
        <v>215</v>
      </c>
      <c r="M25" s="46" t="s">
        <v>93</v>
      </c>
      <c r="N25" s="46" t="s">
        <v>66</v>
      </c>
      <c r="O25" s="45"/>
      <c r="P25" s="46" t="str">
        <f t="shared" si="0"/>
        <v>ONAY</v>
      </c>
      <c r="Q25" s="25" t="s">
        <v>101</v>
      </c>
      <c r="R25" s="47" t="str">
        <f>IF(AND($I25&lt;&gt;"",$I25&gt;=DATE(2026,6,23),COUNTIFS($C:$C,$C25,$I:$I,$I25)&gt;2),"⚠ "&amp;COUNTIFS($C:$C,$C25,$I:$I,$I25)&amp;" BAŞVURU!","")</f>
        <v/>
      </c>
      <c r="T25" s="48" t="s">
        <v>237</v>
      </c>
    </row>
    <row r="26" spans="1:20" ht="63" customHeight="1" x14ac:dyDescent="0.25">
      <c r="A26" s="39" t="s">
        <v>238</v>
      </c>
      <c r="B26" s="39" t="s">
        <v>239</v>
      </c>
      <c r="C26" s="40" t="s">
        <v>240</v>
      </c>
      <c r="D26" s="40" t="s">
        <v>241</v>
      </c>
      <c r="E26" s="41" t="s">
        <v>242</v>
      </c>
      <c r="F26" s="41" t="s">
        <v>243</v>
      </c>
      <c r="G26" s="42" t="s">
        <v>34</v>
      </c>
      <c r="H26" s="43"/>
      <c r="I26" s="44">
        <v>46028</v>
      </c>
      <c r="J26" s="40" t="s">
        <v>83</v>
      </c>
      <c r="K26" s="40" t="s">
        <v>65</v>
      </c>
      <c r="L26" s="46" t="s">
        <v>66</v>
      </c>
      <c r="M26" s="46"/>
      <c r="N26" s="46"/>
      <c r="O26" s="45"/>
      <c r="P26" s="46" t="str">
        <f t="shared" si="0"/>
        <v>ONAY</v>
      </c>
      <c r="R26" s="47" t="str">
        <f>IF(AND($I26&lt;&gt;"",$I26&gt;=DATE(2026,6,23),COUNTIFS($C:$C,$C26,$I:$I,$I26)&gt;2),"⚠ "&amp;COUNTIFS($C:$C,$C26,$I:$I,$I26)&amp;" BAŞVURU!","")</f>
        <v/>
      </c>
      <c r="T26" s="48" t="s">
        <v>244</v>
      </c>
    </row>
    <row r="27" spans="1:20" ht="63" customHeight="1" x14ac:dyDescent="0.25">
      <c r="A27" s="39" t="s">
        <v>245</v>
      </c>
      <c r="B27" s="39" t="s">
        <v>246</v>
      </c>
      <c r="C27" s="40" t="s">
        <v>247</v>
      </c>
      <c r="D27" s="40" t="s">
        <v>248</v>
      </c>
      <c r="E27" s="41" t="s">
        <v>249</v>
      </c>
      <c r="F27" s="41" t="s">
        <v>250</v>
      </c>
      <c r="G27" s="42" t="s">
        <v>34</v>
      </c>
      <c r="H27" s="43"/>
      <c r="I27" s="44">
        <v>46028</v>
      </c>
      <c r="J27" s="40" t="s">
        <v>82</v>
      </c>
      <c r="K27" s="40" t="s">
        <v>118</v>
      </c>
      <c r="L27" s="46" t="s">
        <v>66</v>
      </c>
      <c r="M27" s="46"/>
      <c r="N27" s="46"/>
      <c r="O27" s="45"/>
      <c r="P27" s="46" t="str">
        <f t="shared" si="0"/>
        <v>ONAY</v>
      </c>
      <c r="R27" s="47" t="str">
        <f>IF(AND($I27&lt;&gt;"",$I27&gt;=DATE(2026,6,23),COUNTIFS($C:$C,$C27,$I:$I,$I27)&gt;2),"⚠ "&amp;COUNTIFS($C:$C,$C27,$I:$I,$I27)&amp;" BAŞVURU!","")</f>
        <v/>
      </c>
      <c r="T27" s="48" t="s">
        <v>251</v>
      </c>
    </row>
    <row r="28" spans="1:20" ht="63" customHeight="1" x14ac:dyDescent="0.25">
      <c r="A28" s="39" t="s">
        <v>252</v>
      </c>
      <c r="B28" s="39" t="s">
        <v>253</v>
      </c>
      <c r="C28" s="40" t="s">
        <v>164</v>
      </c>
      <c r="D28" s="40" t="s">
        <v>165</v>
      </c>
      <c r="E28" s="41" t="s">
        <v>254</v>
      </c>
      <c r="F28" s="41" t="s">
        <v>255</v>
      </c>
      <c r="G28" s="42" t="s">
        <v>34</v>
      </c>
      <c r="H28" s="43"/>
      <c r="I28" s="44">
        <v>46028</v>
      </c>
      <c r="J28" s="40" t="s">
        <v>110</v>
      </c>
      <c r="K28" s="40" t="s">
        <v>91</v>
      </c>
      <c r="L28" s="46" t="s">
        <v>66</v>
      </c>
      <c r="M28" s="46"/>
      <c r="N28" s="46"/>
      <c r="O28" s="45"/>
      <c r="P28" s="46" t="str">
        <f t="shared" si="0"/>
        <v>ONAY</v>
      </c>
      <c r="R28" s="47" t="str">
        <f>IF(AND($I28&lt;&gt;"",$I28&gt;=DATE(2026,6,23),COUNTIFS($C:$C,$C28,$I:$I,$I28)&gt;2),"⚠ "&amp;COUNTIFS($C:$C,$C28,$I:$I,$I28)&amp;" BAŞVURU!","")</f>
        <v/>
      </c>
      <c r="T28" s="48" t="s">
        <v>256</v>
      </c>
    </row>
    <row r="29" spans="1:20" ht="47.25" customHeight="1" x14ac:dyDescent="0.25">
      <c r="A29" s="39" t="s">
        <v>257</v>
      </c>
      <c r="B29" s="39" t="s">
        <v>258</v>
      </c>
      <c r="C29" s="40" t="s">
        <v>259</v>
      </c>
      <c r="D29" s="40" t="s">
        <v>107</v>
      </c>
      <c r="E29" s="41" t="s">
        <v>260</v>
      </c>
      <c r="F29" s="41" t="s">
        <v>261</v>
      </c>
      <c r="G29" s="42" t="s">
        <v>34</v>
      </c>
      <c r="H29" s="43"/>
      <c r="I29" s="44">
        <v>46028</v>
      </c>
      <c r="J29" s="40" t="s">
        <v>83</v>
      </c>
      <c r="K29" s="40" t="s">
        <v>74</v>
      </c>
      <c r="L29" s="46" t="s">
        <v>66</v>
      </c>
      <c r="M29" s="46"/>
      <c r="N29" s="46"/>
      <c r="O29" s="45"/>
      <c r="P29" s="46" t="str">
        <f t="shared" si="0"/>
        <v>ONAY</v>
      </c>
      <c r="R29" s="47" t="str">
        <f>IF(AND($I29&lt;&gt;"",$I29&gt;=DATE(2026,6,23),COUNTIFS($C:$C,$C29,$I:$I,$I29)&gt;2),"⚠ "&amp;COUNTIFS($C:$C,$C29,$I:$I,$I29)&amp;" BAŞVURU!","")</f>
        <v/>
      </c>
      <c r="T29" s="48" t="s">
        <v>262</v>
      </c>
    </row>
    <row r="30" spans="1:20" ht="63" customHeight="1" x14ac:dyDescent="0.25">
      <c r="A30" s="39" t="s">
        <v>263</v>
      </c>
      <c r="B30" s="39" t="s">
        <v>264</v>
      </c>
      <c r="C30" s="40" t="s">
        <v>265</v>
      </c>
      <c r="D30" s="40" t="s">
        <v>248</v>
      </c>
      <c r="E30" s="41" t="s">
        <v>266</v>
      </c>
      <c r="F30" s="41" t="s">
        <v>267</v>
      </c>
      <c r="G30" s="42" t="s">
        <v>34</v>
      </c>
      <c r="H30" s="44">
        <v>46017</v>
      </c>
      <c r="I30" s="44">
        <v>46028</v>
      </c>
      <c r="J30" s="40" t="s">
        <v>102</v>
      </c>
      <c r="K30" s="40" t="s">
        <v>125</v>
      </c>
      <c r="L30" s="46" t="s">
        <v>66</v>
      </c>
      <c r="M30" s="46"/>
      <c r="N30" s="46"/>
      <c r="O30" s="45"/>
      <c r="P30" s="46" t="str">
        <f t="shared" si="0"/>
        <v>ONAY</v>
      </c>
      <c r="R30" s="47" t="str">
        <f>IF(AND($I30&lt;&gt;"",$I30&gt;=DATE(2026,6,23),COUNTIFS($C:$C,$C30,$I:$I,$I30)&gt;2),"⚠ "&amp;COUNTIFS($C:$C,$C30,$I:$I,$I30)&amp;" BAŞVURU!","")</f>
        <v/>
      </c>
      <c r="T30" s="48" t="s">
        <v>268</v>
      </c>
    </row>
    <row r="31" spans="1:20" ht="93.75" customHeight="1" x14ac:dyDescent="0.25">
      <c r="A31" s="39" t="s">
        <v>269</v>
      </c>
      <c r="B31" s="39" t="s">
        <v>270</v>
      </c>
      <c r="C31" s="40" t="s">
        <v>171</v>
      </c>
      <c r="D31" s="40" t="s">
        <v>172</v>
      </c>
      <c r="E31" s="41" t="s">
        <v>271</v>
      </c>
      <c r="F31" s="41" t="s">
        <v>272</v>
      </c>
      <c r="G31" s="42" t="s">
        <v>34</v>
      </c>
      <c r="H31" s="44">
        <v>46017</v>
      </c>
      <c r="I31" s="44">
        <v>46028</v>
      </c>
      <c r="J31" s="40" t="s">
        <v>102</v>
      </c>
      <c r="K31" s="40" t="s">
        <v>65</v>
      </c>
      <c r="L31" s="46" t="s">
        <v>93</v>
      </c>
      <c r="M31" s="46" t="s">
        <v>66</v>
      </c>
      <c r="N31" s="46"/>
      <c r="O31" s="45"/>
      <c r="P31" s="46" t="str">
        <f t="shared" si="0"/>
        <v>ONAY</v>
      </c>
      <c r="Q31" s="25" t="s">
        <v>102</v>
      </c>
      <c r="R31" s="47" t="str">
        <f>IF(AND($I31&lt;&gt;"",$I31&gt;=DATE(2026,6,23),COUNTIFS($C:$C,$C31,$I:$I,$I31)&gt;2),"⚠ "&amp;COUNTIFS($C:$C,$C31,$I:$I,$I31)&amp;" BAŞVURU!","")</f>
        <v/>
      </c>
      <c r="T31" s="48" t="s">
        <v>273</v>
      </c>
    </row>
    <row r="32" spans="1:20" ht="94.5" customHeight="1" x14ac:dyDescent="0.25">
      <c r="A32" s="39" t="s">
        <v>274</v>
      </c>
      <c r="B32" s="39" t="s">
        <v>275</v>
      </c>
      <c r="C32" s="40" t="s">
        <v>171</v>
      </c>
      <c r="D32" s="40" t="s">
        <v>172</v>
      </c>
      <c r="E32" s="41" t="s">
        <v>271</v>
      </c>
      <c r="F32" s="41" t="s">
        <v>276</v>
      </c>
      <c r="G32" s="42" t="s">
        <v>34</v>
      </c>
      <c r="H32" s="44">
        <v>46017</v>
      </c>
      <c r="I32" s="44">
        <v>46028</v>
      </c>
      <c r="J32" s="40" t="s">
        <v>102</v>
      </c>
      <c r="K32" s="40" t="s">
        <v>125</v>
      </c>
      <c r="L32" s="46" t="s">
        <v>93</v>
      </c>
      <c r="M32" s="46"/>
      <c r="N32" s="46"/>
      <c r="O32" s="45"/>
      <c r="P32" s="46" t="str">
        <f t="shared" si="0"/>
        <v>DÜZELTME</v>
      </c>
      <c r="R32" s="47" t="str">
        <f>IF(AND($I32&lt;&gt;"",$I32&gt;=DATE(2026,6,23),COUNTIFS($C:$C,$C32,$I:$I,$I32)&gt;2),"⚠ "&amp;COUNTIFS($C:$C,$C32,$I:$I,$I32)&amp;" BAŞVURU!","")</f>
        <v/>
      </c>
      <c r="T32" s="48" t="s">
        <v>277</v>
      </c>
    </row>
    <row r="33" spans="1:20" ht="94.5" customHeight="1" x14ac:dyDescent="0.25">
      <c r="A33" s="39" t="s">
        <v>278</v>
      </c>
      <c r="B33" s="39" t="s">
        <v>279</v>
      </c>
      <c r="C33" s="40" t="s">
        <v>280</v>
      </c>
      <c r="D33" s="40" t="s">
        <v>172</v>
      </c>
      <c r="E33" s="41" t="s">
        <v>281</v>
      </c>
      <c r="F33" s="41" t="s">
        <v>282</v>
      </c>
      <c r="G33" s="42" t="s">
        <v>34</v>
      </c>
      <c r="H33" s="44">
        <v>46017</v>
      </c>
      <c r="I33" s="44">
        <v>46028</v>
      </c>
      <c r="J33" s="40" t="s">
        <v>125</v>
      </c>
      <c r="K33" s="40" t="s">
        <v>74</v>
      </c>
      <c r="L33" s="46" t="s">
        <v>66</v>
      </c>
      <c r="M33" s="46"/>
      <c r="N33" s="46"/>
      <c r="O33" s="45"/>
      <c r="P33" s="46" t="str">
        <f t="shared" si="0"/>
        <v>ONAY</v>
      </c>
      <c r="R33" s="47" t="str">
        <f>IF(AND($I33&lt;&gt;"",$I33&gt;=DATE(2026,6,23),COUNTIFS($C:$C,$C33,$I:$I,$I33)&gt;2),"⚠ "&amp;COUNTIFS($C:$C,$C33,$I:$I,$I33)&amp;" BAŞVURU!","")</f>
        <v/>
      </c>
      <c r="T33" s="48" t="s">
        <v>283</v>
      </c>
    </row>
    <row r="34" spans="1:20" ht="63" customHeight="1" x14ac:dyDescent="0.25">
      <c r="A34" s="39" t="s">
        <v>284</v>
      </c>
      <c r="B34" s="39" t="s">
        <v>285</v>
      </c>
      <c r="C34" s="40" t="s">
        <v>106</v>
      </c>
      <c r="D34" s="40" t="s">
        <v>107</v>
      </c>
      <c r="E34" s="41" t="s">
        <v>286</v>
      </c>
      <c r="F34" s="41" t="s">
        <v>287</v>
      </c>
      <c r="G34" s="42" t="s">
        <v>35</v>
      </c>
      <c r="H34" s="44">
        <v>46017</v>
      </c>
      <c r="I34" s="44">
        <v>46028</v>
      </c>
      <c r="J34" s="40" t="s">
        <v>91</v>
      </c>
      <c r="K34" s="40" t="s">
        <v>101</v>
      </c>
      <c r="L34" s="46" t="s">
        <v>66</v>
      </c>
      <c r="M34" s="46"/>
      <c r="N34" s="46"/>
      <c r="O34" s="45"/>
      <c r="P34" s="46" t="str">
        <f t="shared" si="0"/>
        <v>ONAY</v>
      </c>
      <c r="R34" s="47" t="str">
        <f>IF(AND($I34&lt;&gt;"",$I34&gt;=DATE(2026,6,23),COUNTIFS($C:$C,$C34,$I:$I,$I34)&gt;2),"⚠ "&amp;COUNTIFS($C:$C,$C34,$I:$I,$I34)&amp;" BAŞVURU!","")</f>
        <v/>
      </c>
      <c r="T34" s="48" t="s">
        <v>288</v>
      </c>
    </row>
    <row r="35" spans="1:20" ht="63" customHeight="1" x14ac:dyDescent="0.25">
      <c r="A35" s="39" t="s">
        <v>289</v>
      </c>
      <c r="B35" s="39" t="s">
        <v>290</v>
      </c>
      <c r="C35" s="40" t="s">
        <v>291</v>
      </c>
      <c r="D35" s="40" t="s">
        <v>292</v>
      </c>
      <c r="E35" s="41" t="s">
        <v>293</v>
      </c>
      <c r="F35" s="41" t="s">
        <v>294</v>
      </c>
      <c r="G35" s="42" t="s">
        <v>34</v>
      </c>
      <c r="H35" s="44">
        <v>46017</v>
      </c>
      <c r="I35" s="44">
        <v>46028</v>
      </c>
      <c r="J35" s="40" t="s">
        <v>118</v>
      </c>
      <c r="K35" s="40" t="s">
        <v>110</v>
      </c>
      <c r="L35" s="46" t="s">
        <v>66</v>
      </c>
      <c r="M35" s="46"/>
      <c r="N35" s="46"/>
      <c r="O35" s="45"/>
      <c r="P35" s="46" t="str">
        <f t="shared" si="0"/>
        <v>ONAY</v>
      </c>
      <c r="R35" s="47" t="str">
        <f>IF(AND($I35&lt;&gt;"",$I35&gt;=DATE(2026,6,23),COUNTIFS($C:$C,$C35,$I:$I,$I35)&gt;2),"⚠ "&amp;COUNTIFS($C:$C,$C35,$I:$I,$I35)&amp;" BAŞVURU!","")</f>
        <v/>
      </c>
      <c r="T35" s="48" t="s">
        <v>295</v>
      </c>
    </row>
    <row r="36" spans="1:20" ht="78.75" customHeight="1" x14ac:dyDescent="0.25">
      <c r="A36" s="39" t="s">
        <v>296</v>
      </c>
      <c r="B36" s="39" t="s">
        <v>297</v>
      </c>
      <c r="C36" s="40" t="s">
        <v>291</v>
      </c>
      <c r="D36" s="40" t="s">
        <v>292</v>
      </c>
      <c r="E36" s="41" t="s">
        <v>298</v>
      </c>
      <c r="F36" s="41" t="s">
        <v>299</v>
      </c>
      <c r="G36" s="42" t="s">
        <v>34</v>
      </c>
      <c r="H36" s="44">
        <v>46017</v>
      </c>
      <c r="I36" s="44">
        <v>46028</v>
      </c>
      <c r="J36" s="40" t="s">
        <v>82</v>
      </c>
      <c r="K36" s="40" t="s">
        <v>110</v>
      </c>
      <c r="L36" s="46" t="s">
        <v>66</v>
      </c>
      <c r="M36" s="46"/>
      <c r="N36" s="46"/>
      <c r="O36" s="45"/>
      <c r="P36" s="46" t="str">
        <f t="shared" si="0"/>
        <v>ONAY</v>
      </c>
      <c r="R36" s="47" t="str">
        <f>IF(AND($I36&lt;&gt;"",$I36&gt;=DATE(2026,6,23),COUNTIFS($C:$C,$C36,$I:$I,$I36)&gt;2),"⚠ "&amp;COUNTIFS($C:$C,$C36,$I:$I,$I36)&amp;" BAŞVURU!","")</f>
        <v/>
      </c>
      <c r="T36" s="48" t="s">
        <v>300</v>
      </c>
    </row>
    <row r="37" spans="1:20" ht="78.75" customHeight="1" x14ac:dyDescent="0.25">
      <c r="A37" s="39" t="s">
        <v>301</v>
      </c>
      <c r="B37" s="39" t="s">
        <v>302</v>
      </c>
      <c r="C37" s="40" t="s">
        <v>303</v>
      </c>
      <c r="D37" s="40" t="s">
        <v>304</v>
      </c>
      <c r="E37" s="41" t="s">
        <v>305</v>
      </c>
      <c r="F37" s="41" t="s">
        <v>306</v>
      </c>
      <c r="G37" s="42" t="s">
        <v>34</v>
      </c>
      <c r="H37" s="44">
        <v>46017</v>
      </c>
      <c r="I37" s="44">
        <v>46028</v>
      </c>
      <c r="J37" s="40" t="s">
        <v>82</v>
      </c>
      <c r="K37" s="40" t="s">
        <v>83</v>
      </c>
      <c r="L37" s="46" t="s">
        <v>66</v>
      </c>
      <c r="M37" s="46"/>
      <c r="N37" s="46"/>
      <c r="O37" s="45"/>
      <c r="P37" s="46" t="str">
        <f t="shared" si="0"/>
        <v>ONAY</v>
      </c>
      <c r="R37" s="47" t="str">
        <f>IF(AND($I37&lt;&gt;"",$I37&gt;=DATE(2026,6,23),COUNTIFS($C:$C,$C37,$I:$I,$I37)&gt;2),"⚠ "&amp;COUNTIFS($C:$C,$C37,$I:$I,$I37)&amp;" BAŞVURU!","")</f>
        <v/>
      </c>
      <c r="T37" s="48" t="s">
        <v>307</v>
      </c>
    </row>
    <row r="38" spans="1:20" ht="63" customHeight="1" x14ac:dyDescent="0.25">
      <c r="A38" s="39" t="s">
        <v>308</v>
      </c>
      <c r="B38" s="39" t="s">
        <v>309</v>
      </c>
      <c r="C38" s="40" t="s">
        <v>310</v>
      </c>
      <c r="D38" s="40" t="s">
        <v>234</v>
      </c>
      <c r="E38" s="41" t="s">
        <v>311</v>
      </c>
      <c r="F38" s="41" t="s">
        <v>312</v>
      </c>
      <c r="G38" s="42" t="s">
        <v>34</v>
      </c>
      <c r="H38" s="44">
        <v>46017</v>
      </c>
      <c r="I38" s="44">
        <v>46028</v>
      </c>
      <c r="J38" s="40" t="s">
        <v>65</v>
      </c>
      <c r="K38" s="40" t="s">
        <v>92</v>
      </c>
      <c r="L38" s="46" t="s">
        <v>66</v>
      </c>
      <c r="M38" s="46"/>
      <c r="N38" s="46"/>
      <c r="O38" s="45"/>
      <c r="P38" s="46" t="str">
        <f t="shared" si="0"/>
        <v>ONAY</v>
      </c>
      <c r="R38" s="47" t="str">
        <f>IF(AND($I38&lt;&gt;"",$I38&gt;=DATE(2026,6,23),COUNTIFS($C:$C,$C38,$I:$I,$I38)&gt;2),"⚠ "&amp;COUNTIFS($C:$C,$C38,$I:$I,$I38)&amp;" BAŞVURU!","")</f>
        <v/>
      </c>
      <c r="T38" s="48" t="s">
        <v>313</v>
      </c>
    </row>
    <row r="39" spans="1:20" ht="63" customHeight="1" x14ac:dyDescent="0.25">
      <c r="A39" s="39" t="s">
        <v>314</v>
      </c>
      <c r="B39" s="39" t="s">
        <v>315</v>
      </c>
      <c r="C39" s="40" t="s">
        <v>316</v>
      </c>
      <c r="D39" s="40" t="s">
        <v>317</v>
      </c>
      <c r="E39" s="41" t="s">
        <v>318</v>
      </c>
      <c r="F39" s="41" t="s">
        <v>319</v>
      </c>
      <c r="G39" s="42" t="s">
        <v>34</v>
      </c>
      <c r="H39" s="44">
        <v>46017</v>
      </c>
      <c r="I39" s="44">
        <v>46028</v>
      </c>
      <c r="J39" s="40" t="s">
        <v>64</v>
      </c>
      <c r="K39" s="40" t="s">
        <v>83</v>
      </c>
      <c r="L39" s="46" t="s">
        <v>215</v>
      </c>
      <c r="M39" s="46" t="s">
        <v>93</v>
      </c>
      <c r="N39" s="46" t="s">
        <v>66</v>
      </c>
      <c r="O39" s="45"/>
      <c r="P39" s="46" t="str">
        <f t="shared" si="0"/>
        <v>ONAY</v>
      </c>
      <c r="Q39" s="25" t="s">
        <v>82</v>
      </c>
      <c r="R39" s="47" t="str">
        <f>IF(AND($I39&lt;&gt;"",$I39&gt;=DATE(2026,6,23),COUNTIFS($C:$C,$C39,$I:$I,$I39)&gt;2),"⚠ "&amp;COUNTIFS($C:$C,$C39,$I:$I,$I39)&amp;" BAŞVURU!","")</f>
        <v/>
      </c>
      <c r="T39" s="48" t="s">
        <v>320</v>
      </c>
    </row>
    <row r="40" spans="1:20" ht="47.25" customHeight="1" x14ac:dyDescent="0.25">
      <c r="A40" s="39" t="s">
        <v>321</v>
      </c>
      <c r="B40" s="39" t="s">
        <v>322</v>
      </c>
      <c r="C40" s="40" t="s">
        <v>323</v>
      </c>
      <c r="D40" s="40" t="s">
        <v>324</v>
      </c>
      <c r="E40" s="41" t="s">
        <v>325</v>
      </c>
      <c r="F40" s="41" t="s">
        <v>326</v>
      </c>
      <c r="G40" s="42" t="s">
        <v>34</v>
      </c>
      <c r="H40" s="44">
        <v>46017</v>
      </c>
      <c r="I40" s="44">
        <v>46028</v>
      </c>
      <c r="J40" s="40" t="s">
        <v>118</v>
      </c>
      <c r="K40" s="40" t="s">
        <v>91</v>
      </c>
      <c r="L40" s="46" t="s">
        <v>175</v>
      </c>
      <c r="M40" s="46" t="s">
        <v>66</v>
      </c>
      <c r="N40" s="46"/>
      <c r="O40" s="45"/>
      <c r="P40" s="46" t="str">
        <f t="shared" si="0"/>
        <v>ONAY</v>
      </c>
      <c r="R40" s="47" t="str">
        <f>IF(AND($I40&lt;&gt;"",$I40&gt;=DATE(2026,6,23),COUNTIFS($C:$C,$C40,$I:$I,$I40)&gt;2),"⚠ "&amp;COUNTIFS($C:$C,$C40,$I:$I,$I40)&amp;" BAŞVURU!","")</f>
        <v/>
      </c>
      <c r="T40" s="48" t="s">
        <v>327</v>
      </c>
    </row>
    <row r="41" spans="1:20" ht="96.75" customHeight="1" x14ac:dyDescent="0.25">
      <c r="A41" s="39" t="s">
        <v>328</v>
      </c>
      <c r="B41" s="39" t="s">
        <v>329</v>
      </c>
      <c r="C41" s="40" t="s">
        <v>330</v>
      </c>
      <c r="D41" s="40" t="s">
        <v>234</v>
      </c>
      <c r="E41" s="41" t="s">
        <v>331</v>
      </c>
      <c r="F41" s="41" t="s">
        <v>332</v>
      </c>
      <c r="G41" s="42" t="s">
        <v>34</v>
      </c>
      <c r="H41" s="44">
        <v>46017</v>
      </c>
      <c r="I41" s="44">
        <v>46028</v>
      </c>
      <c r="J41" s="40" t="s">
        <v>74</v>
      </c>
      <c r="K41" s="40" t="s">
        <v>92</v>
      </c>
      <c r="L41" s="46" t="s">
        <v>66</v>
      </c>
      <c r="M41" s="46"/>
      <c r="N41" s="46"/>
      <c r="O41" s="45"/>
      <c r="P41" s="46" t="str">
        <f t="shared" si="0"/>
        <v>ONAY</v>
      </c>
      <c r="R41" s="47" t="str">
        <f>IF(AND($I41&lt;&gt;"",$I41&gt;=DATE(2026,6,23),COUNTIFS($C:$C,$C41,$I:$I,$I41)&gt;2),"⚠ "&amp;COUNTIFS($C:$C,$C41,$I:$I,$I41)&amp;" BAŞVURU!","")</f>
        <v/>
      </c>
    </row>
    <row r="42" spans="1:20" ht="78.75" customHeight="1" x14ac:dyDescent="0.25">
      <c r="A42" s="39" t="s">
        <v>333</v>
      </c>
      <c r="B42" s="39" t="s">
        <v>334</v>
      </c>
      <c r="C42" s="40" t="s">
        <v>335</v>
      </c>
      <c r="D42" s="40" t="s">
        <v>248</v>
      </c>
      <c r="E42" s="41" t="s">
        <v>336</v>
      </c>
      <c r="F42" s="41" t="s">
        <v>337</v>
      </c>
      <c r="G42" s="42" t="s">
        <v>35</v>
      </c>
      <c r="H42" s="44">
        <v>46017</v>
      </c>
      <c r="I42" s="44">
        <v>46028</v>
      </c>
      <c r="J42" s="40" t="s">
        <v>101</v>
      </c>
      <c r="K42" s="40" t="s">
        <v>118</v>
      </c>
      <c r="L42" s="46" t="s">
        <v>66</v>
      </c>
      <c r="M42" s="46"/>
      <c r="N42" s="46"/>
      <c r="O42" s="45"/>
      <c r="P42" s="46" t="str">
        <f t="shared" si="0"/>
        <v>ONAY</v>
      </c>
      <c r="R42" s="47" t="str">
        <f>IF(AND($I42&lt;&gt;"",$I42&gt;=DATE(2026,6,23),COUNTIFS($C:$C,$C42,$I:$I,$I42)&gt;2),"⚠ "&amp;COUNTIFS($C:$C,$C42,$I:$I,$I42)&amp;" BAŞVURU!","")</f>
        <v/>
      </c>
    </row>
    <row r="43" spans="1:20" ht="63" customHeight="1" x14ac:dyDescent="0.25">
      <c r="A43" s="39" t="s">
        <v>338</v>
      </c>
      <c r="B43" s="39" t="s">
        <v>339</v>
      </c>
      <c r="C43" s="40" t="s">
        <v>335</v>
      </c>
      <c r="D43" s="40" t="s">
        <v>248</v>
      </c>
      <c r="E43" s="41" t="s">
        <v>340</v>
      </c>
      <c r="F43" s="41" t="s">
        <v>341</v>
      </c>
      <c r="G43" s="42" t="s">
        <v>34</v>
      </c>
      <c r="H43" s="44">
        <v>46017</v>
      </c>
      <c r="I43" s="44">
        <v>46028</v>
      </c>
      <c r="J43" s="40" t="s">
        <v>102</v>
      </c>
      <c r="K43" s="40" t="s">
        <v>65</v>
      </c>
      <c r="L43" s="46" t="s">
        <v>93</v>
      </c>
      <c r="M43" s="46" t="s">
        <v>215</v>
      </c>
      <c r="N43" s="46" t="s">
        <v>66</v>
      </c>
      <c r="O43" s="45"/>
      <c r="P43" s="46" t="str">
        <f t="shared" si="0"/>
        <v>ONAY</v>
      </c>
      <c r="Q43" s="25" t="s">
        <v>82</v>
      </c>
      <c r="R43" s="47" t="str">
        <f>IF(AND($I43&lt;&gt;"",$I43&gt;=DATE(2026,6,23),COUNTIFS($C:$C,$C43,$I:$I,$I43)&gt;2),"⚠ "&amp;COUNTIFS($C:$C,$C43,$I:$I,$I43)&amp;" BAŞVURU!","")</f>
        <v/>
      </c>
    </row>
    <row r="44" spans="1:20" ht="63" customHeight="1" x14ac:dyDescent="0.25">
      <c r="A44" s="39" t="s">
        <v>342</v>
      </c>
      <c r="B44" s="39" t="s">
        <v>343</v>
      </c>
      <c r="C44" s="40" t="s">
        <v>335</v>
      </c>
      <c r="D44" s="40" t="s">
        <v>248</v>
      </c>
      <c r="E44" s="41" t="s">
        <v>340</v>
      </c>
      <c r="F44" s="41" t="s">
        <v>344</v>
      </c>
      <c r="G44" s="42" t="s">
        <v>34</v>
      </c>
      <c r="H44" s="44">
        <v>46017</v>
      </c>
      <c r="I44" s="44">
        <v>46028</v>
      </c>
      <c r="J44" s="40" t="s">
        <v>82</v>
      </c>
      <c r="K44" s="40" t="s">
        <v>64</v>
      </c>
      <c r="L44" s="46" t="s">
        <v>66</v>
      </c>
      <c r="M44" s="46"/>
      <c r="N44" s="46"/>
      <c r="O44" s="45"/>
      <c r="P44" s="46" t="str">
        <f t="shared" si="0"/>
        <v>ONAY</v>
      </c>
      <c r="R44" s="47" t="str">
        <f>IF(AND($I44&lt;&gt;"",$I44&gt;=DATE(2026,6,23),COUNTIFS($C:$C,$C44,$I:$I,$I44)&gt;2),"⚠ "&amp;COUNTIFS($C:$C,$C44,$I:$I,$I44)&amp;" BAŞVURU!","")</f>
        <v/>
      </c>
    </row>
    <row r="45" spans="1:20" ht="98.25" customHeight="1" x14ac:dyDescent="0.25">
      <c r="A45" s="39" t="s">
        <v>345</v>
      </c>
      <c r="B45" s="39" t="s">
        <v>346</v>
      </c>
      <c r="C45" s="40" t="s">
        <v>347</v>
      </c>
      <c r="D45" s="40" t="s">
        <v>107</v>
      </c>
      <c r="E45" s="41" t="s">
        <v>348</v>
      </c>
      <c r="F45" s="41" t="s">
        <v>349</v>
      </c>
      <c r="G45" s="42" t="s">
        <v>34</v>
      </c>
      <c r="H45" s="44">
        <v>46017</v>
      </c>
      <c r="I45" s="44">
        <v>46028</v>
      </c>
      <c r="J45" s="40" t="s">
        <v>64</v>
      </c>
      <c r="K45" s="40" t="s">
        <v>92</v>
      </c>
      <c r="L45" s="46" t="s">
        <v>66</v>
      </c>
      <c r="M45" s="46"/>
      <c r="N45" s="46"/>
      <c r="O45" s="45"/>
      <c r="P45" s="46" t="str">
        <f t="shared" si="0"/>
        <v>ONAY</v>
      </c>
      <c r="R45" s="47" t="str">
        <f>IF(AND($I45&lt;&gt;"",$I45&gt;=DATE(2026,6,23),COUNTIFS($C:$C,$C45,$I:$I,$I45)&gt;2),"⚠ "&amp;COUNTIFS($C:$C,$C45,$I:$I,$I45)&amp;" BAŞVURU!","")</f>
        <v/>
      </c>
    </row>
    <row r="46" spans="1:20" ht="47.25" customHeight="1" x14ac:dyDescent="0.25">
      <c r="A46" s="39" t="s">
        <v>350</v>
      </c>
      <c r="B46" s="39" t="s">
        <v>351</v>
      </c>
      <c r="C46" s="40" t="s">
        <v>352</v>
      </c>
      <c r="D46" s="40" t="s">
        <v>353</v>
      </c>
      <c r="E46" s="41" t="s">
        <v>354</v>
      </c>
      <c r="F46" s="41" t="s">
        <v>355</v>
      </c>
      <c r="G46" s="42" t="s">
        <v>37</v>
      </c>
      <c r="H46" s="44">
        <v>46017</v>
      </c>
      <c r="I46" s="44">
        <v>46028</v>
      </c>
      <c r="J46" s="40" t="s">
        <v>110</v>
      </c>
      <c r="K46" s="40" t="s">
        <v>82</v>
      </c>
      <c r="L46" s="46" t="s">
        <v>66</v>
      </c>
      <c r="M46" s="46"/>
      <c r="N46" s="46"/>
      <c r="O46" s="45"/>
      <c r="P46" s="46" t="str">
        <f t="shared" si="0"/>
        <v>ONAY</v>
      </c>
      <c r="R46" s="47" t="str">
        <f>IF(AND($I46&lt;&gt;"",$I46&gt;=DATE(2026,6,23),COUNTIFS($C:$C,$C46,$I:$I,$I46)&gt;2),"⚠ "&amp;COUNTIFS($C:$C,$C46,$I:$I,$I46)&amp;" BAŞVURU!","")</f>
        <v/>
      </c>
    </row>
    <row r="47" spans="1:20" ht="63" customHeight="1" x14ac:dyDescent="0.25">
      <c r="A47" s="39" t="s">
        <v>356</v>
      </c>
      <c r="B47" s="39" t="s">
        <v>357</v>
      </c>
      <c r="C47" s="40" t="s">
        <v>358</v>
      </c>
      <c r="D47" s="40" t="s">
        <v>234</v>
      </c>
      <c r="E47" s="41" t="s">
        <v>359</v>
      </c>
      <c r="F47" s="41" t="s">
        <v>360</v>
      </c>
      <c r="G47" s="42" t="s">
        <v>34</v>
      </c>
      <c r="H47" s="44">
        <v>46017</v>
      </c>
      <c r="I47" s="44">
        <v>46028</v>
      </c>
      <c r="J47" s="40" t="s">
        <v>92</v>
      </c>
      <c r="K47" s="40" t="s">
        <v>91</v>
      </c>
      <c r="L47" s="46" t="s">
        <v>66</v>
      </c>
      <c r="M47" s="46"/>
      <c r="N47" s="46"/>
      <c r="O47" s="45"/>
      <c r="P47" s="46" t="str">
        <f t="shared" si="0"/>
        <v>ONAY</v>
      </c>
      <c r="R47" s="47" t="str">
        <f>IF(AND($I47&lt;&gt;"",$I47&gt;=DATE(2026,6,23),COUNTIFS($C:$C,$C47,$I:$I,$I47)&gt;2),"⚠ "&amp;COUNTIFS($C:$C,$C47,$I:$I,$I47)&amp;" BAŞVURU!","")</f>
        <v/>
      </c>
    </row>
    <row r="48" spans="1:20" ht="126" customHeight="1" x14ac:dyDescent="0.25">
      <c r="A48" s="39" t="s">
        <v>361</v>
      </c>
      <c r="B48" s="39" t="s">
        <v>362</v>
      </c>
      <c r="C48" s="40" t="s">
        <v>363</v>
      </c>
      <c r="D48" s="40" t="s">
        <v>150</v>
      </c>
      <c r="E48" s="41" t="s">
        <v>364</v>
      </c>
      <c r="F48" s="41" t="s">
        <v>365</v>
      </c>
      <c r="G48" s="42" t="s">
        <v>34</v>
      </c>
      <c r="H48" s="44">
        <v>46017</v>
      </c>
      <c r="I48" s="44">
        <v>46028</v>
      </c>
      <c r="J48" s="40" t="s">
        <v>64</v>
      </c>
      <c r="K48" s="40" t="s">
        <v>101</v>
      </c>
      <c r="L48" s="46" t="s">
        <v>93</v>
      </c>
      <c r="M48" s="46" t="s">
        <v>66</v>
      </c>
      <c r="N48" s="46"/>
      <c r="O48" s="45"/>
      <c r="P48" s="46" t="str">
        <f t="shared" si="0"/>
        <v>ONAY</v>
      </c>
      <c r="Q48" s="25" t="s">
        <v>64</v>
      </c>
      <c r="R48" s="47" t="str">
        <f>IF(AND($I48&lt;&gt;"",$I48&gt;=DATE(2026,6,23),COUNTIFS($C:$C,$C48,$I:$I,$I48)&gt;2),"⚠ "&amp;COUNTIFS($C:$C,$C48,$I:$I,$I48)&amp;" BAŞVURU!","")</f>
        <v/>
      </c>
    </row>
    <row r="49" spans="1:18" ht="63" customHeight="1" x14ac:dyDescent="0.25">
      <c r="A49" s="39" t="s">
        <v>366</v>
      </c>
      <c r="B49" s="39" t="s">
        <v>367</v>
      </c>
      <c r="C49" s="40" t="s">
        <v>368</v>
      </c>
      <c r="D49" s="40" t="s">
        <v>369</v>
      </c>
      <c r="E49" s="41" t="s">
        <v>370</v>
      </c>
      <c r="F49" s="41" t="s">
        <v>371</v>
      </c>
      <c r="G49" s="42" t="s">
        <v>34</v>
      </c>
      <c r="H49" s="44">
        <v>46017</v>
      </c>
      <c r="I49" s="44">
        <v>46028</v>
      </c>
      <c r="J49" s="40" t="s">
        <v>65</v>
      </c>
      <c r="K49" s="40" t="s">
        <v>83</v>
      </c>
      <c r="L49" s="46" t="s">
        <v>215</v>
      </c>
      <c r="M49" s="46" t="s">
        <v>93</v>
      </c>
      <c r="N49" s="46" t="s">
        <v>66</v>
      </c>
      <c r="O49" s="45"/>
      <c r="P49" s="46" t="str">
        <f t="shared" si="0"/>
        <v>ONAY</v>
      </c>
      <c r="Q49" s="25" t="s">
        <v>82</v>
      </c>
      <c r="R49" s="47" t="str">
        <f>IF(AND($I49&lt;&gt;"",$I49&gt;=DATE(2026,6,23),COUNTIFS($C:$C,$C49,$I:$I,$I49)&gt;2),"⚠ "&amp;COUNTIFS($C:$C,$C49,$I:$I,$I49)&amp;" BAŞVURU!","")</f>
        <v/>
      </c>
    </row>
    <row r="50" spans="1:18" ht="78.75" customHeight="1" x14ac:dyDescent="0.25">
      <c r="A50" s="39" t="s">
        <v>372</v>
      </c>
      <c r="B50" s="39" t="s">
        <v>373</v>
      </c>
      <c r="C50" s="40" t="s">
        <v>374</v>
      </c>
      <c r="D50" s="40" t="s">
        <v>375</v>
      </c>
      <c r="E50" s="41" t="s">
        <v>376</v>
      </c>
      <c r="F50" s="41" t="s">
        <v>377</v>
      </c>
      <c r="G50" s="42" t="s">
        <v>35</v>
      </c>
      <c r="H50" s="44">
        <v>46020</v>
      </c>
      <c r="I50" s="44">
        <v>46028</v>
      </c>
      <c r="J50" s="40" t="s">
        <v>74</v>
      </c>
      <c r="K50" s="40" t="s">
        <v>118</v>
      </c>
      <c r="L50" s="46" t="s">
        <v>66</v>
      </c>
      <c r="M50" s="46"/>
      <c r="N50" s="46"/>
      <c r="O50" s="45"/>
      <c r="P50" s="46" t="str">
        <f t="shared" si="0"/>
        <v>ONAY</v>
      </c>
      <c r="R50" s="47" t="str">
        <f>IF(AND($I50&lt;&gt;"",$I50&gt;=DATE(2026,6,23),COUNTIFS($C:$C,$C50,$I:$I,$I50)&gt;2),"⚠ "&amp;COUNTIFS($C:$C,$C50,$I:$I,$I50)&amp;" BAŞVURU!","")</f>
        <v/>
      </c>
    </row>
    <row r="51" spans="1:18" ht="63" customHeight="1" x14ac:dyDescent="0.25">
      <c r="A51" s="39" t="s">
        <v>378</v>
      </c>
      <c r="B51" s="39" t="s">
        <v>379</v>
      </c>
      <c r="C51" s="40" t="s">
        <v>380</v>
      </c>
      <c r="D51" s="40" t="s">
        <v>381</v>
      </c>
      <c r="E51" s="41" t="s">
        <v>382</v>
      </c>
      <c r="F51" s="41" t="s">
        <v>383</v>
      </c>
      <c r="G51" s="42" t="s">
        <v>34</v>
      </c>
      <c r="H51" s="44">
        <v>46020</v>
      </c>
      <c r="I51" s="44">
        <v>46028</v>
      </c>
      <c r="J51" s="40" t="s">
        <v>118</v>
      </c>
      <c r="K51" s="40" t="s">
        <v>82</v>
      </c>
      <c r="L51" s="46" t="s">
        <v>93</v>
      </c>
      <c r="M51" s="46" t="s">
        <v>66</v>
      </c>
      <c r="N51" s="46"/>
      <c r="O51" s="45"/>
      <c r="P51" s="46" t="str">
        <f t="shared" si="0"/>
        <v>ONAY</v>
      </c>
      <c r="Q51" s="25" t="s">
        <v>82</v>
      </c>
      <c r="R51" s="47" t="str">
        <f>IF(AND($I51&lt;&gt;"",$I51&gt;=DATE(2026,6,23),COUNTIFS($C:$C,$C51,$I:$I,$I51)&gt;2),"⚠ "&amp;COUNTIFS($C:$C,$C51,$I:$I,$I51)&amp;" BAŞVURU!","")</f>
        <v/>
      </c>
    </row>
    <row r="52" spans="1:18" ht="78.75" customHeight="1" x14ac:dyDescent="0.25">
      <c r="A52" s="39" t="s">
        <v>384</v>
      </c>
      <c r="B52" s="39" t="s">
        <v>385</v>
      </c>
      <c r="C52" s="40" t="s">
        <v>386</v>
      </c>
      <c r="D52" s="40" t="s">
        <v>241</v>
      </c>
      <c r="E52" s="41" t="s">
        <v>387</v>
      </c>
      <c r="F52" s="41" t="s">
        <v>388</v>
      </c>
      <c r="G52" s="42" t="s">
        <v>35</v>
      </c>
      <c r="H52" s="44">
        <v>46021</v>
      </c>
      <c r="I52" s="44">
        <v>46028</v>
      </c>
      <c r="J52" s="40" t="s">
        <v>102</v>
      </c>
      <c r="K52" s="40" t="s">
        <v>101</v>
      </c>
      <c r="L52" s="46" t="s">
        <v>93</v>
      </c>
      <c r="M52" s="46" t="s">
        <v>66</v>
      </c>
      <c r="N52" s="46"/>
      <c r="O52" s="45"/>
      <c r="P52" s="46" t="str">
        <f t="shared" si="0"/>
        <v>ONAY</v>
      </c>
      <c r="Q52" s="25" t="s">
        <v>101</v>
      </c>
      <c r="R52" s="47" t="str">
        <f>IF(AND($I52&lt;&gt;"",$I52&gt;=DATE(2026,6,23),COUNTIFS($C:$C,$C52,$I:$I,$I52)&gt;2),"⚠ "&amp;COUNTIFS($C:$C,$C52,$I:$I,$I52)&amp;" BAŞVURU!","")</f>
        <v/>
      </c>
    </row>
    <row r="53" spans="1:18" ht="63" customHeight="1" x14ac:dyDescent="0.25">
      <c r="A53" s="39" t="s">
        <v>389</v>
      </c>
      <c r="B53" s="39" t="s">
        <v>390</v>
      </c>
      <c r="C53" s="40" t="s">
        <v>391</v>
      </c>
      <c r="D53" s="40" t="s">
        <v>392</v>
      </c>
      <c r="E53" s="41" t="s">
        <v>393</v>
      </c>
      <c r="F53" s="41" t="s">
        <v>394</v>
      </c>
      <c r="G53" s="42" t="s">
        <v>34</v>
      </c>
      <c r="H53" s="44">
        <v>46021</v>
      </c>
      <c r="I53" s="44">
        <v>46028</v>
      </c>
      <c r="J53" s="40" t="s">
        <v>64</v>
      </c>
      <c r="K53" s="40" t="s">
        <v>110</v>
      </c>
      <c r="L53" s="46" t="s">
        <v>66</v>
      </c>
      <c r="M53" s="46"/>
      <c r="N53" s="46"/>
      <c r="O53" s="45"/>
      <c r="P53" s="46" t="str">
        <f t="shared" si="0"/>
        <v>ONAY</v>
      </c>
      <c r="R53" s="47" t="str">
        <f>IF(AND($I53&lt;&gt;"",$I53&gt;=DATE(2026,6,23),COUNTIFS($C:$C,$C53,$I:$I,$I53)&gt;2),"⚠ "&amp;COUNTIFS($C:$C,$C53,$I:$I,$I53)&amp;" BAŞVURU!","")</f>
        <v/>
      </c>
    </row>
    <row r="54" spans="1:18" ht="94.5" customHeight="1" x14ac:dyDescent="0.25">
      <c r="A54" s="39" t="s">
        <v>395</v>
      </c>
      <c r="B54" s="39" t="s">
        <v>396</v>
      </c>
      <c r="C54" s="40" t="s">
        <v>397</v>
      </c>
      <c r="D54" s="40" t="s">
        <v>369</v>
      </c>
      <c r="E54" s="41" t="s">
        <v>398</v>
      </c>
      <c r="F54" s="41" t="s">
        <v>399</v>
      </c>
      <c r="G54" s="42" t="s">
        <v>35</v>
      </c>
      <c r="H54" s="44">
        <v>46021</v>
      </c>
      <c r="I54" s="44">
        <v>46028</v>
      </c>
      <c r="J54" s="40" t="s">
        <v>82</v>
      </c>
      <c r="K54" s="40" t="s">
        <v>125</v>
      </c>
      <c r="L54" s="46" t="s">
        <v>229</v>
      </c>
      <c r="M54" s="46"/>
      <c r="N54" s="46"/>
      <c r="O54" s="45"/>
      <c r="P54" s="46" t="str">
        <f t="shared" si="0"/>
        <v>KAEK</v>
      </c>
      <c r="R54" s="47" t="str">
        <f>IF(AND($I54&lt;&gt;"",$I54&gt;=DATE(2026,6,23),COUNTIFS($C:$C,$C54,$I:$I,$I54)&gt;2),"⚠ "&amp;COUNTIFS($C:$C,$C54,$I:$I,$I54)&amp;" BAŞVURU!","")</f>
        <v/>
      </c>
    </row>
    <row r="55" spans="1:18" ht="78.75" customHeight="1" x14ac:dyDescent="0.25">
      <c r="A55" s="39" t="s">
        <v>400</v>
      </c>
      <c r="B55" s="39" t="s">
        <v>401</v>
      </c>
      <c r="C55" s="40" t="s">
        <v>402</v>
      </c>
      <c r="D55" s="40" t="s">
        <v>369</v>
      </c>
      <c r="E55" s="41" t="s">
        <v>403</v>
      </c>
      <c r="F55" s="41" t="s">
        <v>404</v>
      </c>
      <c r="G55" s="42" t="s">
        <v>35</v>
      </c>
      <c r="H55" s="44">
        <v>46021</v>
      </c>
      <c r="I55" s="44">
        <v>46028</v>
      </c>
      <c r="J55" s="40" t="s">
        <v>74</v>
      </c>
      <c r="K55" s="40" t="s">
        <v>125</v>
      </c>
      <c r="L55" s="46" t="s">
        <v>66</v>
      </c>
      <c r="M55" s="46"/>
      <c r="N55" s="46"/>
      <c r="O55" s="45"/>
      <c r="P55" s="46" t="str">
        <f t="shared" si="0"/>
        <v>ONAY</v>
      </c>
      <c r="R55" s="47" t="str">
        <f>IF(AND($I55&lt;&gt;"",$I55&gt;=DATE(2026,6,23),COUNTIFS($C:$C,$C55,$I:$I,$I55)&gt;2),"⚠ "&amp;COUNTIFS($C:$C,$C55,$I:$I,$I55)&amp;" BAŞVURU!","")</f>
        <v/>
      </c>
    </row>
    <row r="56" spans="1:18" ht="78.75" customHeight="1" x14ac:dyDescent="0.25">
      <c r="A56" s="39" t="s">
        <v>405</v>
      </c>
      <c r="B56" s="39" t="s">
        <v>406</v>
      </c>
      <c r="C56" s="40" t="s">
        <v>407</v>
      </c>
      <c r="D56" s="40" t="s">
        <v>234</v>
      </c>
      <c r="E56" s="41" t="s">
        <v>408</v>
      </c>
      <c r="F56" s="41" t="s">
        <v>409</v>
      </c>
      <c r="G56" s="42" t="s">
        <v>34</v>
      </c>
      <c r="H56" s="44">
        <v>46021</v>
      </c>
      <c r="I56" s="44">
        <v>46028</v>
      </c>
      <c r="J56" s="40" t="s">
        <v>64</v>
      </c>
      <c r="K56" s="40" t="s">
        <v>91</v>
      </c>
      <c r="L56" s="46" t="s">
        <v>66</v>
      </c>
      <c r="M56" s="46"/>
      <c r="N56" s="46"/>
      <c r="O56" s="45"/>
      <c r="P56" s="46" t="str">
        <f t="shared" si="0"/>
        <v>ONAY</v>
      </c>
      <c r="R56" s="47" t="str">
        <f>IF(AND($I56&lt;&gt;"",$I56&gt;=DATE(2026,6,23),COUNTIFS($C:$C,$C56,$I:$I,$I56)&gt;2),"⚠ "&amp;COUNTIFS($C:$C,$C56,$I:$I,$I56)&amp;" BAŞVURU!","")</f>
        <v/>
      </c>
    </row>
    <row r="57" spans="1:18" ht="63" customHeight="1" x14ac:dyDescent="0.25">
      <c r="A57" s="39" t="s">
        <v>410</v>
      </c>
      <c r="B57" s="39" t="s">
        <v>411</v>
      </c>
      <c r="C57" s="40" t="s">
        <v>412</v>
      </c>
      <c r="D57" s="40" t="s">
        <v>413</v>
      </c>
      <c r="E57" s="41" t="s">
        <v>414</v>
      </c>
      <c r="F57" s="41" t="s">
        <v>415</v>
      </c>
      <c r="G57" s="42" t="s">
        <v>34</v>
      </c>
      <c r="H57" s="44">
        <v>46024</v>
      </c>
      <c r="I57" s="44">
        <v>46042</v>
      </c>
      <c r="J57" s="40" t="s">
        <v>110</v>
      </c>
      <c r="K57" s="40" t="s">
        <v>74</v>
      </c>
      <c r="L57" s="46" t="s">
        <v>93</v>
      </c>
      <c r="M57" s="46" t="s">
        <v>66</v>
      </c>
      <c r="N57" s="46"/>
      <c r="O57" s="45"/>
      <c r="P57" s="46" t="str">
        <f t="shared" si="0"/>
        <v>ONAY</v>
      </c>
      <c r="Q57" s="25" t="s">
        <v>110</v>
      </c>
      <c r="R57" s="47" t="str">
        <f>IF(AND($I57&lt;&gt;"",$I57&gt;=DATE(2026,6,23),COUNTIFS($C:$C,$C57,$I:$I,$I57)&gt;2),"⚠ "&amp;COUNTIFS($C:$C,$C57,$I:$I,$I57)&amp;" BAŞVURU!","")</f>
        <v/>
      </c>
    </row>
    <row r="58" spans="1:18" ht="63" customHeight="1" x14ac:dyDescent="0.25">
      <c r="A58" s="39" t="s">
        <v>416</v>
      </c>
      <c r="B58" s="39" t="s">
        <v>417</v>
      </c>
      <c r="C58" s="40" t="s">
        <v>418</v>
      </c>
      <c r="D58" s="40" t="s">
        <v>419</v>
      </c>
      <c r="E58" s="41" t="s">
        <v>420</v>
      </c>
      <c r="F58" s="41" t="s">
        <v>421</v>
      </c>
      <c r="G58" s="42" t="s">
        <v>34</v>
      </c>
      <c r="H58" s="44">
        <v>46024</v>
      </c>
      <c r="I58" s="44">
        <v>46042</v>
      </c>
      <c r="J58" s="40" t="s">
        <v>82</v>
      </c>
      <c r="K58" s="40" t="s">
        <v>83</v>
      </c>
      <c r="L58" s="46" t="s">
        <v>93</v>
      </c>
      <c r="M58" s="46" t="s">
        <v>66</v>
      </c>
      <c r="N58" s="46"/>
      <c r="O58" s="45"/>
      <c r="P58" s="46" t="str">
        <f t="shared" si="0"/>
        <v>ONAY</v>
      </c>
      <c r="Q58" s="25" t="s">
        <v>82</v>
      </c>
      <c r="R58" s="47" t="str">
        <f>IF(AND($I58&lt;&gt;"",$I58&gt;=DATE(2026,6,23),COUNTIFS($C:$C,$C58,$I:$I,$I58)&gt;2),"⚠ "&amp;COUNTIFS($C:$C,$C58,$I:$I,$I58)&amp;" BAŞVURU!","")</f>
        <v/>
      </c>
    </row>
    <row r="59" spans="1:18" ht="78.75" customHeight="1" x14ac:dyDescent="0.25">
      <c r="A59" s="39" t="s">
        <v>422</v>
      </c>
      <c r="B59" s="39" t="s">
        <v>423</v>
      </c>
      <c r="C59" s="40" t="s">
        <v>424</v>
      </c>
      <c r="D59" s="40" t="s">
        <v>425</v>
      </c>
      <c r="E59" s="41" t="s">
        <v>426</v>
      </c>
      <c r="F59" s="41" t="s">
        <v>427</v>
      </c>
      <c r="G59" s="42" t="s">
        <v>37</v>
      </c>
      <c r="H59" s="44">
        <v>46024</v>
      </c>
      <c r="I59" s="44">
        <v>46042</v>
      </c>
      <c r="J59" s="40" t="s">
        <v>125</v>
      </c>
      <c r="K59" s="40" t="s">
        <v>91</v>
      </c>
      <c r="L59" s="46" t="s">
        <v>93</v>
      </c>
      <c r="M59" s="46" t="s">
        <v>428</v>
      </c>
      <c r="N59" s="46"/>
      <c r="O59" s="45"/>
      <c r="P59" s="46" t="str">
        <f t="shared" si="0"/>
        <v>GERİ ÇEKİLDİ</v>
      </c>
      <c r="R59" s="47" t="str">
        <f>IF(AND($I59&lt;&gt;"",$I59&gt;=DATE(2026,6,23),COUNTIFS($C:$C,$C59,$I:$I,$I59)&gt;2),"⚠ "&amp;COUNTIFS($C:$C,$C59,$I:$I,$I59)&amp;" BAŞVURU!","")</f>
        <v/>
      </c>
    </row>
    <row r="60" spans="1:18" ht="78.75" customHeight="1" x14ac:dyDescent="0.25">
      <c r="A60" s="39" t="s">
        <v>429</v>
      </c>
      <c r="B60" s="39" t="s">
        <v>430</v>
      </c>
      <c r="C60" s="40" t="s">
        <v>431</v>
      </c>
      <c r="D60" s="40" t="s">
        <v>432</v>
      </c>
      <c r="E60" s="41" t="s">
        <v>433</v>
      </c>
      <c r="F60" s="41" t="s">
        <v>434</v>
      </c>
      <c r="G60" s="42" t="s">
        <v>34</v>
      </c>
      <c r="H60" s="44">
        <v>46024</v>
      </c>
      <c r="I60" s="44">
        <v>46042</v>
      </c>
      <c r="J60" s="40" t="s">
        <v>65</v>
      </c>
      <c r="K60" s="40" t="s">
        <v>101</v>
      </c>
      <c r="L60" s="46" t="s">
        <v>93</v>
      </c>
      <c r="M60" s="46" t="s">
        <v>428</v>
      </c>
      <c r="N60" s="46"/>
      <c r="O60" s="45"/>
      <c r="P60" s="46" t="str">
        <f t="shared" si="0"/>
        <v>GERİ ÇEKİLDİ</v>
      </c>
      <c r="R60" s="47" t="str">
        <f>IF(AND($I60&lt;&gt;"",$I60&gt;=DATE(2026,6,23),COUNTIFS($C:$C,$C60,$I:$I,$I60)&gt;2),"⚠ "&amp;COUNTIFS($C:$C,$C60,$I:$I,$I60)&amp;" BAŞVURU!","")</f>
        <v/>
      </c>
    </row>
    <row r="61" spans="1:18" ht="126" customHeight="1" x14ac:dyDescent="0.25">
      <c r="A61" s="39" t="s">
        <v>435</v>
      </c>
      <c r="B61" s="39" t="s">
        <v>436</v>
      </c>
      <c r="C61" s="40" t="s">
        <v>407</v>
      </c>
      <c r="D61" s="40" t="s">
        <v>234</v>
      </c>
      <c r="E61" s="41" t="s">
        <v>437</v>
      </c>
      <c r="F61" s="41" t="s">
        <v>438</v>
      </c>
      <c r="G61" s="42" t="s">
        <v>36</v>
      </c>
      <c r="H61" s="44">
        <v>46024</v>
      </c>
      <c r="I61" s="44">
        <v>46042</v>
      </c>
      <c r="J61" s="40" t="s">
        <v>102</v>
      </c>
      <c r="K61" s="40" t="s">
        <v>65</v>
      </c>
      <c r="L61" s="46" t="s">
        <v>93</v>
      </c>
      <c r="M61" s="46" t="s">
        <v>66</v>
      </c>
      <c r="N61" s="46"/>
      <c r="O61" s="45"/>
      <c r="P61" s="46" t="str">
        <f t="shared" si="0"/>
        <v>ONAY</v>
      </c>
      <c r="Q61" s="25" t="s">
        <v>102</v>
      </c>
      <c r="R61" s="47" t="str">
        <f>IF(AND($I61&lt;&gt;"",$I61&gt;=DATE(2026,6,23),COUNTIFS($C:$C,$C61,$I:$I,$I61)&gt;2),"⚠ "&amp;COUNTIFS($C:$C,$C61,$I:$I,$I61)&amp;" BAŞVURU!","")</f>
        <v/>
      </c>
    </row>
    <row r="62" spans="1:18" ht="63" customHeight="1" x14ac:dyDescent="0.25">
      <c r="A62" s="39" t="s">
        <v>439</v>
      </c>
      <c r="B62" s="39" t="s">
        <v>440</v>
      </c>
      <c r="C62" s="40" t="s">
        <v>441</v>
      </c>
      <c r="D62" s="40" t="s">
        <v>442</v>
      </c>
      <c r="E62" s="41" t="s">
        <v>443</v>
      </c>
      <c r="F62" s="41" t="s">
        <v>444</v>
      </c>
      <c r="G62" s="42" t="s">
        <v>34</v>
      </c>
      <c r="H62" s="44">
        <v>46024</v>
      </c>
      <c r="I62" s="44">
        <v>46042</v>
      </c>
      <c r="J62" s="40" t="s">
        <v>118</v>
      </c>
      <c r="K62" s="40" t="s">
        <v>92</v>
      </c>
      <c r="L62" s="46" t="s">
        <v>215</v>
      </c>
      <c r="M62" s="46" t="s">
        <v>93</v>
      </c>
      <c r="N62" s="46"/>
      <c r="O62" s="45"/>
      <c r="P62" s="46" t="str">
        <f t="shared" si="0"/>
        <v>DÜZELTME</v>
      </c>
      <c r="R62" s="47" t="str">
        <f>IF(AND($I62&lt;&gt;"",$I62&gt;=DATE(2026,6,23),COUNTIFS($C:$C,$C62,$I:$I,$I62)&gt;2),"⚠ "&amp;COUNTIFS($C:$C,$C62,$I:$I,$I62)&amp;" BAŞVURU!","")</f>
        <v/>
      </c>
    </row>
    <row r="63" spans="1:18" ht="63.75" customHeight="1" x14ac:dyDescent="0.25">
      <c r="A63" s="39" t="s">
        <v>445</v>
      </c>
      <c r="B63" s="39" t="s">
        <v>446</v>
      </c>
      <c r="C63" s="40" t="s">
        <v>447</v>
      </c>
      <c r="D63" s="40" t="s">
        <v>425</v>
      </c>
      <c r="E63" s="41" t="s">
        <v>448</v>
      </c>
      <c r="F63" s="41" t="s">
        <v>449</v>
      </c>
      <c r="G63" s="42" t="s">
        <v>34</v>
      </c>
      <c r="H63" s="44">
        <v>46024</v>
      </c>
      <c r="I63" s="44">
        <v>46042</v>
      </c>
      <c r="J63" s="40" t="s">
        <v>110</v>
      </c>
      <c r="K63" s="40" t="s">
        <v>92</v>
      </c>
      <c r="L63" s="46" t="s">
        <v>66</v>
      </c>
      <c r="M63" s="46"/>
      <c r="N63" s="46"/>
      <c r="O63" s="45"/>
      <c r="P63" s="46" t="str">
        <f t="shared" si="0"/>
        <v>ONAY</v>
      </c>
      <c r="R63" s="47" t="str">
        <f>IF(AND($I63&lt;&gt;"",$I63&gt;=DATE(2026,6,23),COUNTIFS($C:$C,$C63,$I:$I,$I63)&gt;2),"⚠ "&amp;COUNTIFS($C:$C,$C63,$I:$I,$I63)&amp;" BAŞVURU!","")</f>
        <v/>
      </c>
    </row>
    <row r="64" spans="1:18" ht="78.75" customHeight="1" x14ac:dyDescent="0.25">
      <c r="A64" s="39" t="s">
        <v>450</v>
      </c>
      <c r="B64" s="39" t="s">
        <v>451</v>
      </c>
      <c r="C64" s="40" t="s">
        <v>452</v>
      </c>
      <c r="D64" s="40" t="s">
        <v>392</v>
      </c>
      <c r="E64" s="41" t="s">
        <v>453</v>
      </c>
      <c r="F64" s="41" t="s">
        <v>454</v>
      </c>
      <c r="G64" s="42" t="s">
        <v>34</v>
      </c>
      <c r="H64" s="44">
        <v>46024</v>
      </c>
      <c r="I64" s="44">
        <v>46042</v>
      </c>
      <c r="J64" s="40" t="s">
        <v>102</v>
      </c>
      <c r="K64" s="40" t="s">
        <v>74</v>
      </c>
      <c r="L64" s="46" t="s">
        <v>66</v>
      </c>
      <c r="M64" s="46"/>
      <c r="N64" s="46"/>
      <c r="O64" s="45"/>
      <c r="P64" s="46" t="str">
        <f t="shared" si="0"/>
        <v>ONAY</v>
      </c>
      <c r="R64" s="47" t="str">
        <f>IF(AND($I64&lt;&gt;"",$I64&gt;=DATE(2026,6,23),COUNTIFS($C:$C,$C64,$I:$I,$I64)&gt;2),"⚠ "&amp;COUNTIFS($C:$C,$C64,$I:$I,$I64)&amp;" BAŞVURU!","")</f>
        <v/>
      </c>
    </row>
    <row r="65" spans="1:18" ht="47.25" customHeight="1" x14ac:dyDescent="0.25">
      <c r="A65" s="39" t="s">
        <v>455</v>
      </c>
      <c r="B65" s="39" t="s">
        <v>456</v>
      </c>
      <c r="C65" s="40" t="s">
        <v>457</v>
      </c>
      <c r="D65" s="40" t="s">
        <v>458</v>
      </c>
      <c r="E65" s="41" t="s">
        <v>459</v>
      </c>
      <c r="F65" s="41" t="s">
        <v>460</v>
      </c>
      <c r="G65" s="42" t="s">
        <v>35</v>
      </c>
      <c r="H65" s="44">
        <v>46024</v>
      </c>
      <c r="I65" s="44">
        <v>46042</v>
      </c>
      <c r="J65" s="40" t="s">
        <v>101</v>
      </c>
      <c r="K65" s="40" t="s">
        <v>125</v>
      </c>
      <c r="L65" s="46" t="s">
        <v>93</v>
      </c>
      <c r="M65" s="46" t="s">
        <v>93</v>
      </c>
      <c r="N65" s="46" t="s">
        <v>66</v>
      </c>
      <c r="O65" s="45"/>
      <c r="P65" s="46" t="str">
        <f t="shared" si="0"/>
        <v>ONAY</v>
      </c>
      <c r="Q65" s="25" t="s">
        <v>64</v>
      </c>
      <c r="R65" s="47" t="str">
        <f>IF(AND($I65&lt;&gt;"",$I65&gt;=DATE(2026,6,23),COUNTIFS($C:$C,$C65,$I:$I,$I65)&gt;2),"⚠ "&amp;COUNTIFS($C:$C,$C65,$I:$I,$I65)&amp;" BAŞVURU!","")</f>
        <v/>
      </c>
    </row>
    <row r="66" spans="1:18" ht="63" customHeight="1" x14ac:dyDescent="0.25">
      <c r="A66" s="39" t="s">
        <v>461</v>
      </c>
      <c r="B66" s="39" t="s">
        <v>462</v>
      </c>
      <c r="C66" s="40" t="s">
        <v>457</v>
      </c>
      <c r="D66" s="40" t="s">
        <v>458</v>
      </c>
      <c r="E66" s="41" t="s">
        <v>463</v>
      </c>
      <c r="F66" s="41" t="s">
        <v>464</v>
      </c>
      <c r="G66" s="42" t="s">
        <v>35</v>
      </c>
      <c r="H66" s="44">
        <v>46024</v>
      </c>
      <c r="I66" s="44">
        <v>46042</v>
      </c>
      <c r="J66" s="40" t="s">
        <v>101</v>
      </c>
      <c r="K66" s="40" t="s">
        <v>125</v>
      </c>
      <c r="L66" s="46" t="s">
        <v>93</v>
      </c>
      <c r="M66" s="46" t="s">
        <v>428</v>
      </c>
      <c r="N66" s="46"/>
      <c r="O66" s="45"/>
      <c r="P66" s="46" t="str">
        <f t="shared" ref="P66:P129" si="1">IF(O66&lt;&gt;"",O66, IF(N66&lt;&gt;"",N66, IF(M66&lt;&gt;"",M66, L66)))</f>
        <v>GERİ ÇEKİLDİ</v>
      </c>
      <c r="R66" s="47" t="str">
        <f>IF(AND($I66&lt;&gt;"",$I66&gt;=DATE(2026,6,23),COUNTIFS($C:$C,$C66,$I:$I,$I66)&gt;2),"⚠ "&amp;COUNTIFS($C:$C,$C66,$I:$I,$I66)&amp;" BAŞVURU!","")</f>
        <v/>
      </c>
    </row>
    <row r="67" spans="1:18" ht="81" customHeight="1" x14ac:dyDescent="0.25">
      <c r="A67" s="39" t="s">
        <v>465</v>
      </c>
      <c r="B67" s="39" t="s">
        <v>466</v>
      </c>
      <c r="C67" s="40" t="s">
        <v>467</v>
      </c>
      <c r="D67" s="40" t="s">
        <v>193</v>
      </c>
      <c r="E67" s="41" t="s">
        <v>468</v>
      </c>
      <c r="F67" s="41" t="s">
        <v>469</v>
      </c>
      <c r="G67" s="42" t="s">
        <v>34</v>
      </c>
      <c r="H67" s="44">
        <v>46027</v>
      </c>
      <c r="I67" s="44">
        <v>46042</v>
      </c>
      <c r="J67" s="40" t="s">
        <v>83</v>
      </c>
      <c r="K67" s="40" t="s">
        <v>102</v>
      </c>
      <c r="L67" s="46" t="s">
        <v>66</v>
      </c>
      <c r="M67" s="46"/>
      <c r="N67" s="46"/>
      <c r="O67" s="45"/>
      <c r="P67" s="46" t="str">
        <f t="shared" si="1"/>
        <v>ONAY</v>
      </c>
      <c r="R67" s="47" t="str">
        <f>IF(AND($I67&lt;&gt;"",$I67&gt;=DATE(2026,6,23),COUNTIFS($C:$C,$C67,$I:$I,$I67)&gt;2),"⚠ "&amp;COUNTIFS($C:$C,$C67,$I:$I,$I67)&amp;" BAŞVURU!","")</f>
        <v/>
      </c>
    </row>
    <row r="68" spans="1:18" ht="80.25" customHeight="1" x14ac:dyDescent="0.25">
      <c r="A68" s="39" t="s">
        <v>470</v>
      </c>
      <c r="B68" s="39" t="s">
        <v>471</v>
      </c>
      <c r="C68" s="40" t="s">
        <v>472</v>
      </c>
      <c r="D68" s="40" t="s">
        <v>79</v>
      </c>
      <c r="E68" s="41" t="s">
        <v>473</v>
      </c>
      <c r="F68" s="41" t="s">
        <v>474</v>
      </c>
      <c r="G68" s="42" t="s">
        <v>34</v>
      </c>
      <c r="H68" s="44">
        <v>46027</v>
      </c>
      <c r="I68" s="44">
        <v>46042</v>
      </c>
      <c r="J68" s="40" t="s">
        <v>83</v>
      </c>
      <c r="K68" s="40" t="s">
        <v>82</v>
      </c>
      <c r="L68" s="46" t="s">
        <v>93</v>
      </c>
      <c r="M68" s="46" t="s">
        <v>66</v>
      </c>
      <c r="N68" s="46"/>
      <c r="O68" s="45"/>
      <c r="P68" s="46" t="str">
        <f t="shared" si="1"/>
        <v>ONAY</v>
      </c>
      <c r="Q68" s="25" t="s">
        <v>82</v>
      </c>
      <c r="R68" s="47" t="str">
        <f>IF(AND($I68&lt;&gt;"",$I68&gt;=DATE(2026,6,23),COUNTIFS($C:$C,$C68,$I:$I,$I68)&gt;2),"⚠ "&amp;COUNTIFS($C:$C,$C68,$I:$I,$I68)&amp;" BAŞVURU!","")</f>
        <v/>
      </c>
    </row>
    <row r="69" spans="1:18" ht="126" customHeight="1" x14ac:dyDescent="0.25">
      <c r="A69" s="39" t="s">
        <v>475</v>
      </c>
      <c r="B69" s="39" t="s">
        <v>476</v>
      </c>
      <c r="C69" s="40" t="s">
        <v>83</v>
      </c>
      <c r="D69" s="40" t="s">
        <v>79</v>
      </c>
      <c r="E69" s="41" t="s">
        <v>477</v>
      </c>
      <c r="F69" s="41" t="s">
        <v>478</v>
      </c>
      <c r="G69" s="42" t="s">
        <v>35</v>
      </c>
      <c r="H69" s="44">
        <v>46027</v>
      </c>
      <c r="I69" s="44">
        <v>46042</v>
      </c>
      <c r="J69" s="40" t="s">
        <v>82</v>
      </c>
      <c r="K69" s="40" t="s">
        <v>65</v>
      </c>
      <c r="L69" s="46" t="s">
        <v>66</v>
      </c>
      <c r="M69" s="46"/>
      <c r="N69" s="46"/>
      <c r="O69" s="45"/>
      <c r="P69" s="46" t="str">
        <f t="shared" si="1"/>
        <v>ONAY</v>
      </c>
      <c r="R69" s="47" t="str">
        <f>IF(AND($I69&lt;&gt;"",$I69&gt;=DATE(2026,6,23),COUNTIFS($C:$C,$C69,$I:$I,$I69)&gt;2),"⚠ "&amp;COUNTIFS($C:$C,$C69,$I:$I,$I69)&amp;" BAŞVURU!","")</f>
        <v/>
      </c>
    </row>
    <row r="70" spans="1:18" ht="63" customHeight="1" x14ac:dyDescent="0.25">
      <c r="A70" s="39" t="s">
        <v>479</v>
      </c>
      <c r="B70" s="39" t="s">
        <v>480</v>
      </c>
      <c r="C70" s="40" t="s">
        <v>447</v>
      </c>
      <c r="D70" s="40" t="s">
        <v>425</v>
      </c>
      <c r="E70" s="41" t="s">
        <v>481</v>
      </c>
      <c r="F70" s="41" t="s">
        <v>482</v>
      </c>
      <c r="G70" s="42" t="s">
        <v>34</v>
      </c>
      <c r="H70" s="44">
        <v>46027</v>
      </c>
      <c r="I70" s="44">
        <v>46042</v>
      </c>
      <c r="J70" s="40" t="s">
        <v>74</v>
      </c>
      <c r="K70" s="40" t="s">
        <v>101</v>
      </c>
      <c r="L70" s="46" t="s">
        <v>66</v>
      </c>
      <c r="M70" s="46"/>
      <c r="N70" s="46"/>
      <c r="O70" s="45"/>
      <c r="P70" s="46" t="str">
        <f t="shared" si="1"/>
        <v>ONAY</v>
      </c>
      <c r="R70" s="47" t="str">
        <f>IF(AND($I70&lt;&gt;"",$I70&gt;=DATE(2026,6,23),COUNTIFS($C:$C,$C70,$I:$I,$I70)&gt;2),"⚠ "&amp;COUNTIFS($C:$C,$C70,$I:$I,$I70)&amp;" BAŞVURU!","")</f>
        <v/>
      </c>
    </row>
    <row r="71" spans="1:18" ht="63" customHeight="1" x14ac:dyDescent="0.25">
      <c r="A71" s="39" t="s">
        <v>483</v>
      </c>
      <c r="B71" s="39" t="s">
        <v>484</v>
      </c>
      <c r="C71" s="40" t="s">
        <v>485</v>
      </c>
      <c r="D71" s="40" t="s">
        <v>304</v>
      </c>
      <c r="E71" s="41" t="s">
        <v>486</v>
      </c>
      <c r="F71" s="41" t="s">
        <v>487</v>
      </c>
      <c r="G71" s="42" t="s">
        <v>34</v>
      </c>
      <c r="H71" s="44">
        <v>46027</v>
      </c>
      <c r="I71" s="44">
        <v>46042</v>
      </c>
      <c r="J71" s="40" t="s">
        <v>83</v>
      </c>
      <c r="K71" s="40" t="s">
        <v>101</v>
      </c>
      <c r="L71" s="46" t="s">
        <v>66</v>
      </c>
      <c r="M71" s="46"/>
      <c r="N71" s="46"/>
      <c r="O71" s="45"/>
      <c r="P71" s="46" t="str">
        <f t="shared" si="1"/>
        <v>ONAY</v>
      </c>
      <c r="R71" s="47" t="str">
        <f>IF(AND($I71&lt;&gt;"",$I71&gt;=DATE(2026,6,23),COUNTIFS($C:$C,$C71,$I:$I,$I71)&gt;2),"⚠ "&amp;COUNTIFS($C:$C,$C71,$I:$I,$I71)&amp;" BAŞVURU!","")</f>
        <v/>
      </c>
    </row>
    <row r="72" spans="1:18" ht="78.75" customHeight="1" x14ac:dyDescent="0.25">
      <c r="A72" s="39" t="s">
        <v>488</v>
      </c>
      <c r="B72" s="39" t="s">
        <v>489</v>
      </c>
      <c r="C72" s="40" t="s">
        <v>490</v>
      </c>
      <c r="D72" s="40" t="s">
        <v>491</v>
      </c>
      <c r="E72" s="41" t="s">
        <v>492</v>
      </c>
      <c r="F72" s="41" t="s">
        <v>493</v>
      </c>
      <c r="G72" s="42" t="s">
        <v>34</v>
      </c>
      <c r="H72" s="44">
        <v>46029</v>
      </c>
      <c r="I72" s="44">
        <v>46042</v>
      </c>
      <c r="J72" s="40" t="s">
        <v>64</v>
      </c>
      <c r="K72" s="40" t="s">
        <v>82</v>
      </c>
      <c r="L72" s="46" t="s">
        <v>93</v>
      </c>
      <c r="M72" s="46" t="s">
        <v>66</v>
      </c>
      <c r="N72" s="46"/>
      <c r="O72" s="45"/>
      <c r="P72" s="46" t="str">
        <f t="shared" si="1"/>
        <v>ONAY</v>
      </c>
      <c r="Q72" s="25" t="s">
        <v>64</v>
      </c>
      <c r="R72" s="47" t="str">
        <f>IF(AND($I72&lt;&gt;"",$I72&gt;=DATE(2026,6,23),COUNTIFS($C:$C,$C72,$I:$I,$I72)&gt;2),"⚠ "&amp;COUNTIFS($C:$C,$C72,$I:$I,$I72)&amp;" BAŞVURU!","")</f>
        <v/>
      </c>
    </row>
    <row r="73" spans="1:18" ht="63" customHeight="1" x14ac:dyDescent="0.25">
      <c r="A73" s="39" t="s">
        <v>494</v>
      </c>
      <c r="B73" s="39" t="s">
        <v>495</v>
      </c>
      <c r="C73" s="40" t="s">
        <v>496</v>
      </c>
      <c r="D73" s="40" t="s">
        <v>234</v>
      </c>
      <c r="E73" s="41" t="s">
        <v>497</v>
      </c>
      <c r="F73" s="41" t="s">
        <v>498</v>
      </c>
      <c r="G73" s="42" t="s">
        <v>34</v>
      </c>
      <c r="H73" s="44">
        <v>46029</v>
      </c>
      <c r="I73" s="44">
        <v>46042</v>
      </c>
      <c r="J73" s="40" t="s">
        <v>102</v>
      </c>
      <c r="K73" s="40" t="s">
        <v>118</v>
      </c>
      <c r="L73" s="46" t="s">
        <v>93</v>
      </c>
      <c r="M73" s="46"/>
      <c r="N73" s="46"/>
      <c r="O73" s="45"/>
      <c r="P73" s="46" t="str">
        <f t="shared" si="1"/>
        <v>DÜZELTME</v>
      </c>
      <c r="R73" s="47" t="str">
        <f>IF(AND($I73&lt;&gt;"",$I73&gt;=DATE(2026,6,23),COUNTIFS($C:$C,$C73,$I:$I,$I73)&gt;2),"⚠ "&amp;COUNTIFS($C:$C,$C73,$I:$I,$I73)&amp;" BAŞVURU!","")</f>
        <v/>
      </c>
    </row>
    <row r="74" spans="1:18" ht="78.75" customHeight="1" x14ac:dyDescent="0.25">
      <c r="A74" s="39" t="s">
        <v>499</v>
      </c>
      <c r="B74" s="39" t="s">
        <v>500</v>
      </c>
      <c r="C74" s="40" t="s">
        <v>424</v>
      </c>
      <c r="D74" s="40" t="s">
        <v>425</v>
      </c>
      <c r="E74" s="41" t="s">
        <v>501</v>
      </c>
      <c r="F74" s="41" t="s">
        <v>502</v>
      </c>
      <c r="G74" s="42" t="s">
        <v>34</v>
      </c>
      <c r="H74" s="44">
        <v>46029</v>
      </c>
      <c r="I74" s="44">
        <v>46042</v>
      </c>
      <c r="J74" s="40" t="s">
        <v>74</v>
      </c>
      <c r="K74" s="40" t="s">
        <v>110</v>
      </c>
      <c r="L74" s="46" t="s">
        <v>93</v>
      </c>
      <c r="M74" s="46" t="s">
        <v>215</v>
      </c>
      <c r="N74" s="46" t="s">
        <v>66</v>
      </c>
      <c r="O74" s="45"/>
      <c r="P74" s="46" t="str">
        <f t="shared" si="1"/>
        <v>ONAY</v>
      </c>
      <c r="R74" s="47" t="str">
        <f>IF(AND($I74&lt;&gt;"",$I74&gt;=DATE(2026,6,23),COUNTIFS($C:$C,$C74,$I:$I,$I74)&gt;2),"⚠ "&amp;COUNTIFS($C:$C,$C74,$I:$I,$I74)&amp;" BAŞVURU!","")</f>
        <v/>
      </c>
    </row>
    <row r="75" spans="1:18" ht="47.25" customHeight="1" x14ac:dyDescent="0.25">
      <c r="A75" s="39" t="s">
        <v>503</v>
      </c>
      <c r="B75" s="39" t="s">
        <v>504</v>
      </c>
      <c r="C75" s="40" t="s">
        <v>505</v>
      </c>
      <c r="D75" s="40" t="s">
        <v>506</v>
      </c>
      <c r="E75" s="41" t="s">
        <v>507</v>
      </c>
      <c r="F75" s="41" t="s">
        <v>508</v>
      </c>
      <c r="G75" s="42" t="s">
        <v>37</v>
      </c>
      <c r="H75" s="44">
        <v>46030</v>
      </c>
      <c r="I75" s="44">
        <v>46042</v>
      </c>
      <c r="J75" s="40" t="s">
        <v>91</v>
      </c>
      <c r="K75" s="40" t="s">
        <v>92</v>
      </c>
      <c r="L75" s="46" t="s">
        <v>66</v>
      </c>
      <c r="M75" s="46"/>
      <c r="N75" s="46"/>
      <c r="O75" s="45"/>
      <c r="P75" s="46" t="str">
        <f t="shared" si="1"/>
        <v>ONAY</v>
      </c>
      <c r="R75" s="47" t="str">
        <f>IF(AND($I75&lt;&gt;"",$I75&gt;=DATE(2026,6,23),COUNTIFS($C:$C,$C75,$I:$I,$I75)&gt;2),"⚠ "&amp;COUNTIFS($C:$C,$C75,$I:$I,$I75)&amp;" BAŞVURU!","")</f>
        <v/>
      </c>
    </row>
    <row r="76" spans="1:18" ht="78.75" customHeight="1" x14ac:dyDescent="0.25">
      <c r="A76" s="39" t="s">
        <v>509</v>
      </c>
      <c r="B76" s="39" t="s">
        <v>510</v>
      </c>
      <c r="C76" s="40" t="s">
        <v>511</v>
      </c>
      <c r="D76" s="40" t="s">
        <v>512</v>
      </c>
      <c r="E76" s="41" t="s">
        <v>513</v>
      </c>
      <c r="F76" s="41" t="s">
        <v>514</v>
      </c>
      <c r="G76" s="42" t="s">
        <v>35</v>
      </c>
      <c r="H76" s="44">
        <v>46030</v>
      </c>
      <c r="I76" s="44">
        <v>46042</v>
      </c>
      <c r="J76" s="40" t="s">
        <v>118</v>
      </c>
      <c r="K76" s="40" t="s">
        <v>83</v>
      </c>
      <c r="L76" s="46" t="s">
        <v>66</v>
      </c>
      <c r="M76" s="46"/>
      <c r="N76" s="46"/>
      <c r="O76" s="45"/>
      <c r="P76" s="46" t="str">
        <f t="shared" si="1"/>
        <v>ONAY</v>
      </c>
      <c r="R76" s="47" t="str">
        <f>IF(AND($I76&lt;&gt;"",$I76&gt;=DATE(2026,6,23),COUNTIFS($C:$C,$C76,$I:$I,$I76)&gt;2),"⚠ "&amp;COUNTIFS($C:$C,$C76,$I:$I,$I76)&amp;" BAŞVURU!","")</f>
        <v/>
      </c>
    </row>
    <row r="77" spans="1:18" ht="63" customHeight="1" x14ac:dyDescent="0.25">
      <c r="A77" s="39" t="s">
        <v>515</v>
      </c>
      <c r="B77" s="39" t="s">
        <v>516</v>
      </c>
      <c r="C77" s="40" t="s">
        <v>517</v>
      </c>
      <c r="D77" s="40" t="s">
        <v>324</v>
      </c>
      <c r="E77" s="41" t="s">
        <v>518</v>
      </c>
      <c r="F77" s="41" t="s">
        <v>519</v>
      </c>
      <c r="G77" s="42" t="s">
        <v>34</v>
      </c>
      <c r="H77" s="44">
        <v>46031</v>
      </c>
      <c r="I77" s="44">
        <v>46042</v>
      </c>
      <c r="J77" s="40" t="s">
        <v>118</v>
      </c>
      <c r="K77" s="40" t="s">
        <v>65</v>
      </c>
      <c r="L77" s="46" t="s">
        <v>66</v>
      </c>
      <c r="M77" s="46"/>
      <c r="N77" s="46"/>
      <c r="O77" s="45"/>
      <c r="P77" s="46" t="str">
        <f t="shared" si="1"/>
        <v>ONAY</v>
      </c>
      <c r="R77" s="47" t="str">
        <f>IF(AND($I77&lt;&gt;"",$I77&gt;=DATE(2026,6,23),COUNTIFS($C:$C,$C77,$I:$I,$I77)&gt;2),"⚠ "&amp;COUNTIFS($C:$C,$C77,$I:$I,$I77)&amp;" BAŞVURU!","")</f>
        <v/>
      </c>
    </row>
    <row r="78" spans="1:18" ht="63" customHeight="1" x14ac:dyDescent="0.25">
      <c r="A78" s="39" t="s">
        <v>520</v>
      </c>
      <c r="B78" s="39" t="s">
        <v>521</v>
      </c>
      <c r="C78" s="40" t="s">
        <v>522</v>
      </c>
      <c r="D78" s="40" t="s">
        <v>413</v>
      </c>
      <c r="E78" s="41" t="s">
        <v>523</v>
      </c>
      <c r="F78" s="41" t="s">
        <v>524</v>
      </c>
      <c r="G78" s="42" t="s">
        <v>34</v>
      </c>
      <c r="H78" s="44">
        <v>46031</v>
      </c>
      <c r="I78" s="44">
        <v>46042</v>
      </c>
      <c r="J78" s="40" t="s">
        <v>65</v>
      </c>
      <c r="K78" s="40" t="s">
        <v>92</v>
      </c>
      <c r="L78" s="46" t="s">
        <v>93</v>
      </c>
      <c r="M78" s="46" t="s">
        <v>66</v>
      </c>
      <c r="N78" s="46"/>
      <c r="O78" s="45"/>
      <c r="P78" s="46" t="str">
        <f t="shared" si="1"/>
        <v>ONAY</v>
      </c>
      <c r="Q78" s="25" t="s">
        <v>92</v>
      </c>
      <c r="R78" s="47" t="str">
        <f>IF(AND($I78&lt;&gt;"",$I78&gt;=DATE(2026,6,23),COUNTIFS($C:$C,$C78,$I:$I,$I78)&gt;2),"⚠ "&amp;COUNTIFS($C:$C,$C78,$I:$I,$I78)&amp;" BAŞVURU!","")</f>
        <v/>
      </c>
    </row>
    <row r="79" spans="1:18" ht="78.75" customHeight="1" x14ac:dyDescent="0.25">
      <c r="A79" s="39" t="s">
        <v>525</v>
      </c>
      <c r="B79" s="39" t="s">
        <v>526</v>
      </c>
      <c r="C79" s="40" t="s">
        <v>310</v>
      </c>
      <c r="D79" s="40" t="s">
        <v>234</v>
      </c>
      <c r="E79" s="41" t="s">
        <v>527</v>
      </c>
      <c r="F79" s="41" t="s">
        <v>528</v>
      </c>
      <c r="G79" s="42" t="s">
        <v>35</v>
      </c>
      <c r="H79" s="44">
        <v>46031</v>
      </c>
      <c r="I79" s="44">
        <v>46042</v>
      </c>
      <c r="J79" s="40" t="s">
        <v>92</v>
      </c>
      <c r="K79" s="40" t="s">
        <v>91</v>
      </c>
      <c r="L79" s="46" t="s">
        <v>66</v>
      </c>
      <c r="M79" s="46"/>
      <c r="N79" s="46"/>
      <c r="O79" s="45"/>
      <c r="P79" s="46" t="str">
        <f t="shared" si="1"/>
        <v>ONAY</v>
      </c>
      <c r="R79" s="47" t="str">
        <f>IF(AND($I79&lt;&gt;"",$I79&gt;=DATE(2026,6,23),COUNTIFS($C:$C,$C79,$I:$I,$I79)&gt;2),"⚠ "&amp;COUNTIFS($C:$C,$C79,$I:$I,$I79)&amp;" BAŞVURU!","")</f>
        <v/>
      </c>
    </row>
    <row r="80" spans="1:18" ht="94.5" customHeight="1" x14ac:dyDescent="0.25">
      <c r="A80" s="39" t="s">
        <v>529</v>
      </c>
      <c r="B80" s="39" t="s">
        <v>530</v>
      </c>
      <c r="C80" s="40" t="s">
        <v>531</v>
      </c>
      <c r="D80" s="40" t="s">
        <v>532</v>
      </c>
      <c r="E80" s="41" t="s">
        <v>533</v>
      </c>
      <c r="F80" s="41" t="s">
        <v>534</v>
      </c>
      <c r="G80" s="42" t="s">
        <v>37</v>
      </c>
      <c r="H80" s="44">
        <v>46031</v>
      </c>
      <c r="I80" s="44">
        <v>46042</v>
      </c>
      <c r="J80" s="40" t="s">
        <v>91</v>
      </c>
      <c r="K80" s="40" t="s">
        <v>74</v>
      </c>
      <c r="L80" s="46" t="s">
        <v>93</v>
      </c>
      <c r="M80" s="46" t="s">
        <v>66</v>
      </c>
      <c r="N80" s="46"/>
      <c r="O80" s="45"/>
      <c r="P80" s="46" t="str">
        <f t="shared" si="1"/>
        <v>ONAY</v>
      </c>
      <c r="Q80" s="25" t="s">
        <v>74</v>
      </c>
      <c r="R80" s="47" t="str">
        <f>IF(AND($I80&lt;&gt;"",$I80&gt;=DATE(2026,6,23),COUNTIFS($C:$C,$C80,$I:$I,$I80)&gt;2),"⚠ "&amp;COUNTIFS($C:$C,$C80,$I:$I,$I80)&amp;" BAŞVURU!","")</f>
        <v/>
      </c>
    </row>
    <row r="81" spans="1:18" ht="78.75" customHeight="1" x14ac:dyDescent="0.25">
      <c r="A81" s="39" t="s">
        <v>535</v>
      </c>
      <c r="B81" s="39" t="s">
        <v>536</v>
      </c>
      <c r="C81" s="40" t="s">
        <v>537</v>
      </c>
      <c r="D81" s="40" t="s">
        <v>234</v>
      </c>
      <c r="E81" s="41" t="s">
        <v>538</v>
      </c>
      <c r="F81" s="41" t="s">
        <v>539</v>
      </c>
      <c r="G81" s="42" t="s">
        <v>35</v>
      </c>
      <c r="H81" s="44">
        <v>46034</v>
      </c>
      <c r="I81" s="44">
        <v>46042</v>
      </c>
      <c r="J81" s="40" t="s">
        <v>102</v>
      </c>
      <c r="K81" s="40" t="s">
        <v>65</v>
      </c>
      <c r="L81" s="46" t="s">
        <v>93</v>
      </c>
      <c r="M81" s="46" t="s">
        <v>66</v>
      </c>
      <c r="N81" s="46"/>
      <c r="O81" s="45"/>
      <c r="P81" s="46" t="str">
        <f t="shared" si="1"/>
        <v>ONAY</v>
      </c>
      <c r="Q81" s="25" t="s">
        <v>102</v>
      </c>
      <c r="R81" s="47" t="str">
        <f>IF(AND($I81&lt;&gt;"",$I81&gt;=DATE(2026,6,23),COUNTIFS($C:$C,$C81,$I:$I,$I81)&gt;2),"⚠ "&amp;COUNTIFS($C:$C,$C81,$I:$I,$I81)&amp;" BAŞVURU!","")</f>
        <v/>
      </c>
    </row>
    <row r="82" spans="1:18" ht="63" customHeight="1" x14ac:dyDescent="0.25">
      <c r="A82" s="39" t="s">
        <v>540</v>
      </c>
      <c r="B82" s="39" t="s">
        <v>541</v>
      </c>
      <c r="C82" s="40" t="s">
        <v>542</v>
      </c>
      <c r="D82" s="40" t="s">
        <v>317</v>
      </c>
      <c r="E82" s="41" t="s">
        <v>543</v>
      </c>
      <c r="F82" s="41" t="s">
        <v>544</v>
      </c>
      <c r="G82" s="42" t="s">
        <v>34</v>
      </c>
      <c r="H82" s="44">
        <v>46034</v>
      </c>
      <c r="I82" s="44">
        <v>46042</v>
      </c>
      <c r="J82" s="40" t="s">
        <v>82</v>
      </c>
      <c r="K82" s="40" t="s">
        <v>110</v>
      </c>
      <c r="L82" s="46" t="s">
        <v>66</v>
      </c>
      <c r="M82" s="46"/>
      <c r="N82" s="46"/>
      <c r="O82" s="45"/>
      <c r="P82" s="46" t="str">
        <f t="shared" si="1"/>
        <v>ONAY</v>
      </c>
      <c r="R82" s="47" t="str">
        <f>IF(AND($I82&lt;&gt;"",$I82&gt;=DATE(2026,6,23),COUNTIFS($C:$C,$C82,$I:$I,$I82)&gt;2),"⚠ "&amp;COUNTIFS($C:$C,$C82,$I:$I,$I82)&amp;" BAŞVURU!","")</f>
        <v/>
      </c>
    </row>
    <row r="83" spans="1:18" ht="78.75" customHeight="1" x14ac:dyDescent="0.25">
      <c r="A83" s="39" t="s">
        <v>545</v>
      </c>
      <c r="B83" s="39" t="s">
        <v>546</v>
      </c>
      <c r="C83" s="40" t="s">
        <v>547</v>
      </c>
      <c r="D83" s="40" t="s">
        <v>392</v>
      </c>
      <c r="E83" s="41" t="s">
        <v>548</v>
      </c>
      <c r="F83" s="41" t="s">
        <v>549</v>
      </c>
      <c r="G83" s="42" t="s">
        <v>34</v>
      </c>
      <c r="H83" s="44">
        <v>46034</v>
      </c>
      <c r="I83" s="44">
        <v>46042</v>
      </c>
      <c r="J83" s="40" t="s">
        <v>101</v>
      </c>
      <c r="K83" s="40" t="s">
        <v>125</v>
      </c>
      <c r="L83" s="46" t="s">
        <v>93</v>
      </c>
      <c r="M83" s="46" t="s">
        <v>66</v>
      </c>
      <c r="N83" s="46"/>
      <c r="O83" s="45"/>
      <c r="P83" s="46" t="str">
        <f t="shared" si="1"/>
        <v>ONAY</v>
      </c>
      <c r="Q83" s="25" t="s">
        <v>101</v>
      </c>
      <c r="R83" s="47" t="str">
        <f>IF(AND($I83&lt;&gt;"",$I83&gt;=DATE(2026,6,23),COUNTIFS($C:$C,$C83,$I:$I,$I83)&gt;2),"⚠ "&amp;COUNTIFS($C:$C,$C83,$I:$I,$I83)&amp;" BAŞVURU!","")</f>
        <v/>
      </c>
    </row>
    <row r="84" spans="1:18" ht="63" customHeight="1" x14ac:dyDescent="0.25">
      <c r="A84" s="39" t="s">
        <v>550</v>
      </c>
      <c r="B84" s="39" t="s">
        <v>551</v>
      </c>
      <c r="C84" s="40" t="s">
        <v>552</v>
      </c>
      <c r="D84" s="40" t="s">
        <v>107</v>
      </c>
      <c r="E84" s="41" t="s">
        <v>553</v>
      </c>
      <c r="F84" s="41" t="s">
        <v>554</v>
      </c>
      <c r="G84" s="42" t="s">
        <v>34</v>
      </c>
      <c r="H84" s="44">
        <v>46034</v>
      </c>
      <c r="I84" s="44">
        <v>46042</v>
      </c>
      <c r="J84" s="40" t="s">
        <v>91</v>
      </c>
      <c r="K84" s="40" t="s">
        <v>110</v>
      </c>
      <c r="L84" s="46" t="s">
        <v>215</v>
      </c>
      <c r="M84" s="46" t="s">
        <v>66</v>
      </c>
      <c r="N84" s="46"/>
      <c r="O84" s="45"/>
      <c r="P84" s="46" t="str">
        <f t="shared" si="1"/>
        <v>ONAY</v>
      </c>
      <c r="R84" s="47" t="str">
        <f>IF(AND($I84&lt;&gt;"",$I84&gt;=DATE(2026,6,23),COUNTIFS($C:$C,$C84,$I:$I,$I84)&gt;2),"⚠ "&amp;COUNTIFS($C:$C,$C84,$I:$I,$I84)&amp;" BAŞVURU!","")</f>
        <v/>
      </c>
    </row>
    <row r="85" spans="1:18" ht="63" customHeight="1" x14ac:dyDescent="0.25">
      <c r="A85" s="39" t="s">
        <v>555</v>
      </c>
      <c r="B85" s="39" t="s">
        <v>556</v>
      </c>
      <c r="C85" s="40" t="s">
        <v>106</v>
      </c>
      <c r="D85" s="40" t="s">
        <v>107</v>
      </c>
      <c r="E85" s="41" t="s">
        <v>557</v>
      </c>
      <c r="F85" s="41" t="s">
        <v>558</v>
      </c>
      <c r="G85" s="42" t="s">
        <v>34</v>
      </c>
      <c r="H85" s="44">
        <v>46034</v>
      </c>
      <c r="I85" s="44">
        <v>46042</v>
      </c>
      <c r="J85" s="40" t="s">
        <v>125</v>
      </c>
      <c r="K85" s="40" t="s">
        <v>110</v>
      </c>
      <c r="L85" s="46" t="s">
        <v>215</v>
      </c>
      <c r="M85" s="46" t="s">
        <v>93</v>
      </c>
      <c r="N85" s="46"/>
      <c r="O85" s="45"/>
      <c r="P85" s="46" t="str">
        <f t="shared" si="1"/>
        <v>DÜZELTME</v>
      </c>
      <c r="R85" s="47" t="str">
        <f>IF(AND($I85&lt;&gt;"",$I85&gt;=DATE(2026,6,23),COUNTIFS($C:$C,$C85,$I:$I,$I85)&gt;2),"⚠ "&amp;COUNTIFS($C:$C,$C85,$I:$I,$I85)&amp;" BAŞVURU!","")</f>
        <v/>
      </c>
    </row>
    <row r="86" spans="1:18" ht="63" customHeight="1" x14ac:dyDescent="0.25">
      <c r="A86" s="39" t="s">
        <v>559</v>
      </c>
      <c r="B86" s="39" t="s">
        <v>560</v>
      </c>
      <c r="C86" s="40" t="s">
        <v>561</v>
      </c>
      <c r="D86" s="40" t="s">
        <v>107</v>
      </c>
      <c r="E86" s="41" t="s">
        <v>562</v>
      </c>
      <c r="F86" s="41" t="s">
        <v>563</v>
      </c>
      <c r="G86" s="42" t="s">
        <v>34</v>
      </c>
      <c r="H86" s="44">
        <v>46036</v>
      </c>
      <c r="I86" s="44">
        <v>46042</v>
      </c>
      <c r="J86" s="40" t="s">
        <v>102</v>
      </c>
      <c r="K86" s="40" t="s">
        <v>92</v>
      </c>
      <c r="L86" s="46" t="s">
        <v>66</v>
      </c>
      <c r="M86" s="46"/>
      <c r="N86" s="46"/>
      <c r="O86" s="45"/>
      <c r="P86" s="46" t="str">
        <f t="shared" si="1"/>
        <v>ONAY</v>
      </c>
      <c r="R86" s="47" t="str">
        <f>IF(AND($I86&lt;&gt;"",$I86&gt;=DATE(2026,6,23),COUNTIFS($C:$C,$C86,$I:$I,$I86)&gt;2),"⚠ "&amp;COUNTIFS($C:$C,$C86,$I:$I,$I86)&amp;" BAŞVURU!","")</f>
        <v/>
      </c>
    </row>
    <row r="87" spans="1:18" ht="78.75" customHeight="1" x14ac:dyDescent="0.25">
      <c r="A87" s="39" t="s">
        <v>564</v>
      </c>
      <c r="B87" s="39" t="s">
        <v>565</v>
      </c>
      <c r="C87" s="40" t="s">
        <v>566</v>
      </c>
      <c r="D87" s="40" t="s">
        <v>567</v>
      </c>
      <c r="E87" s="41" t="s">
        <v>568</v>
      </c>
      <c r="F87" s="41" t="s">
        <v>569</v>
      </c>
      <c r="G87" s="42" t="s">
        <v>35</v>
      </c>
      <c r="H87" s="44">
        <v>46036</v>
      </c>
      <c r="I87" s="44">
        <v>46042</v>
      </c>
      <c r="J87" s="40" t="s">
        <v>118</v>
      </c>
      <c r="K87" s="40" t="s">
        <v>74</v>
      </c>
      <c r="L87" s="46" t="s">
        <v>93</v>
      </c>
      <c r="M87" s="46" t="s">
        <v>66</v>
      </c>
      <c r="N87" s="46"/>
      <c r="O87" s="45"/>
      <c r="P87" s="46" t="str">
        <f t="shared" si="1"/>
        <v>ONAY</v>
      </c>
      <c r="Q87" s="25" t="s">
        <v>118</v>
      </c>
      <c r="R87" s="47" t="str">
        <f>IF(AND($I87&lt;&gt;"",$I87&gt;=DATE(2026,6,23),COUNTIFS($C:$C,$C87,$I:$I,$I87)&gt;2),"⚠ "&amp;COUNTIFS($C:$C,$C87,$I:$I,$I87)&amp;" BAŞVURU!","")</f>
        <v/>
      </c>
    </row>
    <row r="88" spans="1:18" ht="78.75" customHeight="1" x14ac:dyDescent="0.25">
      <c r="A88" s="39" t="s">
        <v>570</v>
      </c>
      <c r="B88" s="39" t="s">
        <v>571</v>
      </c>
      <c r="C88" s="40" t="s">
        <v>505</v>
      </c>
      <c r="D88" s="40" t="s">
        <v>234</v>
      </c>
      <c r="E88" s="41" t="s">
        <v>572</v>
      </c>
      <c r="F88" s="41" t="s">
        <v>573</v>
      </c>
      <c r="G88" s="42" t="s">
        <v>34</v>
      </c>
      <c r="H88" s="44">
        <v>46036</v>
      </c>
      <c r="I88" s="44">
        <v>46042</v>
      </c>
      <c r="J88" s="40" t="s">
        <v>110</v>
      </c>
      <c r="K88" s="40" t="s">
        <v>83</v>
      </c>
      <c r="L88" s="46" t="s">
        <v>66</v>
      </c>
      <c r="M88" s="46"/>
      <c r="N88" s="46"/>
      <c r="O88" s="45"/>
      <c r="P88" s="46" t="str">
        <f t="shared" si="1"/>
        <v>ONAY</v>
      </c>
      <c r="R88" s="47" t="str">
        <f>IF(AND($I88&lt;&gt;"",$I88&gt;=DATE(2026,6,23),COUNTIFS($C:$C,$C88,$I:$I,$I88)&gt;2),"⚠ "&amp;COUNTIFS($C:$C,$C88,$I:$I,$I88)&amp;" BAŞVURU!","")</f>
        <v/>
      </c>
    </row>
    <row r="89" spans="1:18" ht="63" customHeight="1" x14ac:dyDescent="0.25">
      <c r="A89" s="39" t="s">
        <v>574</v>
      </c>
      <c r="B89" s="39" t="s">
        <v>575</v>
      </c>
      <c r="C89" s="40" t="s">
        <v>576</v>
      </c>
      <c r="D89" s="40" t="s">
        <v>200</v>
      </c>
      <c r="E89" s="41" t="s">
        <v>577</v>
      </c>
      <c r="F89" s="41" t="s">
        <v>578</v>
      </c>
      <c r="G89" s="42" t="s">
        <v>34</v>
      </c>
      <c r="H89" s="44">
        <v>46036</v>
      </c>
      <c r="I89" s="44">
        <v>46042</v>
      </c>
      <c r="J89" s="40" t="s">
        <v>101</v>
      </c>
      <c r="K89" s="40" t="s">
        <v>102</v>
      </c>
      <c r="L89" s="46" t="s">
        <v>66</v>
      </c>
      <c r="M89" s="46"/>
      <c r="N89" s="46"/>
      <c r="O89" s="45"/>
      <c r="P89" s="46" t="str">
        <f t="shared" si="1"/>
        <v>ONAY</v>
      </c>
      <c r="R89" s="47" t="str">
        <f>IF(AND($I89&lt;&gt;"",$I89&gt;=DATE(2026,6,23),COUNTIFS($C:$C,$C89,$I:$I,$I89)&gt;2),"⚠ "&amp;COUNTIFS($C:$C,$C89,$I:$I,$I89)&amp;" BAŞVURU!","")</f>
        <v/>
      </c>
    </row>
    <row r="90" spans="1:18" ht="63" customHeight="1" x14ac:dyDescent="0.25">
      <c r="A90" s="39" t="s">
        <v>579</v>
      </c>
      <c r="B90" s="39" t="s">
        <v>580</v>
      </c>
      <c r="C90" s="40" t="s">
        <v>576</v>
      </c>
      <c r="D90" s="40" t="s">
        <v>200</v>
      </c>
      <c r="E90" s="41" t="s">
        <v>577</v>
      </c>
      <c r="F90" s="41" t="s">
        <v>581</v>
      </c>
      <c r="G90" s="42" t="s">
        <v>34</v>
      </c>
      <c r="H90" s="44">
        <v>46036</v>
      </c>
      <c r="I90" s="44">
        <v>46042</v>
      </c>
      <c r="J90" s="40" t="s">
        <v>83</v>
      </c>
      <c r="K90" s="40" t="s">
        <v>125</v>
      </c>
      <c r="L90" s="46" t="s">
        <v>66</v>
      </c>
      <c r="M90" s="46"/>
      <c r="N90" s="46"/>
      <c r="O90" s="45"/>
      <c r="P90" s="46" t="str">
        <f t="shared" si="1"/>
        <v>ONAY</v>
      </c>
      <c r="R90" s="47" t="str">
        <f>IF(AND($I90&lt;&gt;"",$I90&gt;=DATE(2026,6,23),COUNTIFS($C:$C,$C90,$I:$I,$I90)&gt;2),"⚠ "&amp;COUNTIFS($C:$C,$C90,$I:$I,$I90)&amp;" BAŞVURU!","")</f>
        <v/>
      </c>
    </row>
    <row r="91" spans="1:18" ht="78.75" customHeight="1" x14ac:dyDescent="0.25">
      <c r="A91" s="39" t="s">
        <v>582</v>
      </c>
      <c r="B91" s="39" t="s">
        <v>583</v>
      </c>
      <c r="C91" s="40" t="s">
        <v>407</v>
      </c>
      <c r="D91" s="40" t="s">
        <v>234</v>
      </c>
      <c r="E91" s="41" t="s">
        <v>584</v>
      </c>
      <c r="F91" s="41" t="s">
        <v>585</v>
      </c>
      <c r="G91" s="42" t="s">
        <v>34</v>
      </c>
      <c r="H91" s="44">
        <v>46036</v>
      </c>
      <c r="I91" s="44">
        <v>46042</v>
      </c>
      <c r="J91" s="40" t="s">
        <v>65</v>
      </c>
      <c r="K91" s="40" t="s">
        <v>91</v>
      </c>
      <c r="L91" s="46" t="s">
        <v>93</v>
      </c>
      <c r="M91" s="46" t="s">
        <v>66</v>
      </c>
      <c r="N91" s="46"/>
      <c r="O91" s="45"/>
      <c r="P91" s="46" t="str">
        <f t="shared" si="1"/>
        <v>ONAY</v>
      </c>
      <c r="Q91" s="25" t="s">
        <v>65</v>
      </c>
      <c r="R91" s="47" t="str">
        <f>IF(AND($I91&lt;&gt;"",$I91&gt;=DATE(2026,6,23),COUNTIFS($C:$C,$C91,$I:$I,$I91)&gt;2),"⚠ "&amp;COUNTIFS($C:$C,$C91,$I:$I,$I91)&amp;" BAŞVURU!","")</f>
        <v/>
      </c>
    </row>
    <row r="92" spans="1:18" ht="63" customHeight="1" x14ac:dyDescent="0.25">
      <c r="A92" s="39" t="s">
        <v>586</v>
      </c>
      <c r="B92" s="39" t="s">
        <v>587</v>
      </c>
      <c r="C92" s="40" t="s">
        <v>588</v>
      </c>
      <c r="D92" s="40" t="s">
        <v>107</v>
      </c>
      <c r="E92" s="41" t="s">
        <v>589</v>
      </c>
      <c r="F92" s="41" t="s">
        <v>590</v>
      </c>
      <c r="G92" s="42" t="s">
        <v>34</v>
      </c>
      <c r="H92" s="44">
        <v>46036</v>
      </c>
      <c r="I92" s="44">
        <v>46042</v>
      </c>
      <c r="J92" s="40" t="s">
        <v>92</v>
      </c>
      <c r="K92" s="40" t="s">
        <v>118</v>
      </c>
      <c r="L92" s="46" t="s">
        <v>66</v>
      </c>
      <c r="M92" s="46"/>
      <c r="N92" s="46"/>
      <c r="O92" s="45"/>
      <c r="P92" s="46" t="str">
        <f t="shared" si="1"/>
        <v>ONAY</v>
      </c>
      <c r="R92" s="47" t="str">
        <f>IF(AND($I92&lt;&gt;"",$I92&gt;=DATE(2026,6,23),COUNTIFS($C:$C,$C92,$I:$I,$I92)&gt;2),"⚠ "&amp;COUNTIFS($C:$C,$C92,$I:$I,$I92)&amp;" BAŞVURU!","")</f>
        <v/>
      </c>
    </row>
    <row r="93" spans="1:18" ht="63" customHeight="1" x14ac:dyDescent="0.25">
      <c r="A93" s="39" t="s">
        <v>591</v>
      </c>
      <c r="B93" s="39" t="s">
        <v>592</v>
      </c>
      <c r="C93" s="40" t="s">
        <v>199</v>
      </c>
      <c r="D93" s="40" t="s">
        <v>200</v>
      </c>
      <c r="E93" s="41" t="s">
        <v>593</v>
      </c>
      <c r="F93" s="41" t="s">
        <v>594</v>
      </c>
      <c r="G93" s="42" t="s">
        <v>34</v>
      </c>
      <c r="H93" s="44">
        <v>46036</v>
      </c>
      <c r="I93" s="44">
        <v>46042</v>
      </c>
      <c r="J93" s="40" t="s">
        <v>101</v>
      </c>
      <c r="K93" s="40" t="s">
        <v>110</v>
      </c>
      <c r="L93" s="46" t="s">
        <v>66</v>
      </c>
      <c r="M93" s="46"/>
      <c r="N93" s="46"/>
      <c r="O93" s="45"/>
      <c r="P93" s="46" t="str">
        <f t="shared" si="1"/>
        <v>ONAY</v>
      </c>
      <c r="R93" s="47" t="str">
        <f>IF(AND($I93&lt;&gt;"",$I93&gt;=DATE(2026,6,23),COUNTIFS($C:$C,$C93,$I:$I,$I93)&gt;2),"⚠ "&amp;COUNTIFS($C:$C,$C93,$I:$I,$I93)&amp;" BAŞVURU!","")</f>
        <v/>
      </c>
    </row>
    <row r="94" spans="1:18" ht="63" customHeight="1" x14ac:dyDescent="0.25">
      <c r="A94" s="39" t="s">
        <v>595</v>
      </c>
      <c r="B94" s="39" t="s">
        <v>596</v>
      </c>
      <c r="C94" s="40" t="s">
        <v>65</v>
      </c>
      <c r="D94" s="40" t="s">
        <v>234</v>
      </c>
      <c r="E94" s="41" t="s">
        <v>597</v>
      </c>
      <c r="F94" s="41" t="s">
        <v>598</v>
      </c>
      <c r="G94" s="42" t="s">
        <v>35</v>
      </c>
      <c r="H94" s="44">
        <v>46036</v>
      </c>
      <c r="I94" s="44">
        <v>46042</v>
      </c>
      <c r="J94" s="40" t="s">
        <v>102</v>
      </c>
      <c r="K94" s="40" t="s">
        <v>118</v>
      </c>
      <c r="L94" s="46" t="s">
        <v>66</v>
      </c>
      <c r="M94" s="46"/>
      <c r="N94" s="46"/>
      <c r="O94" s="45"/>
      <c r="P94" s="46" t="str">
        <f t="shared" si="1"/>
        <v>ONAY</v>
      </c>
      <c r="R94" s="47" t="str">
        <f>IF(AND($I94&lt;&gt;"",$I94&gt;=DATE(2026,6,23),COUNTIFS($C:$C,$C94,$I:$I,$I94)&gt;2),"⚠ "&amp;COUNTIFS($C:$C,$C94,$I:$I,$I94)&amp;" BAŞVURU!","")</f>
        <v/>
      </c>
    </row>
    <row r="95" spans="1:18" ht="78.75" customHeight="1" x14ac:dyDescent="0.25">
      <c r="A95" s="39" t="s">
        <v>599</v>
      </c>
      <c r="B95" s="39" t="s">
        <v>600</v>
      </c>
      <c r="C95" s="40" t="s">
        <v>601</v>
      </c>
      <c r="D95" s="40" t="s">
        <v>234</v>
      </c>
      <c r="E95" s="41" t="s">
        <v>602</v>
      </c>
      <c r="F95" s="41" t="s">
        <v>603</v>
      </c>
      <c r="G95" s="42" t="s">
        <v>35</v>
      </c>
      <c r="H95" s="44">
        <v>46036</v>
      </c>
      <c r="I95" s="44">
        <v>46042</v>
      </c>
      <c r="J95" s="40" t="s">
        <v>82</v>
      </c>
      <c r="K95" s="40" t="s">
        <v>65</v>
      </c>
      <c r="L95" s="46" t="s">
        <v>93</v>
      </c>
      <c r="M95" s="46" t="s">
        <v>66</v>
      </c>
      <c r="N95" s="46"/>
      <c r="O95" s="45"/>
      <c r="P95" s="46" t="str">
        <f t="shared" si="1"/>
        <v>ONAY</v>
      </c>
      <c r="Q95" s="25" t="s">
        <v>82</v>
      </c>
      <c r="R95" s="47" t="str">
        <f>IF(AND($I95&lt;&gt;"",$I95&gt;=DATE(2026,6,23),COUNTIFS($C:$C,$C95,$I:$I,$I95)&gt;2),"⚠ "&amp;COUNTIFS($C:$C,$C95,$I:$I,$I95)&amp;" BAŞVURU!","")</f>
        <v/>
      </c>
    </row>
    <row r="96" spans="1:18" ht="78.75" customHeight="1" x14ac:dyDescent="0.25">
      <c r="A96" s="39" t="s">
        <v>604</v>
      </c>
      <c r="B96" s="39" t="s">
        <v>605</v>
      </c>
      <c r="C96" s="40" t="s">
        <v>606</v>
      </c>
      <c r="D96" s="40" t="s">
        <v>107</v>
      </c>
      <c r="E96" s="41" t="s">
        <v>607</v>
      </c>
      <c r="F96" s="41" t="s">
        <v>608</v>
      </c>
      <c r="G96" s="42" t="s">
        <v>34</v>
      </c>
      <c r="H96" s="44">
        <v>46036</v>
      </c>
      <c r="I96" s="44">
        <v>46042</v>
      </c>
      <c r="J96" s="40" t="s">
        <v>91</v>
      </c>
      <c r="K96" s="40" t="s">
        <v>92</v>
      </c>
      <c r="L96" s="46" t="s">
        <v>66</v>
      </c>
      <c r="M96" s="46"/>
      <c r="N96" s="46"/>
      <c r="O96" s="45"/>
      <c r="P96" s="46" t="str">
        <f t="shared" si="1"/>
        <v>ONAY</v>
      </c>
      <c r="R96" s="47" t="str">
        <f>IF(AND($I96&lt;&gt;"",$I96&gt;=DATE(2026,6,23),COUNTIFS($C:$C,$C96,$I:$I,$I96)&gt;2),"⚠ "&amp;COUNTIFS($C:$C,$C96,$I:$I,$I96)&amp;" BAŞVURU!","")</f>
        <v/>
      </c>
    </row>
    <row r="97" spans="1:18" ht="47.25" customHeight="1" x14ac:dyDescent="0.25">
      <c r="A97" s="39" t="s">
        <v>609</v>
      </c>
      <c r="B97" s="39" t="s">
        <v>610</v>
      </c>
      <c r="C97" s="40" t="s">
        <v>611</v>
      </c>
      <c r="D97" s="40" t="s">
        <v>612</v>
      </c>
      <c r="E97" s="41" t="s">
        <v>613</v>
      </c>
      <c r="F97" s="41" t="s">
        <v>614</v>
      </c>
      <c r="G97" s="42" t="s">
        <v>37</v>
      </c>
      <c r="H97" s="44">
        <v>46037</v>
      </c>
      <c r="I97" s="44">
        <v>46042</v>
      </c>
      <c r="J97" s="40" t="s">
        <v>82</v>
      </c>
      <c r="K97" s="40" t="s">
        <v>91</v>
      </c>
      <c r="L97" s="46" t="s">
        <v>66</v>
      </c>
      <c r="M97" s="46"/>
      <c r="N97" s="46"/>
      <c r="O97" s="45"/>
      <c r="P97" s="46" t="str">
        <f t="shared" si="1"/>
        <v>ONAY</v>
      </c>
      <c r="R97" s="47" t="str">
        <f>IF(AND($I97&lt;&gt;"",$I97&gt;=DATE(2026,6,23),COUNTIFS($C:$C,$C97,$I:$I,$I97)&gt;2),"⚠ "&amp;COUNTIFS($C:$C,$C97,$I:$I,$I97)&amp;" BAŞVURU!","")</f>
        <v/>
      </c>
    </row>
    <row r="98" spans="1:18" ht="47.25" customHeight="1" x14ac:dyDescent="0.25">
      <c r="A98" s="39" t="s">
        <v>615</v>
      </c>
      <c r="B98" s="39" t="s">
        <v>616</v>
      </c>
      <c r="C98" s="40" t="s">
        <v>106</v>
      </c>
      <c r="D98" s="40" t="s">
        <v>107</v>
      </c>
      <c r="E98" s="41" t="s">
        <v>617</v>
      </c>
      <c r="F98" s="41" t="s">
        <v>618</v>
      </c>
      <c r="G98" s="42" t="s">
        <v>34</v>
      </c>
      <c r="H98" s="44">
        <v>46037</v>
      </c>
      <c r="I98" s="44">
        <v>46042</v>
      </c>
      <c r="J98" s="40" t="s">
        <v>125</v>
      </c>
      <c r="K98" s="40" t="s">
        <v>74</v>
      </c>
      <c r="L98" s="46" t="s">
        <v>66</v>
      </c>
      <c r="M98" s="46"/>
      <c r="N98" s="46"/>
      <c r="O98" s="45"/>
      <c r="P98" s="46" t="str">
        <f t="shared" si="1"/>
        <v>ONAY</v>
      </c>
      <c r="R98" s="47" t="str">
        <f>IF(AND($I98&lt;&gt;"",$I98&gt;=DATE(2026,6,23),COUNTIFS($C:$C,$C98,$I:$I,$I98)&gt;2),"⚠ "&amp;COUNTIFS($C:$C,$C98,$I:$I,$I98)&amp;" BAŞVURU!","")</f>
        <v/>
      </c>
    </row>
    <row r="99" spans="1:18" ht="47.25" customHeight="1" x14ac:dyDescent="0.25">
      <c r="A99" s="39" t="s">
        <v>619</v>
      </c>
      <c r="B99" s="39" t="s">
        <v>620</v>
      </c>
      <c r="C99" s="40" t="s">
        <v>106</v>
      </c>
      <c r="D99" s="40" t="s">
        <v>107</v>
      </c>
      <c r="E99" s="41" t="s">
        <v>617</v>
      </c>
      <c r="F99" s="41" t="s">
        <v>621</v>
      </c>
      <c r="G99" s="42" t="s">
        <v>34</v>
      </c>
      <c r="H99" s="44">
        <v>46037</v>
      </c>
      <c r="I99" s="44">
        <v>46042</v>
      </c>
      <c r="J99" s="40" t="s">
        <v>125</v>
      </c>
      <c r="K99" s="40" t="s">
        <v>74</v>
      </c>
      <c r="L99" s="46" t="s">
        <v>66</v>
      </c>
      <c r="M99" s="46"/>
      <c r="N99" s="46"/>
      <c r="O99" s="45"/>
      <c r="P99" s="46" t="str">
        <f t="shared" si="1"/>
        <v>ONAY</v>
      </c>
      <c r="R99" s="47" t="str">
        <f>IF(AND($I99&lt;&gt;"",$I99&gt;=DATE(2026,6,23),COUNTIFS($C:$C,$C99,$I:$I,$I99)&gt;2),"⚠ "&amp;COUNTIFS($C:$C,$C99,$I:$I,$I99)&amp;" BAŞVURU!","")</f>
        <v/>
      </c>
    </row>
    <row r="100" spans="1:18" ht="63" customHeight="1" x14ac:dyDescent="0.25">
      <c r="A100" s="39" t="s">
        <v>622</v>
      </c>
      <c r="B100" s="39" t="s">
        <v>623</v>
      </c>
      <c r="C100" s="40" t="s">
        <v>611</v>
      </c>
      <c r="D100" s="40" t="s">
        <v>612</v>
      </c>
      <c r="E100" s="41" t="s">
        <v>624</v>
      </c>
      <c r="F100" s="41" t="s">
        <v>625</v>
      </c>
      <c r="G100" s="42" t="s">
        <v>37</v>
      </c>
      <c r="H100" s="44">
        <v>46037</v>
      </c>
      <c r="I100" s="44">
        <v>46042</v>
      </c>
      <c r="J100" s="40" t="s">
        <v>82</v>
      </c>
      <c r="K100" s="40" t="s">
        <v>83</v>
      </c>
      <c r="L100" s="46" t="s">
        <v>66</v>
      </c>
      <c r="M100" s="46"/>
      <c r="N100" s="46"/>
      <c r="O100" s="45"/>
      <c r="P100" s="46" t="str">
        <f t="shared" si="1"/>
        <v>ONAY</v>
      </c>
      <c r="R100" s="47" t="str">
        <f>IF(AND($I100&lt;&gt;"",$I100&gt;=DATE(2026,6,23),COUNTIFS($C:$C,$C100,$I:$I,$I100)&gt;2),"⚠ "&amp;COUNTIFS($C:$C,$C100,$I:$I,$I100)&amp;" BAŞVURU!","")</f>
        <v/>
      </c>
    </row>
    <row r="101" spans="1:18" ht="78.75" customHeight="1" x14ac:dyDescent="0.25">
      <c r="A101" s="39" t="s">
        <v>626</v>
      </c>
      <c r="B101" s="39" t="s">
        <v>627</v>
      </c>
      <c r="C101" s="40" t="s">
        <v>505</v>
      </c>
      <c r="D101" s="40" t="s">
        <v>234</v>
      </c>
      <c r="E101" s="41" t="s">
        <v>628</v>
      </c>
      <c r="F101" s="41" t="s">
        <v>629</v>
      </c>
      <c r="G101" s="42" t="s">
        <v>34</v>
      </c>
      <c r="H101" s="44">
        <v>46037</v>
      </c>
      <c r="I101" s="44">
        <v>46042</v>
      </c>
      <c r="J101" s="40" t="s">
        <v>64</v>
      </c>
      <c r="K101" s="40" t="s">
        <v>82</v>
      </c>
      <c r="L101" s="46" t="s">
        <v>66</v>
      </c>
      <c r="M101" s="46"/>
      <c r="N101" s="46"/>
      <c r="O101" s="45"/>
      <c r="P101" s="46" t="str">
        <f t="shared" si="1"/>
        <v>ONAY</v>
      </c>
      <c r="R101" s="47" t="str">
        <f>IF(AND($I101&lt;&gt;"",$I101&gt;=DATE(2026,6,23),COUNTIFS($C:$C,$C101,$I:$I,$I101)&gt;2),"⚠ "&amp;COUNTIFS($C:$C,$C101,$I:$I,$I101)&amp;" BAŞVURU!","")</f>
        <v/>
      </c>
    </row>
    <row r="102" spans="1:18" ht="79.5" customHeight="1" x14ac:dyDescent="0.25">
      <c r="A102" s="39" t="s">
        <v>630</v>
      </c>
      <c r="B102" s="39" t="s">
        <v>631</v>
      </c>
      <c r="C102" s="40" t="s">
        <v>632</v>
      </c>
      <c r="D102" s="40" t="s">
        <v>226</v>
      </c>
      <c r="E102" s="41" t="s">
        <v>633</v>
      </c>
      <c r="F102" s="41" t="s">
        <v>634</v>
      </c>
      <c r="G102" s="42" t="s">
        <v>35</v>
      </c>
      <c r="H102" s="44">
        <v>46044</v>
      </c>
      <c r="I102" s="44">
        <v>46057</v>
      </c>
      <c r="J102" s="40" t="s">
        <v>118</v>
      </c>
      <c r="K102" s="40" t="s">
        <v>74</v>
      </c>
      <c r="L102" s="46" t="s">
        <v>66</v>
      </c>
      <c r="M102" s="46"/>
      <c r="N102" s="46"/>
      <c r="O102" s="45"/>
      <c r="P102" s="46" t="str">
        <f t="shared" si="1"/>
        <v>ONAY</v>
      </c>
      <c r="R102" s="47" t="str">
        <f>IF(AND($I102&lt;&gt;"",$I102&gt;=DATE(2026,6,23),COUNTIFS($C:$C,$C102,$I:$I,$I102)&gt;2),"⚠ "&amp;COUNTIFS($C:$C,$C102,$I:$I,$I102)&amp;" BAŞVURU!","")</f>
        <v/>
      </c>
    </row>
    <row r="103" spans="1:18" ht="94.5" customHeight="1" x14ac:dyDescent="0.25">
      <c r="A103" s="39" t="s">
        <v>635</v>
      </c>
      <c r="B103" s="39" t="s">
        <v>636</v>
      </c>
      <c r="C103" s="40" t="s">
        <v>637</v>
      </c>
      <c r="D103" s="40" t="s">
        <v>165</v>
      </c>
      <c r="E103" s="41" t="s">
        <v>638</v>
      </c>
      <c r="F103" s="41" t="s">
        <v>639</v>
      </c>
      <c r="G103" s="42" t="s">
        <v>34</v>
      </c>
      <c r="H103" s="44">
        <v>46044</v>
      </c>
      <c r="I103" s="44">
        <v>46057</v>
      </c>
      <c r="J103" s="40" t="s">
        <v>125</v>
      </c>
      <c r="K103" s="40" t="s">
        <v>102</v>
      </c>
      <c r="L103" s="46" t="s">
        <v>93</v>
      </c>
      <c r="M103" s="46" t="s">
        <v>66</v>
      </c>
      <c r="N103" s="46"/>
      <c r="O103" s="45"/>
      <c r="P103" s="46" t="str">
        <f t="shared" si="1"/>
        <v>ONAY</v>
      </c>
      <c r="Q103" s="25" t="s">
        <v>125</v>
      </c>
      <c r="R103" s="47" t="str">
        <f>IF(AND($I103&lt;&gt;"",$I103&gt;=DATE(2026,6,23),COUNTIFS($C:$C,$C103,$I:$I,$I103)&gt;2),"⚠ "&amp;COUNTIFS($C:$C,$C103,$I:$I,$I103)&amp;" BAŞVURU!","")</f>
        <v/>
      </c>
    </row>
    <row r="104" spans="1:18" ht="63" customHeight="1" x14ac:dyDescent="0.25">
      <c r="A104" s="39" t="s">
        <v>640</v>
      </c>
      <c r="B104" s="39" t="s">
        <v>641</v>
      </c>
      <c r="C104" s="40" t="s">
        <v>92</v>
      </c>
      <c r="D104" s="40" t="s">
        <v>130</v>
      </c>
      <c r="E104" s="41" t="s">
        <v>642</v>
      </c>
      <c r="F104" s="41" t="s">
        <v>643</v>
      </c>
      <c r="G104" s="42" t="s">
        <v>35</v>
      </c>
      <c r="H104" s="44">
        <v>46044</v>
      </c>
      <c r="I104" s="44">
        <v>46057</v>
      </c>
      <c r="J104" s="40" t="s">
        <v>82</v>
      </c>
      <c r="K104" s="40" t="s">
        <v>65</v>
      </c>
      <c r="L104" s="46" t="s">
        <v>66</v>
      </c>
      <c r="M104" s="46"/>
      <c r="N104" s="46"/>
      <c r="O104" s="45"/>
      <c r="P104" s="46" t="str">
        <f t="shared" si="1"/>
        <v>ONAY</v>
      </c>
      <c r="R104" s="47" t="str">
        <f>IF(AND($I104&lt;&gt;"",$I104&gt;=DATE(2026,6,23),COUNTIFS($C:$C,$C104,$I:$I,$I104)&gt;2),"⚠ "&amp;COUNTIFS($C:$C,$C104,$I:$I,$I104)&amp;" BAŞVURU!","")</f>
        <v/>
      </c>
    </row>
    <row r="105" spans="1:18" ht="97.5" customHeight="1" x14ac:dyDescent="0.25">
      <c r="A105" s="39" t="s">
        <v>644</v>
      </c>
      <c r="B105" s="39" t="s">
        <v>645</v>
      </c>
      <c r="C105" s="40" t="s">
        <v>646</v>
      </c>
      <c r="D105" s="40" t="s">
        <v>107</v>
      </c>
      <c r="E105" s="41" t="s">
        <v>647</v>
      </c>
      <c r="F105" s="41" t="s">
        <v>648</v>
      </c>
      <c r="G105" s="42" t="s">
        <v>34</v>
      </c>
      <c r="H105" s="44">
        <v>46044</v>
      </c>
      <c r="I105" s="44">
        <v>46057</v>
      </c>
      <c r="J105" s="40" t="s">
        <v>102</v>
      </c>
      <c r="K105" s="40" t="s">
        <v>74</v>
      </c>
      <c r="L105" s="46" t="s">
        <v>66</v>
      </c>
      <c r="M105" s="46"/>
      <c r="N105" s="46"/>
      <c r="O105" s="45"/>
      <c r="P105" s="46" t="str">
        <f t="shared" si="1"/>
        <v>ONAY</v>
      </c>
      <c r="R105" s="47" t="str">
        <f>IF(AND($I105&lt;&gt;"",$I105&gt;=DATE(2026,6,23),COUNTIFS($C:$C,$C105,$I:$I,$I105)&gt;2),"⚠ "&amp;COUNTIFS($C:$C,$C105,$I:$I,$I105)&amp;" BAŞVURU!","")</f>
        <v/>
      </c>
    </row>
    <row r="106" spans="1:18" ht="78.75" customHeight="1" x14ac:dyDescent="0.25">
      <c r="A106" s="39" t="s">
        <v>649</v>
      </c>
      <c r="B106" s="39" t="s">
        <v>650</v>
      </c>
      <c r="C106" s="40" t="s">
        <v>651</v>
      </c>
      <c r="D106" s="40" t="s">
        <v>172</v>
      </c>
      <c r="E106" s="41" t="s">
        <v>652</v>
      </c>
      <c r="F106" s="41" t="s">
        <v>653</v>
      </c>
      <c r="G106" s="42" t="s">
        <v>34</v>
      </c>
      <c r="H106" s="44">
        <v>46044</v>
      </c>
      <c r="I106" s="44">
        <v>46057</v>
      </c>
      <c r="J106" s="40" t="s">
        <v>102</v>
      </c>
      <c r="K106" s="40" t="s">
        <v>64</v>
      </c>
      <c r="L106" s="46" t="s">
        <v>66</v>
      </c>
      <c r="M106" s="46"/>
      <c r="N106" s="46"/>
      <c r="O106" s="45"/>
      <c r="P106" s="46" t="str">
        <f t="shared" si="1"/>
        <v>ONAY</v>
      </c>
      <c r="R106" s="47" t="str">
        <f>IF(AND($I106&lt;&gt;"",$I106&gt;=DATE(2026,6,23),COUNTIFS($C:$C,$C106,$I:$I,$I106)&gt;2),"⚠ "&amp;COUNTIFS($C:$C,$C106,$I:$I,$I106)&amp;" BAŞVURU!","")</f>
        <v/>
      </c>
    </row>
    <row r="107" spans="1:18" ht="63" customHeight="1" x14ac:dyDescent="0.25">
      <c r="A107" s="39" t="s">
        <v>654</v>
      </c>
      <c r="B107" s="39" t="s">
        <v>655</v>
      </c>
      <c r="C107" s="40" t="s">
        <v>656</v>
      </c>
      <c r="D107" s="40" t="s">
        <v>241</v>
      </c>
      <c r="E107" s="41" t="s">
        <v>657</v>
      </c>
      <c r="F107" s="41" t="s">
        <v>658</v>
      </c>
      <c r="G107" s="42" t="s">
        <v>34</v>
      </c>
      <c r="H107" s="44">
        <v>46044</v>
      </c>
      <c r="I107" s="44">
        <v>46057</v>
      </c>
      <c r="J107" s="40" t="s">
        <v>92</v>
      </c>
      <c r="K107" s="40" t="s">
        <v>125</v>
      </c>
      <c r="L107" s="46" t="s">
        <v>66</v>
      </c>
      <c r="M107" s="46"/>
      <c r="N107" s="46"/>
      <c r="O107" s="45"/>
      <c r="P107" s="46" t="str">
        <f t="shared" si="1"/>
        <v>ONAY</v>
      </c>
      <c r="R107" s="47" t="str">
        <f>IF(AND($I107&lt;&gt;"",$I107&gt;=DATE(2026,6,23),COUNTIFS($C:$C,$C107,$I:$I,$I107)&gt;2),"⚠ "&amp;COUNTIFS($C:$C,$C107,$I:$I,$I107)&amp;" BAŞVURU!","")</f>
        <v/>
      </c>
    </row>
    <row r="108" spans="1:18" ht="110.25" customHeight="1" x14ac:dyDescent="0.25">
      <c r="A108" s="39" t="s">
        <v>659</v>
      </c>
      <c r="B108" s="39" t="s">
        <v>660</v>
      </c>
      <c r="C108" s="40" t="s">
        <v>661</v>
      </c>
      <c r="D108" s="40" t="s">
        <v>241</v>
      </c>
      <c r="E108" s="41" t="s">
        <v>662</v>
      </c>
      <c r="F108" s="41" t="s">
        <v>663</v>
      </c>
      <c r="G108" s="42" t="s">
        <v>34</v>
      </c>
      <c r="H108" s="44">
        <v>46044</v>
      </c>
      <c r="I108" s="44">
        <v>46057</v>
      </c>
      <c r="J108" s="40" t="s">
        <v>64</v>
      </c>
      <c r="K108" s="40" t="s">
        <v>65</v>
      </c>
      <c r="L108" s="46" t="s">
        <v>93</v>
      </c>
      <c r="M108" s="46" t="s">
        <v>66</v>
      </c>
      <c r="N108" s="46"/>
      <c r="O108" s="45"/>
      <c r="P108" s="46" t="str">
        <f t="shared" si="1"/>
        <v>ONAY</v>
      </c>
      <c r="Q108" s="25" t="s">
        <v>64</v>
      </c>
      <c r="R108" s="47" t="str">
        <f>IF(AND($I108&lt;&gt;"",$I108&gt;=DATE(2026,6,23),COUNTIFS($C:$C,$C108,$I:$I,$I108)&gt;2),"⚠ "&amp;COUNTIFS($C:$C,$C108,$I:$I,$I108)&amp;" BAŞVURU!","")</f>
        <v/>
      </c>
    </row>
    <row r="109" spans="1:18" ht="78.75" customHeight="1" x14ac:dyDescent="0.25">
      <c r="A109" s="39" t="s">
        <v>664</v>
      </c>
      <c r="B109" s="39" t="s">
        <v>665</v>
      </c>
      <c r="C109" s="40" t="s">
        <v>666</v>
      </c>
      <c r="D109" s="40" t="s">
        <v>512</v>
      </c>
      <c r="E109" s="41" t="s">
        <v>667</v>
      </c>
      <c r="F109" s="41" t="s">
        <v>668</v>
      </c>
      <c r="G109" s="42" t="s">
        <v>34</v>
      </c>
      <c r="H109" s="44">
        <v>46044</v>
      </c>
      <c r="I109" s="44">
        <v>46057</v>
      </c>
      <c r="J109" s="40" t="s">
        <v>118</v>
      </c>
      <c r="K109" s="40" t="s">
        <v>92</v>
      </c>
      <c r="L109" s="46" t="s">
        <v>66</v>
      </c>
      <c r="M109" s="46"/>
      <c r="N109" s="46"/>
      <c r="O109" s="45"/>
      <c r="P109" s="46" t="str">
        <f t="shared" si="1"/>
        <v>ONAY</v>
      </c>
      <c r="R109" s="47" t="str">
        <f>IF(AND($I109&lt;&gt;"",$I109&gt;=DATE(2026,6,23),COUNTIFS($C:$C,$C109,$I:$I,$I109)&gt;2),"⚠ "&amp;COUNTIFS($C:$C,$C109,$I:$I,$I109)&amp;" BAŞVURU!","")</f>
        <v/>
      </c>
    </row>
    <row r="110" spans="1:18" ht="78.75" customHeight="1" x14ac:dyDescent="0.25">
      <c r="A110" s="39" t="s">
        <v>669</v>
      </c>
      <c r="B110" s="39" t="s">
        <v>670</v>
      </c>
      <c r="C110" s="40" t="s">
        <v>671</v>
      </c>
      <c r="D110" s="40" t="s">
        <v>234</v>
      </c>
      <c r="E110" s="41" t="s">
        <v>672</v>
      </c>
      <c r="F110" s="41" t="s">
        <v>673</v>
      </c>
      <c r="G110" s="42" t="s">
        <v>34</v>
      </c>
      <c r="H110" s="44">
        <v>46044</v>
      </c>
      <c r="I110" s="44">
        <v>46057</v>
      </c>
      <c r="J110" s="40" t="s">
        <v>65</v>
      </c>
      <c r="K110" s="40" t="s">
        <v>74</v>
      </c>
      <c r="L110" s="46" t="s">
        <v>66</v>
      </c>
      <c r="M110" s="46"/>
      <c r="N110" s="46"/>
      <c r="O110" s="45"/>
      <c r="P110" s="46" t="str">
        <f t="shared" si="1"/>
        <v>ONAY</v>
      </c>
      <c r="R110" s="47" t="str">
        <f>IF(AND($I110&lt;&gt;"",$I110&gt;=DATE(2026,6,23),COUNTIFS($C:$C,$C110,$I:$I,$I110)&gt;2),"⚠ "&amp;COUNTIFS($C:$C,$C110,$I:$I,$I110)&amp;" BAŞVURU!","")</f>
        <v/>
      </c>
    </row>
    <row r="111" spans="1:18" ht="81.75" customHeight="1" x14ac:dyDescent="0.25">
      <c r="A111" s="39" t="s">
        <v>674</v>
      </c>
      <c r="B111" s="39" t="s">
        <v>675</v>
      </c>
      <c r="C111" s="40" t="s">
        <v>424</v>
      </c>
      <c r="D111" s="40" t="s">
        <v>425</v>
      </c>
      <c r="E111" s="41" t="s">
        <v>676</v>
      </c>
      <c r="F111" s="41" t="s">
        <v>677</v>
      </c>
      <c r="G111" s="42" t="s">
        <v>34</v>
      </c>
      <c r="H111" s="44">
        <v>46044</v>
      </c>
      <c r="I111" s="44">
        <v>46057</v>
      </c>
      <c r="J111" s="40" t="s">
        <v>74</v>
      </c>
      <c r="K111" s="40" t="s">
        <v>118</v>
      </c>
      <c r="L111" s="46" t="s">
        <v>66</v>
      </c>
      <c r="M111" s="46"/>
      <c r="N111" s="46"/>
      <c r="O111" s="45"/>
      <c r="P111" s="46" t="str">
        <f t="shared" si="1"/>
        <v>ONAY</v>
      </c>
      <c r="R111" s="47" t="str">
        <f>IF(AND($I111&lt;&gt;"",$I111&gt;=DATE(2026,6,23),COUNTIFS($C:$C,$C111,$I:$I,$I111)&gt;2),"⚠ "&amp;COUNTIFS($C:$C,$C111,$I:$I,$I111)&amp;" BAŞVURU!","")</f>
        <v/>
      </c>
    </row>
    <row r="112" spans="1:18" ht="94.5" customHeight="1" x14ac:dyDescent="0.25">
      <c r="A112" s="39" t="s">
        <v>678</v>
      </c>
      <c r="B112" s="39" t="s">
        <v>679</v>
      </c>
      <c r="C112" s="40" t="s">
        <v>680</v>
      </c>
      <c r="D112" s="40" t="s">
        <v>392</v>
      </c>
      <c r="E112" s="41" t="s">
        <v>681</v>
      </c>
      <c r="F112" s="41" t="s">
        <v>682</v>
      </c>
      <c r="G112" s="42" t="s">
        <v>34</v>
      </c>
      <c r="H112" s="44">
        <v>46044</v>
      </c>
      <c r="I112" s="44">
        <v>46057</v>
      </c>
      <c r="J112" s="40" t="s">
        <v>65</v>
      </c>
      <c r="K112" s="40" t="s">
        <v>92</v>
      </c>
      <c r="L112" s="46" t="s">
        <v>93</v>
      </c>
      <c r="M112" s="46" t="s">
        <v>66</v>
      </c>
      <c r="N112" s="46"/>
      <c r="O112" s="45"/>
      <c r="P112" s="46" t="str">
        <f t="shared" si="1"/>
        <v>ONAY</v>
      </c>
      <c r="Q112" s="25" t="s">
        <v>92</v>
      </c>
      <c r="R112" s="47" t="str">
        <f>IF(AND($I112&lt;&gt;"",$I112&gt;=DATE(2026,6,23),COUNTIFS($C:$C,$C112,$I:$I,$I112)&gt;2),"⚠ "&amp;COUNTIFS($C:$C,$C112,$I:$I,$I112)&amp;" BAŞVURU!","")</f>
        <v/>
      </c>
    </row>
    <row r="113" spans="1:18" ht="63" customHeight="1" x14ac:dyDescent="0.25">
      <c r="A113" s="39" t="s">
        <v>683</v>
      </c>
      <c r="B113" s="39" t="s">
        <v>684</v>
      </c>
      <c r="C113" s="40" t="s">
        <v>685</v>
      </c>
      <c r="D113" s="40" t="s">
        <v>324</v>
      </c>
      <c r="E113" s="41" t="s">
        <v>686</v>
      </c>
      <c r="F113" s="41" t="s">
        <v>687</v>
      </c>
      <c r="G113" s="42" t="s">
        <v>34</v>
      </c>
      <c r="H113" s="44">
        <v>46044</v>
      </c>
      <c r="I113" s="44">
        <v>46057</v>
      </c>
      <c r="J113" s="40" t="s">
        <v>118</v>
      </c>
      <c r="K113" s="40" t="s">
        <v>125</v>
      </c>
      <c r="L113" s="46" t="s">
        <v>66</v>
      </c>
      <c r="M113" s="46"/>
      <c r="N113" s="46"/>
      <c r="O113" s="45"/>
      <c r="P113" s="46" t="str">
        <f t="shared" si="1"/>
        <v>ONAY</v>
      </c>
      <c r="R113" s="47" t="str">
        <f>IF(AND($I113&lt;&gt;"",$I113&gt;=DATE(2026,6,23),COUNTIFS($C:$C,$C113,$I:$I,$I113)&gt;2),"⚠ "&amp;COUNTIFS($C:$C,$C113,$I:$I,$I113)&amp;" BAŞVURU!","")</f>
        <v/>
      </c>
    </row>
    <row r="114" spans="1:18" ht="78.75" customHeight="1" x14ac:dyDescent="0.25">
      <c r="A114" s="39" t="s">
        <v>688</v>
      </c>
      <c r="B114" s="39" t="s">
        <v>689</v>
      </c>
      <c r="C114" s="40" t="s">
        <v>110</v>
      </c>
      <c r="D114" s="40" t="s">
        <v>690</v>
      </c>
      <c r="E114" s="41" t="s">
        <v>691</v>
      </c>
      <c r="F114" s="41" t="s">
        <v>692</v>
      </c>
      <c r="G114" s="42" t="s">
        <v>37</v>
      </c>
      <c r="H114" s="44">
        <v>46044</v>
      </c>
      <c r="I114" s="44">
        <v>46057</v>
      </c>
      <c r="J114" s="40" t="s">
        <v>64</v>
      </c>
      <c r="K114" s="40" t="s">
        <v>125</v>
      </c>
      <c r="L114" s="46" t="s">
        <v>93</v>
      </c>
      <c r="M114" s="46" t="s">
        <v>66</v>
      </c>
      <c r="N114" s="46"/>
      <c r="O114" s="45"/>
      <c r="P114" s="46" t="str">
        <f t="shared" si="1"/>
        <v>ONAY</v>
      </c>
      <c r="Q114" s="25" t="s">
        <v>64</v>
      </c>
      <c r="R114" s="47" t="str">
        <f>IF(AND($I114&lt;&gt;"",$I114&gt;=DATE(2026,6,23),COUNTIFS($C:$C,$C114,$I:$I,$I114)&gt;2),"⚠ "&amp;COUNTIFS($C:$C,$C114,$I:$I,$I114)&amp;" BAŞVURU!","")</f>
        <v/>
      </c>
    </row>
    <row r="115" spans="1:18" ht="110.25" customHeight="1" x14ac:dyDescent="0.25">
      <c r="A115" s="39" t="s">
        <v>693</v>
      </c>
      <c r="B115" s="39" t="s">
        <v>694</v>
      </c>
      <c r="C115" s="40" t="s">
        <v>280</v>
      </c>
      <c r="D115" s="40" t="s">
        <v>172</v>
      </c>
      <c r="E115" s="41" t="s">
        <v>695</v>
      </c>
      <c r="F115" s="41" t="s">
        <v>696</v>
      </c>
      <c r="G115" s="42" t="s">
        <v>34</v>
      </c>
      <c r="H115" s="44">
        <v>46044</v>
      </c>
      <c r="I115" s="44">
        <v>46057</v>
      </c>
      <c r="J115" s="40" t="s">
        <v>82</v>
      </c>
      <c r="K115" s="40" t="s">
        <v>92</v>
      </c>
      <c r="L115" s="46" t="s">
        <v>66</v>
      </c>
      <c r="M115" s="46"/>
      <c r="N115" s="46"/>
      <c r="O115" s="45"/>
      <c r="P115" s="46" t="str">
        <f t="shared" si="1"/>
        <v>ONAY</v>
      </c>
      <c r="R115" s="47" t="str">
        <f>IF(AND($I115&lt;&gt;"",$I115&gt;=DATE(2026,6,23),COUNTIFS($C:$C,$C115,$I:$I,$I115)&gt;2),"⚠ "&amp;COUNTIFS($C:$C,$C115,$I:$I,$I115)&amp;" BAŞVURU!","")</f>
        <v/>
      </c>
    </row>
    <row r="116" spans="1:18" ht="63" customHeight="1" x14ac:dyDescent="0.25">
      <c r="A116" s="39" t="s">
        <v>697</v>
      </c>
      <c r="B116" s="39" t="s">
        <v>698</v>
      </c>
      <c r="C116" s="40" t="s">
        <v>699</v>
      </c>
      <c r="D116" s="40" t="s">
        <v>375</v>
      </c>
      <c r="E116" s="41" t="s">
        <v>700</v>
      </c>
      <c r="F116" s="41" t="s">
        <v>701</v>
      </c>
      <c r="G116" s="42" t="s">
        <v>35</v>
      </c>
      <c r="H116" s="44">
        <v>46044</v>
      </c>
      <c r="I116" s="44">
        <v>46057</v>
      </c>
      <c r="J116" s="40" t="s">
        <v>82</v>
      </c>
      <c r="K116" s="40" t="s">
        <v>102</v>
      </c>
      <c r="L116" s="46" t="s">
        <v>93</v>
      </c>
      <c r="M116" s="46"/>
      <c r="N116" s="46"/>
      <c r="O116" s="45"/>
      <c r="P116" s="46" t="str">
        <f t="shared" si="1"/>
        <v>DÜZELTME</v>
      </c>
      <c r="R116" s="47" t="str">
        <f>IF(AND($I116&lt;&gt;"",$I116&gt;=DATE(2026,6,23),COUNTIFS($C:$C,$C116,$I:$I,$I116)&gt;2),"⚠ "&amp;COUNTIFS($C:$C,$C116,$I:$I,$I116)&amp;" BAŞVURU!","")</f>
        <v/>
      </c>
    </row>
    <row r="117" spans="1:18" ht="78.75" customHeight="1" x14ac:dyDescent="0.25">
      <c r="A117" s="39" t="s">
        <v>702</v>
      </c>
      <c r="B117" s="39" t="s">
        <v>703</v>
      </c>
      <c r="C117" s="40" t="s">
        <v>704</v>
      </c>
      <c r="D117" s="40" t="s">
        <v>292</v>
      </c>
      <c r="E117" s="41" t="s">
        <v>705</v>
      </c>
      <c r="F117" s="41" t="s">
        <v>706</v>
      </c>
      <c r="G117" s="42" t="s">
        <v>37</v>
      </c>
      <c r="H117" s="44">
        <v>46044</v>
      </c>
      <c r="I117" s="44">
        <v>46057</v>
      </c>
      <c r="J117" s="40" t="s">
        <v>64</v>
      </c>
      <c r="K117" s="40" t="s">
        <v>92</v>
      </c>
      <c r="L117" s="46" t="s">
        <v>66</v>
      </c>
      <c r="M117" s="46"/>
      <c r="N117" s="46"/>
      <c r="O117" s="45"/>
      <c r="P117" s="46" t="str">
        <f t="shared" si="1"/>
        <v>ONAY</v>
      </c>
      <c r="R117" s="47" t="str">
        <f>IF(AND($I117&lt;&gt;"",$I117&gt;=DATE(2026,6,23),COUNTIFS($C:$C,$C117,$I:$I,$I117)&gt;2),"⚠ "&amp;COUNTIFS($C:$C,$C117,$I:$I,$I117)&amp;" BAŞVURU!","")</f>
        <v/>
      </c>
    </row>
    <row r="118" spans="1:18" ht="63" customHeight="1" x14ac:dyDescent="0.25">
      <c r="A118" s="39" t="s">
        <v>707</v>
      </c>
      <c r="B118" s="39" t="s">
        <v>708</v>
      </c>
      <c r="C118" s="40" t="s">
        <v>709</v>
      </c>
      <c r="D118" s="40" t="s">
        <v>107</v>
      </c>
      <c r="E118" s="41" t="s">
        <v>710</v>
      </c>
      <c r="F118" s="41" t="s">
        <v>711</v>
      </c>
      <c r="G118" s="42" t="s">
        <v>34</v>
      </c>
      <c r="H118" s="44">
        <v>46044</v>
      </c>
      <c r="I118" s="44">
        <v>46057</v>
      </c>
      <c r="J118" s="40" t="s">
        <v>102</v>
      </c>
      <c r="K118" s="40" t="s">
        <v>125</v>
      </c>
      <c r="L118" s="46" t="s">
        <v>93</v>
      </c>
      <c r="M118" s="46" t="s">
        <v>66</v>
      </c>
      <c r="N118" s="46"/>
      <c r="O118" s="45"/>
      <c r="P118" s="46" t="str">
        <f t="shared" si="1"/>
        <v>ONAY</v>
      </c>
      <c r="Q118" s="25" t="s">
        <v>125</v>
      </c>
      <c r="R118" s="47" t="str">
        <f>IF(AND($I118&lt;&gt;"",$I118&gt;=DATE(2026,6,23),COUNTIFS($C:$C,$C118,$I:$I,$I118)&gt;2),"⚠ "&amp;COUNTIFS($C:$C,$C118,$I:$I,$I118)&amp;" BAŞVURU!","")</f>
        <v/>
      </c>
    </row>
    <row r="119" spans="1:18" ht="94.5" customHeight="1" x14ac:dyDescent="0.25">
      <c r="A119" s="39" t="s">
        <v>712</v>
      </c>
      <c r="B119" s="39" t="s">
        <v>713</v>
      </c>
      <c r="C119" s="40" t="s">
        <v>714</v>
      </c>
      <c r="D119" s="40" t="s">
        <v>715</v>
      </c>
      <c r="E119" s="41" t="s">
        <v>716</v>
      </c>
      <c r="F119" s="41" t="s">
        <v>717</v>
      </c>
      <c r="G119" s="42" t="s">
        <v>34</v>
      </c>
      <c r="H119" s="44">
        <v>46045</v>
      </c>
      <c r="I119" s="44">
        <v>46057</v>
      </c>
      <c r="J119" s="40" t="s">
        <v>64</v>
      </c>
      <c r="K119" s="40" t="s">
        <v>82</v>
      </c>
      <c r="L119" s="46" t="s">
        <v>93</v>
      </c>
      <c r="M119" s="46" t="s">
        <v>66</v>
      </c>
      <c r="N119" s="46"/>
      <c r="O119" s="45"/>
      <c r="P119" s="46" t="str">
        <f t="shared" si="1"/>
        <v>ONAY</v>
      </c>
      <c r="Q119" s="25" t="s">
        <v>82</v>
      </c>
      <c r="R119" s="47" t="str">
        <f>IF(AND($I119&lt;&gt;"",$I119&gt;=DATE(2026,6,23),COUNTIFS($C:$C,$C119,$I:$I,$I119)&gt;2),"⚠ "&amp;COUNTIFS($C:$C,$C119,$I:$I,$I119)&amp;" BAŞVURU!","")</f>
        <v/>
      </c>
    </row>
    <row r="120" spans="1:18" ht="63" customHeight="1" x14ac:dyDescent="0.25">
      <c r="A120" s="39" t="s">
        <v>718</v>
      </c>
      <c r="B120" s="39" t="s">
        <v>719</v>
      </c>
      <c r="C120" s="40" t="s">
        <v>720</v>
      </c>
      <c r="D120" s="40" t="s">
        <v>292</v>
      </c>
      <c r="E120" s="41" t="s">
        <v>721</v>
      </c>
      <c r="F120" s="41" t="s">
        <v>722</v>
      </c>
      <c r="G120" s="42" t="s">
        <v>34</v>
      </c>
      <c r="H120" s="44">
        <v>46045</v>
      </c>
      <c r="I120" s="44">
        <v>46057</v>
      </c>
      <c r="J120" s="40" t="s">
        <v>64</v>
      </c>
      <c r="K120" s="40" t="s">
        <v>118</v>
      </c>
      <c r="L120" s="46" t="s">
        <v>93</v>
      </c>
      <c r="M120" s="46" t="s">
        <v>66</v>
      </c>
      <c r="N120" s="46"/>
      <c r="O120" s="45"/>
      <c r="P120" s="46" t="str">
        <f t="shared" si="1"/>
        <v>ONAY</v>
      </c>
      <c r="Q120" s="25" t="s">
        <v>64</v>
      </c>
      <c r="R120" s="47" t="str">
        <f>IF(AND($I120&lt;&gt;"",$I120&gt;=DATE(2026,6,23),COUNTIFS($C:$C,$C120,$I:$I,$I120)&gt;2),"⚠ "&amp;COUNTIFS($C:$C,$C120,$I:$I,$I120)&amp;" BAŞVURU!","")</f>
        <v/>
      </c>
    </row>
    <row r="121" spans="1:18" ht="94.5" customHeight="1" x14ac:dyDescent="0.25">
      <c r="A121" s="39" t="s">
        <v>723</v>
      </c>
      <c r="B121" s="39" t="s">
        <v>724</v>
      </c>
      <c r="C121" s="40" t="s">
        <v>725</v>
      </c>
      <c r="D121" s="40" t="s">
        <v>726</v>
      </c>
      <c r="E121" s="41" t="s">
        <v>727</v>
      </c>
      <c r="F121" s="41" t="s">
        <v>728</v>
      </c>
      <c r="G121" s="42" t="s">
        <v>34</v>
      </c>
      <c r="H121" s="44">
        <v>46045</v>
      </c>
      <c r="I121" s="44">
        <v>46057</v>
      </c>
      <c r="J121" s="40" t="s">
        <v>64</v>
      </c>
      <c r="K121" s="40" t="s">
        <v>65</v>
      </c>
      <c r="L121" s="46" t="s">
        <v>93</v>
      </c>
      <c r="M121" s="46" t="s">
        <v>66</v>
      </c>
      <c r="N121" s="46"/>
      <c r="O121" s="45"/>
      <c r="P121" s="46" t="str">
        <f t="shared" si="1"/>
        <v>ONAY</v>
      </c>
      <c r="Q121" s="25" t="s">
        <v>64</v>
      </c>
      <c r="R121" s="47" t="str">
        <f>IF(AND($I121&lt;&gt;"",$I121&gt;=DATE(2026,6,23),COUNTIFS($C:$C,$C121,$I:$I,$I121)&gt;2),"⚠ "&amp;COUNTIFS($C:$C,$C121,$I:$I,$I121)&amp;" BAŞVURU!","")</f>
        <v/>
      </c>
    </row>
    <row r="122" spans="1:18" ht="78.75" customHeight="1" x14ac:dyDescent="0.25">
      <c r="A122" s="39" t="s">
        <v>729</v>
      </c>
      <c r="B122" s="39" t="s">
        <v>730</v>
      </c>
      <c r="C122" s="40" t="s">
        <v>110</v>
      </c>
      <c r="D122" s="40" t="s">
        <v>690</v>
      </c>
      <c r="E122" s="41" t="s">
        <v>731</v>
      </c>
      <c r="F122" s="41" t="s">
        <v>732</v>
      </c>
      <c r="G122" s="42" t="s">
        <v>34</v>
      </c>
      <c r="H122" s="44">
        <v>46045</v>
      </c>
      <c r="I122" s="44">
        <v>46057</v>
      </c>
      <c r="J122" s="40" t="s">
        <v>64</v>
      </c>
      <c r="K122" s="40" t="s">
        <v>118</v>
      </c>
      <c r="L122" s="46" t="s">
        <v>93</v>
      </c>
      <c r="M122" s="46" t="s">
        <v>66</v>
      </c>
      <c r="N122" s="46"/>
      <c r="O122" s="45"/>
      <c r="P122" s="46" t="str">
        <f t="shared" si="1"/>
        <v>ONAY</v>
      </c>
      <c r="Q122" s="25" t="s">
        <v>64</v>
      </c>
      <c r="R122" s="47" t="str">
        <f>IF(AND($I122&lt;&gt;"",$I122&gt;=DATE(2026,6,23),COUNTIFS($C:$C,$C122,$I:$I,$I122)&gt;2),"⚠ "&amp;COUNTIFS($C:$C,$C122,$I:$I,$I122)&amp;" BAŞVURU!","")</f>
        <v/>
      </c>
    </row>
    <row r="123" spans="1:18" ht="65.25" customHeight="1" x14ac:dyDescent="0.25">
      <c r="A123" s="39" t="s">
        <v>733</v>
      </c>
      <c r="B123" s="39" t="s">
        <v>734</v>
      </c>
      <c r="C123" s="40" t="s">
        <v>467</v>
      </c>
      <c r="D123" s="40" t="s">
        <v>193</v>
      </c>
      <c r="E123" s="41" t="s">
        <v>735</v>
      </c>
      <c r="F123" s="41" t="s">
        <v>736</v>
      </c>
      <c r="G123" s="42" t="s">
        <v>34</v>
      </c>
      <c r="H123" s="44">
        <v>46045</v>
      </c>
      <c r="I123" s="44">
        <v>46057</v>
      </c>
      <c r="J123" s="40" t="s">
        <v>102</v>
      </c>
      <c r="K123" s="40" t="s">
        <v>74</v>
      </c>
      <c r="L123" s="46" t="s">
        <v>93</v>
      </c>
      <c r="M123" s="46" t="s">
        <v>66</v>
      </c>
      <c r="N123" s="46"/>
      <c r="O123" s="45"/>
      <c r="P123" s="46" t="str">
        <f t="shared" si="1"/>
        <v>ONAY</v>
      </c>
      <c r="Q123" s="25" t="s">
        <v>102</v>
      </c>
      <c r="R123" s="47" t="str">
        <f>IF(AND($I123&lt;&gt;"",$I123&gt;=DATE(2026,6,23),COUNTIFS($C:$C,$C123,$I:$I,$I123)&gt;2),"⚠ "&amp;COUNTIFS($C:$C,$C123,$I:$I,$I123)&amp;" BAŞVURU!","")</f>
        <v/>
      </c>
    </row>
    <row r="124" spans="1:18" ht="78.75" customHeight="1" x14ac:dyDescent="0.25">
      <c r="A124" s="39" t="s">
        <v>737</v>
      </c>
      <c r="B124" s="39" t="s">
        <v>738</v>
      </c>
      <c r="C124" s="40" t="s">
        <v>739</v>
      </c>
      <c r="D124" s="40" t="s">
        <v>107</v>
      </c>
      <c r="E124" s="41" t="s">
        <v>740</v>
      </c>
      <c r="F124" s="41" t="s">
        <v>741</v>
      </c>
      <c r="G124" s="42" t="s">
        <v>34</v>
      </c>
      <c r="H124" s="44">
        <v>46045</v>
      </c>
      <c r="I124" s="44">
        <v>46057</v>
      </c>
      <c r="J124" s="40" t="s">
        <v>82</v>
      </c>
      <c r="K124" s="40" t="s">
        <v>125</v>
      </c>
      <c r="L124" s="46" t="s">
        <v>66</v>
      </c>
      <c r="M124" s="46"/>
      <c r="N124" s="46"/>
      <c r="O124" s="45"/>
      <c r="P124" s="46" t="str">
        <f t="shared" si="1"/>
        <v>ONAY</v>
      </c>
      <c r="R124" s="47" t="str">
        <f>IF(AND($I124&lt;&gt;"",$I124&gt;=DATE(2026,6,23),COUNTIFS($C:$C,$C124,$I:$I,$I124)&gt;2),"⚠ "&amp;COUNTIFS($C:$C,$C124,$I:$I,$I124)&amp;" BAŞVURU!","")</f>
        <v/>
      </c>
    </row>
    <row r="125" spans="1:18" ht="94.5" customHeight="1" x14ac:dyDescent="0.25">
      <c r="A125" s="39" t="s">
        <v>742</v>
      </c>
      <c r="B125" s="39" t="s">
        <v>743</v>
      </c>
      <c r="C125" s="40" t="s">
        <v>101</v>
      </c>
      <c r="D125" s="40" t="s">
        <v>458</v>
      </c>
      <c r="E125" s="41" t="s">
        <v>744</v>
      </c>
      <c r="F125" s="41" t="s">
        <v>745</v>
      </c>
      <c r="G125" s="42" t="s">
        <v>34</v>
      </c>
      <c r="H125" s="44">
        <v>46045</v>
      </c>
      <c r="I125" s="44">
        <v>46057</v>
      </c>
      <c r="J125" s="40" t="s">
        <v>92</v>
      </c>
      <c r="K125" s="40" t="s">
        <v>64</v>
      </c>
      <c r="L125" s="46" t="s">
        <v>93</v>
      </c>
      <c r="M125" s="46"/>
      <c r="N125" s="46"/>
      <c r="O125" s="45"/>
      <c r="P125" s="46" t="str">
        <f t="shared" si="1"/>
        <v>DÜZELTME</v>
      </c>
      <c r="R125" s="47" t="str">
        <f>IF(AND($I125&lt;&gt;"",$I125&gt;=DATE(2026,6,23),COUNTIFS($C:$C,$C125,$I:$I,$I125)&gt;2),"⚠ "&amp;COUNTIFS($C:$C,$C125,$I:$I,$I125)&amp;" BAŞVURU!","")</f>
        <v/>
      </c>
    </row>
    <row r="126" spans="1:18" ht="110.25" customHeight="1" x14ac:dyDescent="0.25">
      <c r="A126" s="39" t="s">
        <v>746</v>
      </c>
      <c r="B126" s="39" t="s">
        <v>747</v>
      </c>
      <c r="C126" s="40" t="s">
        <v>171</v>
      </c>
      <c r="D126" s="40" t="s">
        <v>172</v>
      </c>
      <c r="E126" s="41" t="s">
        <v>748</v>
      </c>
      <c r="F126" s="41" t="s">
        <v>749</v>
      </c>
      <c r="G126" s="42" t="s">
        <v>34</v>
      </c>
      <c r="H126" s="44">
        <v>46045</v>
      </c>
      <c r="I126" s="44">
        <v>46057</v>
      </c>
      <c r="J126" s="40" t="s">
        <v>102</v>
      </c>
      <c r="K126" s="40" t="s">
        <v>65</v>
      </c>
      <c r="L126" s="46" t="s">
        <v>93</v>
      </c>
      <c r="M126" s="46"/>
      <c r="N126" s="46"/>
      <c r="O126" s="45"/>
      <c r="P126" s="46" t="str">
        <f t="shared" si="1"/>
        <v>DÜZELTME</v>
      </c>
      <c r="R126" s="47" t="str">
        <f>IF(AND($I126&lt;&gt;"",$I126&gt;=DATE(2026,6,23),COUNTIFS($C:$C,$C126,$I:$I,$I126)&gt;2),"⚠ "&amp;COUNTIFS($C:$C,$C126,$I:$I,$I126)&amp;" BAŞVURU!","")</f>
        <v/>
      </c>
    </row>
    <row r="127" spans="1:18" ht="94.5" customHeight="1" x14ac:dyDescent="0.25">
      <c r="A127" s="39" t="s">
        <v>750</v>
      </c>
      <c r="B127" s="39" t="s">
        <v>751</v>
      </c>
      <c r="C127" s="40" t="s">
        <v>752</v>
      </c>
      <c r="D127" s="40" t="s">
        <v>753</v>
      </c>
      <c r="E127" s="41" t="s">
        <v>754</v>
      </c>
      <c r="F127" s="41" t="s">
        <v>755</v>
      </c>
      <c r="G127" s="42" t="s">
        <v>37</v>
      </c>
      <c r="H127" s="44">
        <v>46045</v>
      </c>
      <c r="I127" s="44">
        <v>46057</v>
      </c>
      <c r="J127" s="40" t="s">
        <v>65</v>
      </c>
      <c r="K127" s="40" t="s">
        <v>74</v>
      </c>
      <c r="L127" s="46" t="s">
        <v>93</v>
      </c>
      <c r="M127" s="46" t="s">
        <v>66</v>
      </c>
      <c r="N127" s="46"/>
      <c r="O127" s="45"/>
      <c r="P127" s="46" t="str">
        <f t="shared" si="1"/>
        <v>ONAY</v>
      </c>
      <c r="Q127" s="25" t="s">
        <v>74</v>
      </c>
      <c r="R127" s="47" t="str">
        <f>IF(AND($I127&lt;&gt;"",$I127&gt;=DATE(2026,6,23),COUNTIFS($C:$C,$C127,$I:$I,$I127)&gt;2),"⚠ "&amp;COUNTIFS($C:$C,$C127,$I:$I,$I127)&amp;" BAŞVURU!","")</f>
        <v/>
      </c>
    </row>
    <row r="128" spans="1:18" ht="63" customHeight="1" x14ac:dyDescent="0.25">
      <c r="A128" s="39" t="s">
        <v>756</v>
      </c>
      <c r="B128" s="39" t="s">
        <v>757</v>
      </c>
      <c r="C128" s="40" t="s">
        <v>211</v>
      </c>
      <c r="D128" s="40" t="s">
        <v>212</v>
      </c>
      <c r="E128" s="41" t="s">
        <v>758</v>
      </c>
      <c r="F128" s="41" t="s">
        <v>759</v>
      </c>
      <c r="G128" s="42" t="s">
        <v>37</v>
      </c>
      <c r="H128" s="44">
        <v>46045</v>
      </c>
      <c r="I128" s="44">
        <v>46057</v>
      </c>
      <c r="J128" s="40" t="s">
        <v>64</v>
      </c>
      <c r="K128" s="40" t="s">
        <v>74</v>
      </c>
      <c r="L128" s="46" t="s">
        <v>66</v>
      </c>
      <c r="M128" s="46"/>
      <c r="N128" s="46"/>
      <c r="O128" s="45"/>
      <c r="P128" s="46" t="str">
        <f t="shared" si="1"/>
        <v>ONAY</v>
      </c>
      <c r="R128" s="47" t="str">
        <f>IF(AND($I128&lt;&gt;"",$I128&gt;=DATE(2026,6,23),COUNTIFS($C:$C,$C128,$I:$I,$I128)&gt;2),"⚠ "&amp;COUNTIFS($C:$C,$C128,$I:$I,$I128)&amp;" BAŞVURU!","")</f>
        <v/>
      </c>
    </row>
    <row r="129" spans="1:18" ht="78.75" customHeight="1" x14ac:dyDescent="0.25">
      <c r="A129" s="39" t="s">
        <v>760</v>
      </c>
      <c r="B129" s="39" t="s">
        <v>761</v>
      </c>
      <c r="C129" s="40" t="s">
        <v>762</v>
      </c>
      <c r="D129" s="40" t="s">
        <v>234</v>
      </c>
      <c r="E129" s="41" t="s">
        <v>763</v>
      </c>
      <c r="F129" s="41" t="s">
        <v>764</v>
      </c>
      <c r="G129" s="42" t="s">
        <v>35</v>
      </c>
      <c r="H129" s="44">
        <v>46045</v>
      </c>
      <c r="I129" s="44">
        <v>46057</v>
      </c>
      <c r="J129" s="40" t="s">
        <v>92</v>
      </c>
      <c r="K129" s="40" t="s">
        <v>82</v>
      </c>
      <c r="L129" s="46" t="s">
        <v>93</v>
      </c>
      <c r="M129" s="46" t="s">
        <v>66</v>
      </c>
      <c r="N129" s="46"/>
      <c r="O129" s="45"/>
      <c r="P129" s="46" t="str">
        <f t="shared" si="1"/>
        <v>ONAY</v>
      </c>
      <c r="Q129" s="25" t="s">
        <v>82</v>
      </c>
      <c r="R129" s="47" t="str">
        <f>IF(AND($I129&lt;&gt;"",$I129&gt;=DATE(2026,6,23),COUNTIFS($C:$C,$C129,$I:$I,$I129)&gt;2),"⚠ "&amp;COUNTIFS($C:$C,$C129,$I:$I,$I129)&amp;" BAŞVURU!","")</f>
        <v/>
      </c>
    </row>
    <row r="130" spans="1:18" ht="78.75" customHeight="1" x14ac:dyDescent="0.25">
      <c r="A130" s="39" t="s">
        <v>765</v>
      </c>
      <c r="B130" s="39" t="s">
        <v>766</v>
      </c>
      <c r="C130" s="40" t="s">
        <v>767</v>
      </c>
      <c r="D130" s="40" t="s">
        <v>130</v>
      </c>
      <c r="E130" s="41" t="s">
        <v>768</v>
      </c>
      <c r="F130" s="41" t="s">
        <v>769</v>
      </c>
      <c r="G130" s="42" t="s">
        <v>35</v>
      </c>
      <c r="H130" s="44">
        <v>46045</v>
      </c>
      <c r="I130" s="44">
        <v>46057</v>
      </c>
      <c r="J130" s="40" t="s">
        <v>92</v>
      </c>
      <c r="K130" s="40" t="s">
        <v>125</v>
      </c>
      <c r="L130" s="46" t="s">
        <v>66</v>
      </c>
      <c r="M130" s="46"/>
      <c r="N130" s="46"/>
      <c r="O130" s="45"/>
      <c r="P130" s="46" t="str">
        <f t="shared" ref="P130:P193" si="2">IF(O130&lt;&gt;"",O130, IF(N130&lt;&gt;"",N130, IF(M130&lt;&gt;"",M130, L130)))</f>
        <v>ONAY</v>
      </c>
      <c r="R130" s="47" t="str">
        <f>IF(AND($I130&lt;&gt;"",$I130&gt;=DATE(2026,6,23),COUNTIFS($C:$C,$C130,$I:$I,$I130)&gt;2),"⚠ "&amp;COUNTIFS($C:$C,$C130,$I:$I,$I130)&amp;" BAŞVURU!","")</f>
        <v/>
      </c>
    </row>
    <row r="131" spans="1:18" ht="79.5" customHeight="1" x14ac:dyDescent="0.25">
      <c r="A131" s="39" t="s">
        <v>770</v>
      </c>
      <c r="B131" s="39" t="s">
        <v>771</v>
      </c>
      <c r="C131" s="40" t="s">
        <v>772</v>
      </c>
      <c r="D131" s="40" t="s">
        <v>317</v>
      </c>
      <c r="E131" s="41" t="s">
        <v>773</v>
      </c>
      <c r="F131" s="41" t="s">
        <v>774</v>
      </c>
      <c r="G131" s="42" t="s">
        <v>35</v>
      </c>
      <c r="H131" s="44">
        <v>46045</v>
      </c>
      <c r="I131" s="44">
        <v>46057</v>
      </c>
      <c r="J131" s="40" t="s">
        <v>102</v>
      </c>
      <c r="K131" s="40" t="s">
        <v>118</v>
      </c>
      <c r="L131" s="46" t="s">
        <v>66</v>
      </c>
      <c r="M131" s="46"/>
      <c r="N131" s="46"/>
      <c r="O131" s="45"/>
      <c r="P131" s="46" t="str">
        <f t="shared" si="2"/>
        <v>ONAY</v>
      </c>
      <c r="R131" s="47" t="str">
        <f>IF(AND($I131&lt;&gt;"",$I131&gt;=DATE(2026,6,23),COUNTIFS($C:$C,$C131,$I:$I,$I131)&gt;2),"⚠ "&amp;COUNTIFS($C:$C,$C131,$I:$I,$I131)&amp;" BAŞVURU!","")</f>
        <v/>
      </c>
    </row>
    <row r="132" spans="1:18" ht="63" customHeight="1" x14ac:dyDescent="0.25">
      <c r="A132" s="39" t="s">
        <v>775</v>
      </c>
      <c r="B132" s="39" t="s">
        <v>776</v>
      </c>
      <c r="C132" s="40" t="s">
        <v>709</v>
      </c>
      <c r="D132" s="40" t="s">
        <v>107</v>
      </c>
      <c r="E132" s="41" t="s">
        <v>710</v>
      </c>
      <c r="F132" s="41" t="s">
        <v>777</v>
      </c>
      <c r="G132" s="42" t="s">
        <v>34</v>
      </c>
      <c r="H132" s="44">
        <v>46045</v>
      </c>
      <c r="I132" s="44">
        <v>46057</v>
      </c>
      <c r="J132" s="40" t="s">
        <v>125</v>
      </c>
      <c r="K132" s="40" t="s">
        <v>65</v>
      </c>
      <c r="L132" s="46" t="s">
        <v>93</v>
      </c>
      <c r="M132" s="46" t="s">
        <v>93</v>
      </c>
      <c r="N132" s="46"/>
      <c r="O132" s="45"/>
      <c r="P132" s="46" t="str">
        <f t="shared" si="2"/>
        <v>DÜZELTME</v>
      </c>
      <c r="R132" s="47" t="str">
        <f>IF(AND($I132&lt;&gt;"",$I132&gt;=DATE(2026,6,23),COUNTIFS($C:$C,$C132,$I:$I,$I132)&gt;2),"⚠ "&amp;COUNTIFS($C:$C,$C132,$I:$I,$I132)&amp;" BAŞVURU!","")</f>
        <v/>
      </c>
    </row>
    <row r="133" spans="1:18" ht="64.5" customHeight="1" x14ac:dyDescent="0.25">
      <c r="A133" s="39" t="s">
        <v>778</v>
      </c>
      <c r="B133" s="39" t="s">
        <v>779</v>
      </c>
      <c r="C133" s="40" t="s">
        <v>780</v>
      </c>
      <c r="D133" s="40" t="s">
        <v>107</v>
      </c>
      <c r="E133" s="41" t="s">
        <v>781</v>
      </c>
      <c r="F133" s="41" t="s">
        <v>782</v>
      </c>
      <c r="G133" s="42" t="s">
        <v>35</v>
      </c>
      <c r="H133" s="44">
        <v>46045</v>
      </c>
      <c r="I133" s="44">
        <v>46057</v>
      </c>
      <c r="J133" s="40" t="s">
        <v>125</v>
      </c>
      <c r="K133" s="40" t="s">
        <v>92</v>
      </c>
      <c r="L133" s="46" t="s">
        <v>66</v>
      </c>
      <c r="M133" s="46"/>
      <c r="N133" s="46"/>
      <c r="O133" s="45"/>
      <c r="P133" s="46" t="str">
        <f t="shared" si="2"/>
        <v>ONAY</v>
      </c>
      <c r="R133" s="47" t="str">
        <f>IF(AND($I133&lt;&gt;"",$I133&gt;=DATE(2026,6,23),COUNTIFS($C:$C,$C133,$I:$I,$I133)&gt;2),"⚠ "&amp;COUNTIFS($C:$C,$C133,$I:$I,$I133)&amp;" BAŞVURU!","")</f>
        <v/>
      </c>
    </row>
    <row r="134" spans="1:18" ht="78.75" customHeight="1" x14ac:dyDescent="0.25">
      <c r="A134" s="39" t="s">
        <v>783</v>
      </c>
      <c r="B134" s="39" t="s">
        <v>784</v>
      </c>
      <c r="C134" s="40" t="s">
        <v>785</v>
      </c>
      <c r="D134" s="40" t="s">
        <v>425</v>
      </c>
      <c r="E134" s="41" t="s">
        <v>786</v>
      </c>
      <c r="F134" s="41" t="s">
        <v>787</v>
      </c>
      <c r="G134" s="42" t="s">
        <v>34</v>
      </c>
      <c r="H134" s="44">
        <v>46045</v>
      </c>
      <c r="I134" s="44">
        <v>46057</v>
      </c>
      <c r="J134" s="40" t="s">
        <v>82</v>
      </c>
      <c r="K134" s="40" t="s">
        <v>74</v>
      </c>
      <c r="L134" s="46" t="s">
        <v>93</v>
      </c>
      <c r="M134" s="46" t="s">
        <v>66</v>
      </c>
      <c r="N134" s="46"/>
      <c r="O134" s="45"/>
      <c r="P134" s="46" t="str">
        <f t="shared" si="2"/>
        <v>ONAY</v>
      </c>
      <c r="Q134" s="25" t="s">
        <v>82</v>
      </c>
      <c r="R134" s="47" t="str">
        <f>IF(AND($I134&lt;&gt;"",$I134&gt;=DATE(2026,6,23),COUNTIFS($C:$C,$C134,$I:$I,$I134)&gt;2),"⚠ "&amp;COUNTIFS($C:$C,$C134,$I:$I,$I134)&amp;" BAŞVURU!","")</f>
        <v/>
      </c>
    </row>
    <row r="135" spans="1:18" ht="94.5" customHeight="1" x14ac:dyDescent="0.25">
      <c r="A135" s="39" t="s">
        <v>788</v>
      </c>
      <c r="B135" s="39" t="s">
        <v>789</v>
      </c>
      <c r="C135" s="40" t="s">
        <v>78</v>
      </c>
      <c r="D135" s="40" t="s">
        <v>79</v>
      </c>
      <c r="E135" s="41" t="s">
        <v>790</v>
      </c>
      <c r="F135" s="41" t="s">
        <v>791</v>
      </c>
      <c r="G135" s="42" t="s">
        <v>34</v>
      </c>
      <c r="H135" s="44">
        <v>46045</v>
      </c>
      <c r="I135" s="44">
        <v>46057</v>
      </c>
      <c r="J135" s="40" t="s">
        <v>82</v>
      </c>
      <c r="K135" s="40" t="s">
        <v>102</v>
      </c>
      <c r="L135" s="46" t="s">
        <v>66</v>
      </c>
      <c r="M135" s="46"/>
      <c r="N135" s="46"/>
      <c r="O135" s="45"/>
      <c r="P135" s="46" t="str">
        <f t="shared" si="2"/>
        <v>ONAY</v>
      </c>
      <c r="R135" s="47" t="str">
        <f>IF(AND($I135&lt;&gt;"",$I135&gt;=DATE(2026,6,23),COUNTIFS($C:$C,$C135,$I:$I,$I135)&gt;2),"⚠ "&amp;COUNTIFS($C:$C,$C135,$I:$I,$I135)&amp;" BAŞVURU!","")</f>
        <v/>
      </c>
    </row>
    <row r="136" spans="1:18" ht="78.75" customHeight="1" x14ac:dyDescent="0.25">
      <c r="A136" s="39" t="s">
        <v>792</v>
      </c>
      <c r="B136" s="39" t="s">
        <v>793</v>
      </c>
      <c r="C136" s="40" t="s">
        <v>517</v>
      </c>
      <c r="D136" s="40" t="s">
        <v>324</v>
      </c>
      <c r="E136" s="41" t="s">
        <v>794</v>
      </c>
      <c r="F136" s="41" t="s">
        <v>795</v>
      </c>
      <c r="G136" s="42" t="s">
        <v>34</v>
      </c>
      <c r="H136" s="44">
        <v>46045</v>
      </c>
      <c r="I136" s="44">
        <v>46057</v>
      </c>
      <c r="J136" s="40" t="s">
        <v>118</v>
      </c>
      <c r="K136" s="40" t="s">
        <v>74</v>
      </c>
      <c r="L136" s="46" t="s">
        <v>93</v>
      </c>
      <c r="M136" s="46" t="s">
        <v>66</v>
      </c>
      <c r="N136" s="46"/>
      <c r="O136" s="45"/>
      <c r="P136" s="46" t="str">
        <f t="shared" si="2"/>
        <v>ONAY</v>
      </c>
      <c r="Q136" s="25" t="s">
        <v>74</v>
      </c>
      <c r="R136" s="47" t="str">
        <f>IF(AND($I136&lt;&gt;"",$I136&gt;=DATE(2026,6,23),COUNTIFS($C:$C,$C136,$I:$I,$I136)&gt;2),"⚠ "&amp;COUNTIFS($C:$C,$C136,$I:$I,$I136)&amp;" BAŞVURU!","")</f>
        <v/>
      </c>
    </row>
    <row r="137" spans="1:18" ht="63" customHeight="1" x14ac:dyDescent="0.25">
      <c r="A137" s="39" t="s">
        <v>796</v>
      </c>
      <c r="B137" s="39" t="s">
        <v>797</v>
      </c>
      <c r="C137" s="40" t="s">
        <v>798</v>
      </c>
      <c r="D137" s="40" t="s">
        <v>799</v>
      </c>
      <c r="E137" s="41" t="s">
        <v>800</v>
      </c>
      <c r="F137" s="41" t="s">
        <v>801</v>
      </c>
      <c r="G137" s="42" t="s">
        <v>36</v>
      </c>
      <c r="H137" s="44">
        <v>46045</v>
      </c>
      <c r="I137" s="44">
        <v>46057</v>
      </c>
      <c r="J137" s="40" t="s">
        <v>82</v>
      </c>
      <c r="K137" s="40" t="s">
        <v>118</v>
      </c>
      <c r="L137" s="46" t="s">
        <v>66</v>
      </c>
      <c r="M137" s="46"/>
      <c r="N137" s="46"/>
      <c r="O137" s="45"/>
      <c r="P137" s="46" t="str">
        <f t="shared" si="2"/>
        <v>ONAY</v>
      </c>
      <c r="R137" s="47" t="str">
        <f>IF(AND($I137&lt;&gt;"",$I137&gt;=DATE(2026,6,23),COUNTIFS($C:$C,$C137,$I:$I,$I137)&gt;2),"⚠ "&amp;COUNTIFS($C:$C,$C137,$I:$I,$I137)&amp;" BAŞVURU!","")</f>
        <v/>
      </c>
    </row>
    <row r="138" spans="1:18" ht="78.75" customHeight="1" x14ac:dyDescent="0.25">
      <c r="A138" s="39" t="s">
        <v>802</v>
      </c>
      <c r="B138" s="39" t="s">
        <v>803</v>
      </c>
      <c r="C138" s="40" t="s">
        <v>804</v>
      </c>
      <c r="D138" s="40" t="s">
        <v>317</v>
      </c>
      <c r="E138" s="41" t="s">
        <v>805</v>
      </c>
      <c r="F138" s="41" t="s">
        <v>806</v>
      </c>
      <c r="G138" s="42" t="s">
        <v>34</v>
      </c>
      <c r="H138" s="44">
        <v>46048</v>
      </c>
      <c r="I138" s="44">
        <v>46057</v>
      </c>
      <c r="J138" s="40" t="s">
        <v>82</v>
      </c>
      <c r="K138" s="40" t="s">
        <v>65</v>
      </c>
      <c r="L138" s="46" t="s">
        <v>66</v>
      </c>
      <c r="M138" s="46"/>
      <c r="N138" s="46"/>
      <c r="O138" s="45"/>
      <c r="P138" s="46" t="str">
        <f t="shared" si="2"/>
        <v>ONAY</v>
      </c>
      <c r="R138" s="47" t="str">
        <f>IF(AND($I138&lt;&gt;"",$I138&gt;=DATE(2026,6,23),COUNTIFS($C:$C,$C138,$I:$I,$I138)&gt;2),"⚠ "&amp;COUNTIFS($C:$C,$C138,$I:$I,$I138)&amp;" BAŞVURU!","")</f>
        <v/>
      </c>
    </row>
    <row r="139" spans="1:18" ht="110.25" customHeight="1" x14ac:dyDescent="0.25">
      <c r="A139" s="39" t="s">
        <v>807</v>
      </c>
      <c r="B139" s="39" t="s">
        <v>808</v>
      </c>
      <c r="C139" s="40" t="s">
        <v>809</v>
      </c>
      <c r="D139" s="40" t="s">
        <v>234</v>
      </c>
      <c r="E139" s="41" t="s">
        <v>810</v>
      </c>
      <c r="F139" s="41" t="s">
        <v>811</v>
      </c>
      <c r="G139" s="42" t="s">
        <v>34</v>
      </c>
      <c r="H139" s="44">
        <v>46048</v>
      </c>
      <c r="I139" s="44">
        <v>46057</v>
      </c>
      <c r="J139" s="40" t="s">
        <v>64</v>
      </c>
      <c r="K139" s="40" t="s">
        <v>92</v>
      </c>
      <c r="L139" s="46" t="s">
        <v>66</v>
      </c>
      <c r="M139" s="46"/>
      <c r="N139" s="46"/>
      <c r="O139" s="45"/>
      <c r="P139" s="46" t="str">
        <f t="shared" si="2"/>
        <v>ONAY</v>
      </c>
      <c r="R139" s="47" t="str">
        <f>IF(AND($I139&lt;&gt;"",$I139&gt;=DATE(2026,6,23),COUNTIFS($C:$C,$C139,$I:$I,$I139)&gt;2),"⚠ "&amp;COUNTIFS($C:$C,$C139,$I:$I,$I139)&amp;" BAŞVURU!","")</f>
        <v/>
      </c>
    </row>
    <row r="140" spans="1:18" ht="63" customHeight="1" x14ac:dyDescent="0.25">
      <c r="A140" s="39" t="s">
        <v>812</v>
      </c>
      <c r="B140" s="39" t="s">
        <v>813</v>
      </c>
      <c r="C140" s="40" t="s">
        <v>814</v>
      </c>
      <c r="D140" s="40" t="s">
        <v>107</v>
      </c>
      <c r="E140" s="41" t="s">
        <v>815</v>
      </c>
      <c r="F140" s="41" t="s">
        <v>816</v>
      </c>
      <c r="G140" s="42" t="s">
        <v>34</v>
      </c>
      <c r="H140" s="44">
        <v>46048</v>
      </c>
      <c r="I140" s="44">
        <v>46057</v>
      </c>
      <c r="J140" s="40" t="s">
        <v>65</v>
      </c>
      <c r="K140" s="40" t="s">
        <v>125</v>
      </c>
      <c r="L140" s="46" t="s">
        <v>66</v>
      </c>
      <c r="M140" s="46"/>
      <c r="N140" s="46"/>
      <c r="O140" s="45"/>
      <c r="P140" s="46" t="str">
        <f t="shared" si="2"/>
        <v>ONAY</v>
      </c>
      <c r="R140" s="47" t="str">
        <f>IF(AND($I140&lt;&gt;"",$I140&gt;=DATE(2026,6,23),COUNTIFS($C:$C,$C140,$I:$I,$I140)&gt;2),"⚠ "&amp;COUNTIFS($C:$C,$C140,$I:$I,$I140)&amp;" BAŞVURU!","")</f>
        <v/>
      </c>
    </row>
    <row r="141" spans="1:18" ht="80.25" customHeight="1" x14ac:dyDescent="0.25">
      <c r="A141" s="39" t="s">
        <v>817</v>
      </c>
      <c r="B141" s="39" t="s">
        <v>818</v>
      </c>
      <c r="C141" s="40" t="s">
        <v>606</v>
      </c>
      <c r="D141" s="40" t="s">
        <v>107</v>
      </c>
      <c r="E141" s="41" t="s">
        <v>819</v>
      </c>
      <c r="F141" s="41" t="s">
        <v>820</v>
      </c>
      <c r="G141" s="42" t="s">
        <v>34</v>
      </c>
      <c r="H141" s="44">
        <v>46048</v>
      </c>
      <c r="I141" s="44">
        <v>46057</v>
      </c>
      <c r="J141" s="40" t="s">
        <v>125</v>
      </c>
      <c r="K141" s="40" t="s">
        <v>102</v>
      </c>
      <c r="L141" s="46" t="s">
        <v>66</v>
      </c>
      <c r="M141" s="46"/>
      <c r="N141" s="46"/>
      <c r="O141" s="45"/>
      <c r="P141" s="46" t="str">
        <f t="shared" si="2"/>
        <v>ONAY</v>
      </c>
      <c r="R141" s="47" t="str">
        <f>IF(AND($I141&lt;&gt;"",$I141&gt;=DATE(2026,6,23),COUNTIFS($C:$C,$C141,$I:$I,$I141)&gt;2),"⚠ "&amp;COUNTIFS($C:$C,$C141,$I:$I,$I141)&amp;" BAŞVURU!","")</f>
        <v/>
      </c>
    </row>
    <row r="142" spans="1:18" ht="126" customHeight="1" x14ac:dyDescent="0.25">
      <c r="A142" s="39" t="s">
        <v>821</v>
      </c>
      <c r="B142" s="39" t="s">
        <v>822</v>
      </c>
      <c r="C142" s="40" t="s">
        <v>823</v>
      </c>
      <c r="D142" s="40" t="s">
        <v>234</v>
      </c>
      <c r="E142" s="41" t="s">
        <v>824</v>
      </c>
      <c r="F142" s="41" t="s">
        <v>825</v>
      </c>
      <c r="G142" s="42" t="s">
        <v>34</v>
      </c>
      <c r="H142" s="44">
        <v>46048</v>
      </c>
      <c r="I142" s="44">
        <v>46057</v>
      </c>
      <c r="J142" s="40" t="s">
        <v>82</v>
      </c>
      <c r="K142" s="40" t="s">
        <v>65</v>
      </c>
      <c r="L142" s="46" t="s">
        <v>229</v>
      </c>
      <c r="M142" s="46"/>
      <c r="N142" s="46"/>
      <c r="O142" s="45"/>
      <c r="P142" s="46" t="str">
        <f t="shared" si="2"/>
        <v>KAEK</v>
      </c>
      <c r="R142" s="47" t="str">
        <f>IF(AND($I142&lt;&gt;"",$I142&gt;=DATE(2026,6,23),COUNTIFS($C:$C,$C142,$I:$I,$I142)&gt;2),"⚠ "&amp;COUNTIFS($C:$C,$C142,$I:$I,$I142)&amp;" BAŞVURU!","")</f>
        <v/>
      </c>
    </row>
    <row r="143" spans="1:18" ht="63" customHeight="1" x14ac:dyDescent="0.25">
      <c r="A143" s="39" t="s">
        <v>826</v>
      </c>
      <c r="B143" s="39" t="s">
        <v>827</v>
      </c>
      <c r="C143" s="40" t="s">
        <v>828</v>
      </c>
      <c r="D143" s="40" t="s">
        <v>425</v>
      </c>
      <c r="E143" s="41" t="s">
        <v>829</v>
      </c>
      <c r="F143" s="41" t="s">
        <v>830</v>
      </c>
      <c r="G143" s="42" t="s">
        <v>34</v>
      </c>
      <c r="H143" s="44">
        <v>46048</v>
      </c>
      <c r="I143" s="44">
        <v>46057</v>
      </c>
      <c r="J143" s="40" t="s">
        <v>74</v>
      </c>
      <c r="K143" s="40" t="s">
        <v>102</v>
      </c>
      <c r="L143" s="46" t="s">
        <v>66</v>
      </c>
      <c r="M143" s="46"/>
      <c r="N143" s="46"/>
      <c r="O143" s="45"/>
      <c r="P143" s="46" t="str">
        <f t="shared" si="2"/>
        <v>ONAY</v>
      </c>
      <c r="R143" s="47" t="str">
        <f>IF(AND($I143&lt;&gt;"",$I143&gt;=DATE(2026,6,23),COUNTIFS($C:$C,$C143,$I:$I,$I143)&gt;2),"⚠ "&amp;COUNTIFS($C:$C,$C143,$I:$I,$I143)&amp;" BAŞVURU!","")</f>
        <v/>
      </c>
    </row>
    <row r="144" spans="1:18" ht="63" customHeight="1" x14ac:dyDescent="0.25">
      <c r="A144" s="39" t="s">
        <v>831</v>
      </c>
      <c r="B144" s="39" t="s">
        <v>832</v>
      </c>
      <c r="C144" s="40" t="s">
        <v>412</v>
      </c>
      <c r="D144" s="40" t="s">
        <v>413</v>
      </c>
      <c r="E144" s="41" t="s">
        <v>833</v>
      </c>
      <c r="F144" s="41" t="s">
        <v>834</v>
      </c>
      <c r="G144" s="42" t="s">
        <v>34</v>
      </c>
      <c r="H144" s="44">
        <v>46049</v>
      </c>
      <c r="I144" s="44">
        <v>46057</v>
      </c>
      <c r="J144" s="40" t="s">
        <v>82</v>
      </c>
      <c r="K144" s="40" t="s">
        <v>92</v>
      </c>
      <c r="L144" s="46" t="s">
        <v>93</v>
      </c>
      <c r="M144" s="46" t="s">
        <v>66</v>
      </c>
      <c r="N144" s="46"/>
      <c r="O144" s="45"/>
      <c r="P144" s="46" t="str">
        <f t="shared" si="2"/>
        <v>ONAY</v>
      </c>
      <c r="Q144" s="25" t="s">
        <v>82</v>
      </c>
      <c r="R144" s="47" t="str">
        <f>IF(AND($I144&lt;&gt;"",$I144&gt;=DATE(2026,6,23),COUNTIFS($C:$C,$C144,$I:$I,$I144)&gt;2),"⚠ "&amp;COUNTIFS($C:$C,$C144,$I:$I,$I144)&amp;" BAŞVURU!","")</f>
        <v/>
      </c>
    </row>
    <row r="145" spans="1:18" ht="94.5" customHeight="1" x14ac:dyDescent="0.25">
      <c r="A145" s="39" t="s">
        <v>835</v>
      </c>
      <c r="B145" s="39" t="s">
        <v>836</v>
      </c>
      <c r="C145" s="40" t="s">
        <v>837</v>
      </c>
      <c r="D145" s="40" t="s">
        <v>234</v>
      </c>
      <c r="E145" s="41" t="s">
        <v>838</v>
      </c>
      <c r="F145" s="41" t="s">
        <v>839</v>
      </c>
      <c r="G145" s="42" t="s">
        <v>35</v>
      </c>
      <c r="H145" s="44">
        <v>46049</v>
      </c>
      <c r="I145" s="44">
        <v>46057</v>
      </c>
      <c r="J145" s="40" t="s">
        <v>65</v>
      </c>
      <c r="K145" s="40" t="s">
        <v>118</v>
      </c>
      <c r="L145" s="46" t="s">
        <v>66</v>
      </c>
      <c r="M145" s="46"/>
      <c r="N145" s="46"/>
      <c r="O145" s="45"/>
      <c r="P145" s="46" t="str">
        <f t="shared" si="2"/>
        <v>ONAY</v>
      </c>
      <c r="R145" s="47" t="str">
        <f>IF(AND($I145&lt;&gt;"",$I145&gt;=DATE(2026,6,23),COUNTIFS($C:$C,$C145,$I:$I,$I145)&gt;2),"⚠ "&amp;COUNTIFS($C:$C,$C145,$I:$I,$I145)&amp;" BAŞVURU!","")</f>
        <v/>
      </c>
    </row>
    <row r="146" spans="1:18" ht="63" customHeight="1" x14ac:dyDescent="0.25">
      <c r="A146" s="39" t="s">
        <v>840</v>
      </c>
      <c r="B146" s="39" t="s">
        <v>841</v>
      </c>
      <c r="C146" s="40" t="s">
        <v>447</v>
      </c>
      <c r="D146" s="40" t="s">
        <v>425</v>
      </c>
      <c r="E146" s="41" t="s">
        <v>842</v>
      </c>
      <c r="F146" s="41" t="s">
        <v>843</v>
      </c>
      <c r="G146" s="42" t="s">
        <v>34</v>
      </c>
      <c r="H146" s="44">
        <v>46049</v>
      </c>
      <c r="I146" s="44">
        <v>46057</v>
      </c>
      <c r="J146" s="40" t="s">
        <v>74</v>
      </c>
      <c r="K146" s="40" t="s">
        <v>118</v>
      </c>
      <c r="L146" s="46" t="s">
        <v>66</v>
      </c>
      <c r="M146" s="46"/>
      <c r="N146" s="46"/>
      <c r="O146" s="45"/>
      <c r="P146" s="46" t="str">
        <f t="shared" si="2"/>
        <v>ONAY</v>
      </c>
      <c r="R146" s="47" t="str">
        <f>IF(AND($I146&lt;&gt;"",$I146&gt;=DATE(2026,6,23),COUNTIFS($C:$C,$C146,$I:$I,$I146)&gt;2),"⚠ "&amp;COUNTIFS($C:$C,$C146,$I:$I,$I146)&amp;" BAŞVURU!","")</f>
        <v/>
      </c>
    </row>
    <row r="147" spans="1:18" ht="81" customHeight="1" x14ac:dyDescent="0.25">
      <c r="A147" s="39" t="s">
        <v>844</v>
      </c>
      <c r="B147" s="39" t="s">
        <v>845</v>
      </c>
      <c r="C147" s="40" t="s">
        <v>846</v>
      </c>
      <c r="D147" s="51" t="s">
        <v>847</v>
      </c>
      <c r="E147" s="41" t="s">
        <v>848</v>
      </c>
      <c r="F147" s="41" t="s">
        <v>849</v>
      </c>
      <c r="G147" s="42" t="s">
        <v>34</v>
      </c>
      <c r="H147" s="44">
        <v>46058</v>
      </c>
      <c r="I147" s="44">
        <v>46070</v>
      </c>
      <c r="J147" s="40" t="s">
        <v>125</v>
      </c>
      <c r="K147" s="40" t="s">
        <v>65</v>
      </c>
      <c r="L147" s="46" t="s">
        <v>66</v>
      </c>
      <c r="M147" s="46"/>
      <c r="N147" s="46"/>
      <c r="O147" s="45"/>
      <c r="P147" s="46" t="str">
        <f t="shared" si="2"/>
        <v>ONAY</v>
      </c>
      <c r="R147" s="47" t="str">
        <f>IF(AND($I147&lt;&gt;"",$I147&gt;=DATE(2026,6,23),COUNTIFS($C:$C,$C147,$I:$I,$I147)&gt;2),"⚠ "&amp;COUNTIFS($C:$C,$C147,$I:$I,$I147)&amp;" BAŞVURU!","")</f>
        <v/>
      </c>
    </row>
    <row r="148" spans="1:18" ht="78.75" customHeight="1" x14ac:dyDescent="0.25">
      <c r="A148" s="39" t="s">
        <v>850</v>
      </c>
      <c r="B148" s="39" t="s">
        <v>851</v>
      </c>
      <c r="C148" s="40" t="s">
        <v>852</v>
      </c>
      <c r="D148" s="40" t="s">
        <v>186</v>
      </c>
      <c r="E148" s="41" t="s">
        <v>853</v>
      </c>
      <c r="F148" s="41" t="s">
        <v>854</v>
      </c>
      <c r="G148" s="42" t="s">
        <v>34</v>
      </c>
      <c r="H148" s="44">
        <v>46058</v>
      </c>
      <c r="I148" s="44">
        <v>46070</v>
      </c>
      <c r="J148" s="40" t="s">
        <v>82</v>
      </c>
      <c r="K148" s="40" t="s">
        <v>83</v>
      </c>
      <c r="L148" s="46" t="s">
        <v>229</v>
      </c>
      <c r="M148" s="46"/>
      <c r="N148" s="46"/>
      <c r="O148" s="45"/>
      <c r="P148" s="46" t="str">
        <f t="shared" si="2"/>
        <v>KAEK</v>
      </c>
      <c r="R148" s="47" t="str">
        <f>IF(AND($I148&lt;&gt;"",$I148&gt;=DATE(2026,6,23),COUNTIFS($C:$C,$C148,$I:$I,$I148)&gt;2),"⚠ "&amp;COUNTIFS($C:$C,$C148,$I:$I,$I148)&amp;" BAŞVURU!","")</f>
        <v/>
      </c>
    </row>
    <row r="149" spans="1:18" ht="78.75" customHeight="1" x14ac:dyDescent="0.25">
      <c r="A149" s="39" t="s">
        <v>855</v>
      </c>
      <c r="B149" s="39" t="s">
        <v>856</v>
      </c>
      <c r="C149" s="40" t="s">
        <v>739</v>
      </c>
      <c r="D149" s="40" t="s">
        <v>107</v>
      </c>
      <c r="E149" s="41" t="s">
        <v>857</v>
      </c>
      <c r="F149" s="41" t="s">
        <v>858</v>
      </c>
      <c r="G149" s="42" t="s">
        <v>34</v>
      </c>
      <c r="H149" s="44">
        <v>46058</v>
      </c>
      <c r="I149" s="44">
        <v>46070</v>
      </c>
      <c r="J149" s="40" t="s">
        <v>101</v>
      </c>
      <c r="K149" s="40" t="s">
        <v>74</v>
      </c>
      <c r="L149" s="46" t="s">
        <v>66</v>
      </c>
      <c r="M149" s="46"/>
      <c r="N149" s="46"/>
      <c r="O149" s="45"/>
      <c r="P149" s="46" t="str">
        <f t="shared" si="2"/>
        <v>ONAY</v>
      </c>
      <c r="R149" s="47" t="str">
        <f>IF(AND($I149&lt;&gt;"",$I149&gt;=DATE(2026,6,23),COUNTIFS($C:$C,$C149,$I:$I,$I149)&gt;2),"⚠ "&amp;COUNTIFS($C:$C,$C149,$I:$I,$I149)&amp;" BAŞVURU!","")</f>
        <v/>
      </c>
    </row>
    <row r="150" spans="1:18" ht="78.75" customHeight="1" x14ac:dyDescent="0.25">
      <c r="A150" s="39" t="s">
        <v>859</v>
      </c>
      <c r="B150" s="39" t="s">
        <v>860</v>
      </c>
      <c r="C150" s="40" t="s">
        <v>739</v>
      </c>
      <c r="D150" s="40" t="s">
        <v>107</v>
      </c>
      <c r="E150" s="41" t="s">
        <v>857</v>
      </c>
      <c r="F150" s="41" t="s">
        <v>861</v>
      </c>
      <c r="G150" s="42" t="s">
        <v>34</v>
      </c>
      <c r="H150" s="44">
        <v>46058</v>
      </c>
      <c r="I150" s="44">
        <v>46070</v>
      </c>
      <c r="J150" s="40" t="s">
        <v>125</v>
      </c>
      <c r="K150" s="40" t="s">
        <v>91</v>
      </c>
      <c r="L150" s="46" t="s">
        <v>66</v>
      </c>
      <c r="M150" s="46"/>
      <c r="N150" s="46"/>
      <c r="O150" s="45"/>
      <c r="P150" s="46" t="str">
        <f t="shared" si="2"/>
        <v>ONAY</v>
      </c>
      <c r="R150" s="47" t="str">
        <f>IF(AND($I150&lt;&gt;"",$I150&gt;=DATE(2026,6,23),COUNTIFS($C:$C,$C150,$I:$I,$I150)&gt;2),"⚠ "&amp;COUNTIFS($C:$C,$C150,$I:$I,$I150)&amp;" BAŞVURU!","")</f>
        <v/>
      </c>
    </row>
    <row r="151" spans="1:18" ht="78.75" customHeight="1" x14ac:dyDescent="0.25">
      <c r="A151" s="39" t="s">
        <v>862</v>
      </c>
      <c r="B151" s="39" t="s">
        <v>863</v>
      </c>
      <c r="C151" s="40" t="s">
        <v>739</v>
      </c>
      <c r="D151" s="40" t="s">
        <v>107</v>
      </c>
      <c r="E151" s="41" t="s">
        <v>864</v>
      </c>
      <c r="F151" s="41" t="s">
        <v>865</v>
      </c>
      <c r="G151" s="42" t="s">
        <v>34</v>
      </c>
      <c r="H151" s="44">
        <v>46058</v>
      </c>
      <c r="I151" s="44">
        <v>46070</v>
      </c>
      <c r="J151" s="40" t="s">
        <v>92</v>
      </c>
      <c r="K151" s="40" t="s">
        <v>83</v>
      </c>
      <c r="L151" s="46" t="s">
        <v>66</v>
      </c>
      <c r="M151" s="46"/>
      <c r="N151" s="46"/>
      <c r="O151" s="45"/>
      <c r="P151" s="46" t="str">
        <f t="shared" si="2"/>
        <v>ONAY</v>
      </c>
      <c r="R151" s="47" t="str">
        <f>IF(AND($I151&lt;&gt;"",$I151&gt;=DATE(2026,6,23),COUNTIFS($C:$C,$C151,$I:$I,$I151)&gt;2),"⚠ "&amp;COUNTIFS($C:$C,$C151,$I:$I,$I151)&amp;" BAŞVURU!","")</f>
        <v/>
      </c>
    </row>
    <row r="152" spans="1:18" ht="63" customHeight="1" x14ac:dyDescent="0.25">
      <c r="A152" s="39" t="s">
        <v>866</v>
      </c>
      <c r="B152" s="39" t="s">
        <v>867</v>
      </c>
      <c r="C152" s="40" t="s">
        <v>199</v>
      </c>
      <c r="D152" s="40" t="s">
        <v>200</v>
      </c>
      <c r="E152" s="41" t="s">
        <v>868</v>
      </c>
      <c r="F152" s="41" t="s">
        <v>869</v>
      </c>
      <c r="G152" s="42" t="s">
        <v>34</v>
      </c>
      <c r="H152" s="44">
        <v>46058</v>
      </c>
      <c r="I152" s="44">
        <v>46070</v>
      </c>
      <c r="J152" s="40" t="s">
        <v>82</v>
      </c>
      <c r="K152" s="40" t="s">
        <v>118</v>
      </c>
      <c r="L152" s="46" t="s">
        <v>93</v>
      </c>
      <c r="M152" s="46" t="s">
        <v>66</v>
      </c>
      <c r="N152" s="46"/>
      <c r="O152" s="45"/>
      <c r="P152" s="46" t="str">
        <f t="shared" si="2"/>
        <v>ONAY</v>
      </c>
      <c r="Q152" s="25" t="s">
        <v>82</v>
      </c>
      <c r="R152" s="47" t="str">
        <f>IF(AND($I152&lt;&gt;"",$I152&gt;=DATE(2026,6,23),COUNTIFS($C:$C,$C152,$I:$I,$I152)&gt;2),"⚠ "&amp;COUNTIFS($C:$C,$C152,$I:$I,$I152)&amp;" BAŞVURU!","")</f>
        <v/>
      </c>
    </row>
    <row r="153" spans="1:18" ht="94.5" customHeight="1" x14ac:dyDescent="0.25">
      <c r="A153" s="39" t="s">
        <v>870</v>
      </c>
      <c r="B153" s="39" t="s">
        <v>871</v>
      </c>
      <c r="C153" s="40" t="s">
        <v>106</v>
      </c>
      <c r="D153" s="40" t="s">
        <v>107</v>
      </c>
      <c r="E153" s="41" t="s">
        <v>872</v>
      </c>
      <c r="F153" s="41" t="s">
        <v>873</v>
      </c>
      <c r="G153" s="42" t="s">
        <v>37</v>
      </c>
      <c r="H153" s="44">
        <v>46058</v>
      </c>
      <c r="I153" s="44">
        <v>46070</v>
      </c>
      <c r="J153" s="40" t="s">
        <v>101</v>
      </c>
      <c r="K153" s="40" t="s">
        <v>74</v>
      </c>
      <c r="L153" s="46" t="s">
        <v>215</v>
      </c>
      <c r="M153" s="46" t="s">
        <v>93</v>
      </c>
      <c r="N153" s="46" t="s">
        <v>66</v>
      </c>
      <c r="O153" s="45"/>
      <c r="P153" s="46" t="str">
        <f t="shared" si="2"/>
        <v>ONAY</v>
      </c>
      <c r="Q153" s="25" t="s">
        <v>74</v>
      </c>
      <c r="R153" s="47" t="str">
        <f>IF(AND($I153&lt;&gt;"",$I153&gt;=DATE(2026,6,23),COUNTIFS($C:$C,$C153,$I:$I,$I153)&gt;2),"⚠ "&amp;COUNTIFS($C:$C,$C153,$I:$I,$I153)&amp;" BAŞVURU!","")</f>
        <v/>
      </c>
    </row>
    <row r="154" spans="1:18" ht="63" customHeight="1" x14ac:dyDescent="0.25">
      <c r="A154" s="39" t="s">
        <v>874</v>
      </c>
      <c r="B154" s="39" t="s">
        <v>875</v>
      </c>
      <c r="C154" s="40" t="s">
        <v>876</v>
      </c>
      <c r="D154" s="40" t="s">
        <v>419</v>
      </c>
      <c r="E154" s="41" t="s">
        <v>877</v>
      </c>
      <c r="F154" s="41" t="s">
        <v>878</v>
      </c>
      <c r="G154" s="42" t="s">
        <v>34</v>
      </c>
      <c r="H154" s="44">
        <v>46058</v>
      </c>
      <c r="I154" s="44">
        <v>46070</v>
      </c>
      <c r="J154" s="40" t="s">
        <v>65</v>
      </c>
      <c r="K154" s="40" t="s">
        <v>91</v>
      </c>
      <c r="L154" s="46" t="s">
        <v>93</v>
      </c>
      <c r="M154" s="46" t="s">
        <v>66</v>
      </c>
      <c r="N154" s="46"/>
      <c r="O154" s="45"/>
      <c r="P154" s="46" t="str">
        <f t="shared" si="2"/>
        <v>ONAY</v>
      </c>
      <c r="Q154" s="25" t="s">
        <v>65</v>
      </c>
      <c r="R154" s="47" t="str">
        <f>IF(AND($I154&lt;&gt;"",$I154&gt;=DATE(2026,6,23),COUNTIFS($C:$C,$C154,$I:$I,$I154)&gt;2),"⚠ "&amp;COUNTIFS($C:$C,$C154,$I:$I,$I154)&amp;" BAŞVURU!","")</f>
        <v/>
      </c>
    </row>
    <row r="155" spans="1:18" ht="63" customHeight="1" x14ac:dyDescent="0.25">
      <c r="A155" s="39" t="s">
        <v>879</v>
      </c>
      <c r="B155" s="39" t="s">
        <v>880</v>
      </c>
      <c r="C155" s="40" t="s">
        <v>881</v>
      </c>
      <c r="D155" s="40" t="s">
        <v>612</v>
      </c>
      <c r="E155" s="41" t="s">
        <v>882</v>
      </c>
      <c r="F155" s="41" t="s">
        <v>883</v>
      </c>
      <c r="G155" s="42" t="s">
        <v>37</v>
      </c>
      <c r="H155" s="44">
        <v>46058</v>
      </c>
      <c r="I155" s="44">
        <v>46070</v>
      </c>
      <c r="J155" s="40" t="s">
        <v>82</v>
      </c>
      <c r="K155" s="40" t="s">
        <v>92</v>
      </c>
      <c r="L155" s="46" t="s">
        <v>66</v>
      </c>
      <c r="M155" s="46"/>
      <c r="N155" s="46"/>
      <c r="O155" s="45"/>
      <c r="P155" s="46" t="str">
        <f t="shared" si="2"/>
        <v>ONAY</v>
      </c>
      <c r="R155" s="47" t="str">
        <f>IF(AND($I155&lt;&gt;"",$I155&gt;=DATE(2026,6,23),COUNTIFS($C:$C,$C155,$I:$I,$I155)&gt;2),"⚠ "&amp;COUNTIFS($C:$C,$C155,$I:$I,$I155)&amp;" BAŞVURU!","")</f>
        <v/>
      </c>
    </row>
    <row r="156" spans="1:18" ht="47.25" customHeight="1" x14ac:dyDescent="0.25">
      <c r="A156" s="39" t="s">
        <v>884</v>
      </c>
      <c r="B156" s="39" t="s">
        <v>885</v>
      </c>
      <c r="C156" s="40" t="s">
        <v>886</v>
      </c>
      <c r="D156" s="40" t="s">
        <v>567</v>
      </c>
      <c r="E156" s="41" t="s">
        <v>887</v>
      </c>
      <c r="F156" s="41" t="s">
        <v>888</v>
      </c>
      <c r="G156" s="42" t="s">
        <v>34</v>
      </c>
      <c r="H156" s="44">
        <v>46058</v>
      </c>
      <c r="I156" s="44">
        <v>46070</v>
      </c>
      <c r="J156" s="40" t="s">
        <v>118</v>
      </c>
      <c r="K156" s="40" t="s">
        <v>110</v>
      </c>
      <c r="L156" s="46" t="s">
        <v>66</v>
      </c>
      <c r="M156" s="46"/>
      <c r="N156" s="46"/>
      <c r="O156" s="45"/>
      <c r="P156" s="46" t="str">
        <f t="shared" si="2"/>
        <v>ONAY</v>
      </c>
      <c r="R156" s="47" t="str">
        <f>IF(AND($I156&lt;&gt;"",$I156&gt;=DATE(2026,6,23),COUNTIFS($C:$C,$C156,$I:$I,$I156)&gt;2),"⚠ "&amp;COUNTIFS($C:$C,$C156,$I:$I,$I156)&amp;" BAŞVURU!","")</f>
        <v/>
      </c>
    </row>
    <row r="157" spans="1:18" ht="78.75" customHeight="1" x14ac:dyDescent="0.25">
      <c r="A157" s="39" t="s">
        <v>889</v>
      </c>
      <c r="B157" s="39" t="s">
        <v>890</v>
      </c>
      <c r="C157" s="40" t="s">
        <v>310</v>
      </c>
      <c r="D157" s="40" t="s">
        <v>234</v>
      </c>
      <c r="E157" s="41" t="s">
        <v>891</v>
      </c>
      <c r="F157" s="41" t="s">
        <v>892</v>
      </c>
      <c r="G157" s="42" t="s">
        <v>34</v>
      </c>
      <c r="H157" s="44">
        <v>46058</v>
      </c>
      <c r="I157" s="44">
        <v>46070</v>
      </c>
      <c r="J157" s="40" t="s">
        <v>82</v>
      </c>
      <c r="K157" s="40" t="s">
        <v>83</v>
      </c>
      <c r="L157" s="46" t="s">
        <v>93</v>
      </c>
      <c r="M157" s="46" t="s">
        <v>66</v>
      </c>
      <c r="N157" s="46"/>
      <c r="O157" s="45"/>
      <c r="P157" s="46" t="str">
        <f t="shared" si="2"/>
        <v>ONAY</v>
      </c>
      <c r="Q157" s="25" t="s">
        <v>82</v>
      </c>
      <c r="R157" s="47" t="str">
        <f>IF(AND($I157&lt;&gt;"",$I157&gt;=DATE(2026,6,23),COUNTIFS($C:$C,$C157,$I:$I,$I157)&gt;2),"⚠ "&amp;COUNTIFS($C:$C,$C157,$I:$I,$I157)&amp;" BAŞVURU!","")</f>
        <v/>
      </c>
    </row>
    <row r="158" spans="1:18" ht="94.5" customHeight="1" x14ac:dyDescent="0.25">
      <c r="A158" s="39" t="s">
        <v>893</v>
      </c>
      <c r="B158" s="39" t="s">
        <v>894</v>
      </c>
      <c r="C158" s="40" t="s">
        <v>895</v>
      </c>
      <c r="D158" s="40" t="s">
        <v>115</v>
      </c>
      <c r="E158" s="41" t="s">
        <v>896</v>
      </c>
      <c r="F158" s="41" t="s">
        <v>897</v>
      </c>
      <c r="G158" s="42" t="s">
        <v>37</v>
      </c>
      <c r="H158" s="44">
        <v>46058</v>
      </c>
      <c r="I158" s="44">
        <v>46070</v>
      </c>
      <c r="J158" s="40" t="s">
        <v>118</v>
      </c>
      <c r="K158" s="40" t="s">
        <v>65</v>
      </c>
      <c r="L158" s="46" t="s">
        <v>66</v>
      </c>
      <c r="M158" s="46"/>
      <c r="N158" s="46"/>
      <c r="O158" s="45"/>
      <c r="P158" s="46" t="str">
        <f t="shared" si="2"/>
        <v>ONAY</v>
      </c>
      <c r="R158" s="47" t="str">
        <f>IF(AND($I158&lt;&gt;"",$I158&gt;=DATE(2026,6,23),COUNTIFS($C:$C,$C158,$I:$I,$I158)&gt;2),"⚠ "&amp;COUNTIFS($C:$C,$C158,$I:$I,$I158)&amp;" BAŞVURU!","")</f>
        <v/>
      </c>
    </row>
    <row r="159" spans="1:18" ht="63" customHeight="1" x14ac:dyDescent="0.25">
      <c r="A159" s="39" t="s">
        <v>898</v>
      </c>
      <c r="B159" s="39" t="s">
        <v>899</v>
      </c>
      <c r="C159" s="40" t="s">
        <v>900</v>
      </c>
      <c r="D159" s="40" t="s">
        <v>186</v>
      </c>
      <c r="E159" s="41" t="s">
        <v>901</v>
      </c>
      <c r="F159" s="41" t="s">
        <v>902</v>
      </c>
      <c r="G159" s="42" t="s">
        <v>35</v>
      </c>
      <c r="H159" s="44">
        <v>46058</v>
      </c>
      <c r="I159" s="44">
        <v>46070</v>
      </c>
      <c r="J159" s="40" t="s">
        <v>83</v>
      </c>
      <c r="K159" s="40" t="s">
        <v>92</v>
      </c>
      <c r="L159" s="46" t="s">
        <v>93</v>
      </c>
      <c r="M159" s="46" t="s">
        <v>66</v>
      </c>
      <c r="N159" s="46"/>
      <c r="O159" s="45"/>
      <c r="P159" s="46" t="str">
        <f t="shared" si="2"/>
        <v>ONAY</v>
      </c>
      <c r="Q159" s="25" t="s">
        <v>83</v>
      </c>
      <c r="R159" s="47" t="str">
        <f>IF(AND($I159&lt;&gt;"",$I159&gt;=DATE(2026,6,23),COUNTIFS($C:$C,$C159,$I:$I,$I159)&gt;2),"⚠ "&amp;COUNTIFS($C:$C,$C159,$I:$I,$I159)&amp;" BAŞVURU!","")</f>
        <v/>
      </c>
    </row>
    <row r="160" spans="1:18" ht="94.5" customHeight="1" x14ac:dyDescent="0.25">
      <c r="A160" s="39" t="s">
        <v>903</v>
      </c>
      <c r="B160" s="39" t="s">
        <v>904</v>
      </c>
      <c r="C160" s="40" t="s">
        <v>905</v>
      </c>
      <c r="D160" s="40" t="s">
        <v>317</v>
      </c>
      <c r="E160" s="41" t="s">
        <v>906</v>
      </c>
      <c r="F160" s="41" t="s">
        <v>907</v>
      </c>
      <c r="G160" s="42" t="s">
        <v>35</v>
      </c>
      <c r="H160" s="44">
        <v>46058</v>
      </c>
      <c r="I160" s="44">
        <v>46070</v>
      </c>
      <c r="J160" s="40" t="s">
        <v>110</v>
      </c>
      <c r="K160" s="40" t="s">
        <v>125</v>
      </c>
      <c r="L160" s="46" t="s">
        <v>93</v>
      </c>
      <c r="M160" s="46" t="s">
        <v>66</v>
      </c>
      <c r="N160" s="46"/>
      <c r="O160" s="45"/>
      <c r="P160" s="46" t="str">
        <f t="shared" si="2"/>
        <v>ONAY</v>
      </c>
      <c r="Q160" s="25" t="s">
        <v>110</v>
      </c>
      <c r="R160" s="47" t="str">
        <f>IF(AND($I160&lt;&gt;"",$I160&gt;=DATE(2026,6,23),COUNTIFS($C:$C,$C160,$I:$I,$I160)&gt;2),"⚠ "&amp;COUNTIFS($C:$C,$C160,$I:$I,$I160)&amp;" BAŞVURU!","")</f>
        <v/>
      </c>
    </row>
    <row r="161" spans="1:19" ht="80.25" customHeight="1" x14ac:dyDescent="0.25">
      <c r="A161" s="39" t="s">
        <v>908</v>
      </c>
      <c r="B161" s="39" t="s">
        <v>909</v>
      </c>
      <c r="C161" s="40" t="s">
        <v>310</v>
      </c>
      <c r="D161" s="40" t="s">
        <v>234</v>
      </c>
      <c r="E161" s="41" t="s">
        <v>910</v>
      </c>
      <c r="F161" s="41" t="s">
        <v>911</v>
      </c>
      <c r="G161" s="42" t="s">
        <v>34</v>
      </c>
      <c r="H161" s="44">
        <v>46059</v>
      </c>
      <c r="I161" s="44">
        <v>46070</v>
      </c>
      <c r="J161" s="40" t="s">
        <v>65</v>
      </c>
      <c r="K161" s="40" t="s">
        <v>91</v>
      </c>
      <c r="L161" s="46" t="s">
        <v>175</v>
      </c>
      <c r="M161" s="46"/>
      <c r="N161" s="46"/>
      <c r="O161" s="45"/>
      <c r="P161" s="46" t="str">
        <f t="shared" si="2"/>
        <v>RET</v>
      </c>
      <c r="R161" s="47" t="str">
        <f>IF(AND($I161&lt;&gt;"",$I161&gt;=DATE(2026,6,23),COUNTIFS($C:$C,$C161,$I:$I,$I161)&gt;2),"⚠ "&amp;COUNTIFS($C:$C,$C161,$I:$I,$I161)&amp;" BAŞVURU!","")</f>
        <v/>
      </c>
      <c r="S161" s="52" t="s">
        <v>912</v>
      </c>
    </row>
    <row r="162" spans="1:19" ht="78.75" customHeight="1" x14ac:dyDescent="0.25">
      <c r="A162" s="39" t="s">
        <v>913</v>
      </c>
      <c r="B162" s="39" t="s">
        <v>914</v>
      </c>
      <c r="C162" s="40" t="s">
        <v>447</v>
      </c>
      <c r="D162" s="40" t="s">
        <v>425</v>
      </c>
      <c r="E162" s="41" t="s">
        <v>915</v>
      </c>
      <c r="F162" s="41" t="s">
        <v>916</v>
      </c>
      <c r="G162" s="42" t="s">
        <v>34</v>
      </c>
      <c r="H162" s="44">
        <v>46059</v>
      </c>
      <c r="I162" s="44">
        <v>46070</v>
      </c>
      <c r="J162" s="40" t="s">
        <v>125</v>
      </c>
      <c r="K162" s="40" t="s">
        <v>110</v>
      </c>
      <c r="L162" s="46" t="s">
        <v>66</v>
      </c>
      <c r="M162" s="46"/>
      <c r="N162" s="46"/>
      <c r="O162" s="45"/>
      <c r="P162" s="46" t="str">
        <f t="shared" si="2"/>
        <v>ONAY</v>
      </c>
      <c r="R162" s="47" t="str">
        <f>IF(AND($I162&lt;&gt;"",$I162&gt;=DATE(2026,6,23),COUNTIFS($C:$C,$C162,$I:$I,$I162)&gt;2),"⚠ "&amp;COUNTIFS($C:$C,$C162,$I:$I,$I162)&amp;" BAŞVURU!","")</f>
        <v/>
      </c>
    </row>
    <row r="163" spans="1:19" ht="63" customHeight="1" x14ac:dyDescent="0.25">
      <c r="A163" s="39" t="s">
        <v>917</v>
      </c>
      <c r="B163" s="39" t="s">
        <v>918</v>
      </c>
      <c r="C163" s="40" t="s">
        <v>919</v>
      </c>
      <c r="D163" s="40" t="s">
        <v>920</v>
      </c>
      <c r="E163" s="41" t="s">
        <v>921</v>
      </c>
      <c r="F163" s="41" t="s">
        <v>922</v>
      </c>
      <c r="G163" s="42" t="s">
        <v>34</v>
      </c>
      <c r="H163" s="44">
        <v>46059</v>
      </c>
      <c r="I163" s="44">
        <v>46070</v>
      </c>
      <c r="J163" s="40" t="s">
        <v>101</v>
      </c>
      <c r="K163" s="40" t="s">
        <v>74</v>
      </c>
      <c r="L163" s="46" t="s">
        <v>93</v>
      </c>
      <c r="M163" s="46" t="s">
        <v>66</v>
      </c>
      <c r="N163" s="46"/>
      <c r="O163" s="45"/>
      <c r="P163" s="46" t="str">
        <f t="shared" si="2"/>
        <v>ONAY</v>
      </c>
      <c r="Q163" s="25" t="s">
        <v>101</v>
      </c>
      <c r="R163" s="47" t="str">
        <f>IF(AND($I163&lt;&gt;"",$I163&gt;=DATE(2026,6,23),COUNTIFS($C:$C,$C163,$I:$I,$I163)&gt;2),"⚠ "&amp;COUNTIFS($C:$C,$C163,$I:$I,$I163)&amp;" BAŞVURU!","")</f>
        <v/>
      </c>
    </row>
    <row r="164" spans="1:19" ht="81.75" customHeight="1" x14ac:dyDescent="0.25">
      <c r="A164" s="39" t="s">
        <v>923</v>
      </c>
      <c r="B164" s="39" t="s">
        <v>924</v>
      </c>
      <c r="C164" s="40" t="s">
        <v>552</v>
      </c>
      <c r="D164" s="40" t="s">
        <v>107</v>
      </c>
      <c r="E164" s="41" t="s">
        <v>925</v>
      </c>
      <c r="F164" s="41" t="s">
        <v>926</v>
      </c>
      <c r="G164" s="42" t="s">
        <v>35</v>
      </c>
      <c r="H164" s="44">
        <v>46059</v>
      </c>
      <c r="I164" s="44">
        <v>46070</v>
      </c>
      <c r="J164" s="40" t="s">
        <v>101</v>
      </c>
      <c r="K164" s="40" t="s">
        <v>74</v>
      </c>
      <c r="L164" s="46" t="s">
        <v>66</v>
      </c>
      <c r="M164" s="46"/>
      <c r="N164" s="46"/>
      <c r="O164" s="45"/>
      <c r="P164" s="46" t="str">
        <f t="shared" si="2"/>
        <v>ONAY</v>
      </c>
      <c r="R164" s="47" t="str">
        <f>IF(AND($I164&lt;&gt;"",$I164&gt;=DATE(2026,6,23),COUNTIFS($C:$C,$C164,$I:$I,$I164)&gt;2),"⚠ "&amp;COUNTIFS($C:$C,$C164,$I:$I,$I164)&amp;" BAŞVURU!","")</f>
        <v/>
      </c>
    </row>
    <row r="165" spans="1:19" ht="78.75" customHeight="1" x14ac:dyDescent="0.25">
      <c r="A165" s="39" t="s">
        <v>927</v>
      </c>
      <c r="B165" s="39" t="s">
        <v>928</v>
      </c>
      <c r="C165" s="40" t="s">
        <v>240</v>
      </c>
      <c r="D165" s="40" t="s">
        <v>241</v>
      </c>
      <c r="E165" s="41" t="s">
        <v>929</v>
      </c>
      <c r="F165" s="41" t="s">
        <v>930</v>
      </c>
      <c r="G165" s="42" t="s">
        <v>34</v>
      </c>
      <c r="H165" s="44">
        <v>46059</v>
      </c>
      <c r="I165" s="44">
        <v>46070</v>
      </c>
      <c r="J165" s="40" t="s">
        <v>82</v>
      </c>
      <c r="K165" s="40" t="s">
        <v>83</v>
      </c>
      <c r="L165" s="46" t="s">
        <v>93</v>
      </c>
      <c r="M165" s="46" t="s">
        <v>66</v>
      </c>
      <c r="N165" s="46"/>
      <c r="O165" s="45"/>
      <c r="P165" s="46" t="str">
        <f t="shared" si="2"/>
        <v>ONAY</v>
      </c>
      <c r="Q165" s="25" t="s">
        <v>82</v>
      </c>
      <c r="R165" s="47" t="str">
        <f>IF(AND($I165&lt;&gt;"",$I165&gt;=DATE(2026,6,23),COUNTIFS($C:$C,$C165,$I:$I,$I165)&gt;2),"⚠ "&amp;COUNTIFS($C:$C,$C165,$I:$I,$I165)&amp;" BAŞVURU!","")</f>
        <v/>
      </c>
    </row>
    <row r="166" spans="1:19" ht="78.75" customHeight="1" x14ac:dyDescent="0.25">
      <c r="A166" s="39" t="s">
        <v>931</v>
      </c>
      <c r="B166" s="39" t="s">
        <v>932</v>
      </c>
      <c r="C166" s="40" t="s">
        <v>240</v>
      </c>
      <c r="D166" s="40" t="s">
        <v>241</v>
      </c>
      <c r="E166" s="41" t="s">
        <v>933</v>
      </c>
      <c r="F166" s="41" t="s">
        <v>934</v>
      </c>
      <c r="G166" s="42" t="s">
        <v>34</v>
      </c>
      <c r="H166" s="44">
        <v>46059</v>
      </c>
      <c r="I166" s="44">
        <v>46070</v>
      </c>
      <c r="J166" s="40" t="s">
        <v>82</v>
      </c>
      <c r="K166" s="40" t="s">
        <v>83</v>
      </c>
      <c r="L166" s="46" t="s">
        <v>93</v>
      </c>
      <c r="M166" s="46" t="s">
        <v>66</v>
      </c>
      <c r="N166" s="46"/>
      <c r="O166" s="45"/>
      <c r="P166" s="46" t="str">
        <f t="shared" si="2"/>
        <v>ONAY</v>
      </c>
      <c r="Q166" s="25" t="s">
        <v>82</v>
      </c>
      <c r="R166" s="47" t="str">
        <f>IF(AND($I166&lt;&gt;"",$I166&gt;=DATE(2026,6,23),COUNTIFS($C:$C,$C166,$I:$I,$I166)&gt;2),"⚠ "&amp;COUNTIFS($C:$C,$C166,$I:$I,$I166)&amp;" BAŞVURU!","")</f>
        <v/>
      </c>
    </row>
    <row r="167" spans="1:19" ht="63" customHeight="1" x14ac:dyDescent="0.25">
      <c r="A167" s="39" t="s">
        <v>935</v>
      </c>
      <c r="B167" s="39" t="s">
        <v>936</v>
      </c>
      <c r="C167" s="40" t="s">
        <v>418</v>
      </c>
      <c r="D167" s="40" t="s">
        <v>419</v>
      </c>
      <c r="E167" s="41" t="s">
        <v>937</v>
      </c>
      <c r="F167" s="41" t="s">
        <v>938</v>
      </c>
      <c r="G167" s="42" t="s">
        <v>34</v>
      </c>
      <c r="H167" s="44">
        <v>46059</v>
      </c>
      <c r="I167" s="44">
        <v>46070</v>
      </c>
      <c r="J167" s="40" t="s">
        <v>83</v>
      </c>
      <c r="K167" s="40" t="s">
        <v>92</v>
      </c>
      <c r="L167" s="46" t="s">
        <v>93</v>
      </c>
      <c r="M167" s="46"/>
      <c r="N167" s="46"/>
      <c r="O167" s="45"/>
      <c r="P167" s="46" t="str">
        <f t="shared" si="2"/>
        <v>DÜZELTME</v>
      </c>
      <c r="R167" s="47" t="str">
        <f>IF(AND($I167&lt;&gt;"",$I167&gt;=DATE(2026,6,23),COUNTIFS($C:$C,$C167,$I:$I,$I167)&gt;2),"⚠ "&amp;COUNTIFS($C:$C,$C167,$I:$I,$I167)&amp;" BAŞVURU!","")</f>
        <v/>
      </c>
    </row>
    <row r="168" spans="1:19" ht="63" customHeight="1" x14ac:dyDescent="0.25">
      <c r="A168" s="39" t="s">
        <v>939</v>
      </c>
      <c r="B168" s="39" t="s">
        <v>940</v>
      </c>
      <c r="C168" s="40" t="s">
        <v>418</v>
      </c>
      <c r="D168" s="40" t="s">
        <v>419</v>
      </c>
      <c r="E168" s="41" t="s">
        <v>937</v>
      </c>
      <c r="F168" s="41" t="s">
        <v>941</v>
      </c>
      <c r="G168" s="42" t="s">
        <v>34</v>
      </c>
      <c r="H168" s="44">
        <v>46059</v>
      </c>
      <c r="I168" s="44">
        <v>46070</v>
      </c>
      <c r="J168" s="40" t="s">
        <v>64</v>
      </c>
      <c r="K168" s="40" t="s">
        <v>74</v>
      </c>
      <c r="L168" s="46" t="s">
        <v>93</v>
      </c>
      <c r="M168" s="46"/>
      <c r="N168" s="46"/>
      <c r="O168" s="45"/>
      <c r="P168" s="46" t="str">
        <f t="shared" si="2"/>
        <v>DÜZELTME</v>
      </c>
      <c r="R168" s="47" t="str">
        <f>IF(AND($I168&lt;&gt;"",$I168&gt;=DATE(2026,6,23),COUNTIFS($C:$C,$C168,$I:$I,$I168)&gt;2),"⚠ "&amp;COUNTIFS($C:$C,$C168,$I:$I,$I168)&amp;" BAŞVURU!","")</f>
        <v/>
      </c>
    </row>
    <row r="169" spans="1:19" ht="78.75" customHeight="1" x14ac:dyDescent="0.25">
      <c r="A169" s="39" t="s">
        <v>942</v>
      </c>
      <c r="B169" s="39" t="s">
        <v>943</v>
      </c>
      <c r="C169" s="40" t="s">
        <v>680</v>
      </c>
      <c r="D169" s="40" t="s">
        <v>392</v>
      </c>
      <c r="E169" s="41" t="s">
        <v>944</v>
      </c>
      <c r="F169" s="41" t="s">
        <v>945</v>
      </c>
      <c r="G169" s="42" t="s">
        <v>34</v>
      </c>
      <c r="H169" s="44">
        <v>46059</v>
      </c>
      <c r="I169" s="44">
        <v>46070</v>
      </c>
      <c r="J169" s="40" t="s">
        <v>101</v>
      </c>
      <c r="K169" s="40" t="s">
        <v>110</v>
      </c>
      <c r="L169" s="46" t="s">
        <v>66</v>
      </c>
      <c r="M169" s="46"/>
      <c r="N169" s="46"/>
      <c r="O169" s="45"/>
      <c r="P169" s="46" t="str">
        <f t="shared" si="2"/>
        <v>ONAY</v>
      </c>
      <c r="R169" s="47" t="str">
        <f>IF(AND($I169&lt;&gt;"",$I169&gt;=DATE(2026,6,23),COUNTIFS($C:$C,$C169,$I:$I,$I169)&gt;2),"⚠ "&amp;COUNTIFS($C:$C,$C169,$I:$I,$I169)&amp;" BAŞVURU!","")</f>
        <v/>
      </c>
    </row>
    <row r="170" spans="1:19" ht="78.75" customHeight="1" x14ac:dyDescent="0.25">
      <c r="A170" s="39" t="s">
        <v>946</v>
      </c>
      <c r="B170" s="39" t="s">
        <v>947</v>
      </c>
      <c r="C170" s="40" t="s">
        <v>661</v>
      </c>
      <c r="D170" s="40" t="s">
        <v>241</v>
      </c>
      <c r="E170" s="41" t="s">
        <v>948</v>
      </c>
      <c r="F170" s="41" t="s">
        <v>949</v>
      </c>
      <c r="G170" s="42" t="s">
        <v>34</v>
      </c>
      <c r="H170" s="44">
        <v>46059</v>
      </c>
      <c r="I170" s="44">
        <v>46070</v>
      </c>
      <c r="J170" s="40" t="s">
        <v>64</v>
      </c>
      <c r="K170" s="40" t="s">
        <v>91</v>
      </c>
      <c r="L170" s="46" t="s">
        <v>66</v>
      </c>
      <c r="M170" s="46"/>
      <c r="N170" s="46"/>
      <c r="O170" s="45"/>
      <c r="P170" s="46" t="str">
        <f t="shared" si="2"/>
        <v>ONAY</v>
      </c>
      <c r="R170" s="47" t="str">
        <f>IF(AND($I170&lt;&gt;"",$I170&gt;=DATE(2026,6,23),COUNTIFS($C:$C,$C170,$I:$I,$I170)&gt;2),"⚠ "&amp;COUNTIFS($C:$C,$C170,$I:$I,$I170)&amp;" BAŞVURU!","")</f>
        <v/>
      </c>
    </row>
    <row r="171" spans="1:19" ht="81.75" customHeight="1" x14ac:dyDescent="0.25">
      <c r="A171" s="39" t="s">
        <v>950</v>
      </c>
      <c r="B171" s="39" t="s">
        <v>951</v>
      </c>
      <c r="C171" s="40" t="s">
        <v>952</v>
      </c>
      <c r="D171" s="40" t="s">
        <v>241</v>
      </c>
      <c r="E171" s="41" t="s">
        <v>953</v>
      </c>
      <c r="F171" s="41" t="s">
        <v>954</v>
      </c>
      <c r="G171" s="42" t="s">
        <v>34</v>
      </c>
      <c r="H171" s="44">
        <v>46059</v>
      </c>
      <c r="I171" s="44">
        <v>46070</v>
      </c>
      <c r="J171" s="40" t="s">
        <v>64</v>
      </c>
      <c r="K171" s="40" t="s">
        <v>91</v>
      </c>
      <c r="L171" s="46" t="s">
        <v>66</v>
      </c>
      <c r="M171" s="46"/>
      <c r="N171" s="46"/>
      <c r="O171" s="45"/>
      <c r="P171" s="46" t="str">
        <f t="shared" si="2"/>
        <v>ONAY</v>
      </c>
      <c r="R171" s="47" t="str">
        <f>IF(AND($I171&lt;&gt;"",$I171&gt;=DATE(2026,6,23),COUNTIFS($C:$C,$C171,$I:$I,$I171)&gt;2),"⚠ "&amp;COUNTIFS($C:$C,$C171,$I:$I,$I171)&amp;" BAŞVURU!","")</f>
        <v/>
      </c>
    </row>
    <row r="172" spans="1:19" ht="63" customHeight="1" x14ac:dyDescent="0.25">
      <c r="A172" s="39" t="s">
        <v>955</v>
      </c>
      <c r="B172" s="39" t="s">
        <v>956</v>
      </c>
      <c r="C172" s="40" t="s">
        <v>310</v>
      </c>
      <c r="D172" s="40" t="s">
        <v>234</v>
      </c>
      <c r="E172" s="41" t="s">
        <v>957</v>
      </c>
      <c r="F172" s="41" t="s">
        <v>958</v>
      </c>
      <c r="G172" s="42" t="s">
        <v>34</v>
      </c>
      <c r="H172" s="44">
        <v>46059</v>
      </c>
      <c r="I172" s="44">
        <v>46070</v>
      </c>
      <c r="J172" s="40" t="s">
        <v>65</v>
      </c>
      <c r="K172" s="40" t="s">
        <v>92</v>
      </c>
      <c r="L172" s="46" t="s">
        <v>93</v>
      </c>
      <c r="M172" s="46" t="s">
        <v>66</v>
      </c>
      <c r="N172" s="46"/>
      <c r="O172" s="45"/>
      <c r="P172" s="46" t="str">
        <f t="shared" si="2"/>
        <v>ONAY</v>
      </c>
      <c r="Q172" s="25" t="s">
        <v>65</v>
      </c>
      <c r="R172" s="47" t="str">
        <f>IF(AND($I172&lt;&gt;"",$I172&gt;=DATE(2026,6,23),COUNTIFS($C:$C,$C172,$I:$I,$I172)&gt;2),"⚠ "&amp;COUNTIFS($C:$C,$C172,$I:$I,$I172)&amp;" BAŞVURU!","")</f>
        <v/>
      </c>
    </row>
    <row r="173" spans="1:19" ht="78.75" customHeight="1" x14ac:dyDescent="0.25">
      <c r="A173" s="39" t="s">
        <v>959</v>
      </c>
      <c r="B173" s="39" t="s">
        <v>960</v>
      </c>
      <c r="C173" s="40" t="s">
        <v>552</v>
      </c>
      <c r="D173" s="40" t="s">
        <v>107</v>
      </c>
      <c r="E173" s="41" t="s">
        <v>961</v>
      </c>
      <c r="F173" s="41" t="s">
        <v>962</v>
      </c>
      <c r="G173" s="42" t="s">
        <v>34</v>
      </c>
      <c r="H173" s="44">
        <v>46059</v>
      </c>
      <c r="I173" s="44">
        <v>46070</v>
      </c>
      <c r="J173" s="40" t="s">
        <v>110</v>
      </c>
      <c r="K173" s="40" t="s">
        <v>125</v>
      </c>
      <c r="L173" s="46" t="s">
        <v>93</v>
      </c>
      <c r="M173" s="46" t="s">
        <v>66</v>
      </c>
      <c r="N173" s="46"/>
      <c r="O173" s="45"/>
      <c r="P173" s="46" t="str">
        <f t="shared" si="2"/>
        <v>ONAY</v>
      </c>
      <c r="Q173" s="25" t="s">
        <v>110</v>
      </c>
      <c r="R173" s="47" t="str">
        <f>IF(AND($I173&lt;&gt;"",$I173&gt;=DATE(2026,6,23),COUNTIFS($C:$C,$C173,$I:$I,$I173)&gt;2),"⚠ "&amp;COUNTIFS($C:$C,$C173,$I:$I,$I173)&amp;" BAŞVURU!","")</f>
        <v/>
      </c>
    </row>
    <row r="174" spans="1:19" ht="80.25" customHeight="1" x14ac:dyDescent="0.25">
      <c r="A174" s="39" t="s">
        <v>963</v>
      </c>
      <c r="B174" s="39" t="s">
        <v>964</v>
      </c>
      <c r="C174" s="40" t="s">
        <v>965</v>
      </c>
      <c r="D174" s="40" t="s">
        <v>369</v>
      </c>
      <c r="E174" s="41" t="s">
        <v>966</v>
      </c>
      <c r="F174" s="41" t="s">
        <v>967</v>
      </c>
      <c r="G174" s="42" t="s">
        <v>34</v>
      </c>
      <c r="H174" s="44">
        <v>46059</v>
      </c>
      <c r="I174" s="44">
        <v>46070</v>
      </c>
      <c r="J174" s="40" t="s">
        <v>64</v>
      </c>
      <c r="K174" s="40" t="s">
        <v>118</v>
      </c>
      <c r="L174" s="46" t="s">
        <v>66</v>
      </c>
      <c r="M174" s="46"/>
      <c r="N174" s="46"/>
      <c r="O174" s="45"/>
      <c r="P174" s="46" t="str">
        <f t="shared" si="2"/>
        <v>ONAY</v>
      </c>
      <c r="R174" s="47" t="str">
        <f>IF(AND($I174&lt;&gt;"",$I174&gt;=DATE(2026,6,23),COUNTIFS($C:$C,$C174,$I:$I,$I174)&gt;2),"⚠ "&amp;COUNTIFS($C:$C,$C174,$I:$I,$I174)&amp;" BAŞVURU!","")</f>
        <v/>
      </c>
    </row>
    <row r="175" spans="1:19" ht="94.5" customHeight="1" x14ac:dyDescent="0.25">
      <c r="A175" s="39" t="s">
        <v>968</v>
      </c>
      <c r="B175" s="39" t="s">
        <v>969</v>
      </c>
      <c r="C175" s="40" t="s">
        <v>970</v>
      </c>
      <c r="D175" s="40" t="s">
        <v>419</v>
      </c>
      <c r="E175" s="41" t="s">
        <v>971</v>
      </c>
      <c r="F175" s="41" t="s">
        <v>972</v>
      </c>
      <c r="G175" s="42" t="s">
        <v>36</v>
      </c>
      <c r="H175" s="44">
        <v>46062</v>
      </c>
      <c r="I175" s="44">
        <v>46070</v>
      </c>
      <c r="J175" s="40" t="s">
        <v>64</v>
      </c>
      <c r="K175" s="40" t="s">
        <v>74</v>
      </c>
      <c r="L175" s="46" t="s">
        <v>93</v>
      </c>
      <c r="M175" s="46" t="s">
        <v>66</v>
      </c>
      <c r="N175" s="46"/>
      <c r="O175" s="45"/>
      <c r="P175" s="46" t="str">
        <f t="shared" si="2"/>
        <v>ONAY</v>
      </c>
      <c r="Q175" s="25" t="s">
        <v>64</v>
      </c>
      <c r="R175" s="47" t="str">
        <f>IF(AND($I175&lt;&gt;"",$I175&gt;=DATE(2026,6,23),COUNTIFS($C:$C,$C175,$I:$I,$I175)&gt;2),"⚠ "&amp;COUNTIFS($C:$C,$C175,$I:$I,$I175)&amp;" BAŞVURU!","")</f>
        <v/>
      </c>
    </row>
    <row r="176" spans="1:19" ht="95.25" customHeight="1" x14ac:dyDescent="0.25">
      <c r="A176" s="39" t="s">
        <v>973</v>
      </c>
      <c r="B176" s="39" t="s">
        <v>974</v>
      </c>
      <c r="C176" s="40" t="s">
        <v>975</v>
      </c>
      <c r="D176" s="40" t="s">
        <v>172</v>
      </c>
      <c r="E176" s="41" t="s">
        <v>976</v>
      </c>
      <c r="F176" s="41" t="s">
        <v>977</v>
      </c>
      <c r="G176" s="42" t="s">
        <v>35</v>
      </c>
      <c r="H176" s="44">
        <v>46062</v>
      </c>
      <c r="I176" s="44">
        <v>46070</v>
      </c>
      <c r="J176" s="40" t="s">
        <v>64</v>
      </c>
      <c r="K176" s="40" t="s">
        <v>101</v>
      </c>
      <c r="L176" s="46" t="s">
        <v>93</v>
      </c>
      <c r="M176" s="46" t="s">
        <v>66</v>
      </c>
      <c r="N176" s="46"/>
      <c r="O176" s="45"/>
      <c r="P176" s="46" t="str">
        <f t="shared" si="2"/>
        <v>ONAY</v>
      </c>
      <c r="Q176" s="25" t="s">
        <v>64</v>
      </c>
      <c r="R176" s="47" t="str">
        <f>IF(AND($I176&lt;&gt;"",$I176&gt;=DATE(2026,6,23),COUNTIFS($C:$C,$C176,$I:$I,$I176)&gt;2),"⚠ "&amp;COUNTIFS($C:$C,$C176,$I:$I,$I176)&amp;" BAŞVURU!","")</f>
        <v/>
      </c>
    </row>
    <row r="177" spans="1:18" ht="94.5" customHeight="1" x14ac:dyDescent="0.25">
      <c r="A177" s="39" t="s">
        <v>978</v>
      </c>
      <c r="B177" s="39" t="s">
        <v>979</v>
      </c>
      <c r="C177" s="40" t="s">
        <v>980</v>
      </c>
      <c r="D177" s="40" t="s">
        <v>432</v>
      </c>
      <c r="E177" s="41" t="s">
        <v>981</v>
      </c>
      <c r="F177" s="41" t="s">
        <v>982</v>
      </c>
      <c r="G177" s="42" t="s">
        <v>34</v>
      </c>
      <c r="H177" s="44">
        <v>46062</v>
      </c>
      <c r="I177" s="44">
        <v>46070</v>
      </c>
      <c r="J177" s="40" t="s">
        <v>125</v>
      </c>
      <c r="K177" s="40" t="s">
        <v>101</v>
      </c>
      <c r="L177" s="46" t="s">
        <v>66</v>
      </c>
      <c r="M177" s="46"/>
      <c r="N177" s="46"/>
      <c r="O177" s="45"/>
      <c r="P177" s="46" t="str">
        <f t="shared" si="2"/>
        <v>ONAY</v>
      </c>
      <c r="R177" s="47" t="str">
        <f>IF(AND($I177&lt;&gt;"",$I177&gt;=DATE(2026,6,23),COUNTIFS($C:$C,$C177,$I:$I,$I177)&gt;2),"⚠ "&amp;COUNTIFS($C:$C,$C177,$I:$I,$I177)&amp;" BAŞVURU!","")</f>
        <v/>
      </c>
    </row>
    <row r="178" spans="1:18" ht="63" customHeight="1" x14ac:dyDescent="0.25">
      <c r="A178" s="39" t="s">
        <v>983</v>
      </c>
      <c r="B178" s="39" t="s">
        <v>984</v>
      </c>
      <c r="C178" s="40" t="s">
        <v>985</v>
      </c>
      <c r="D178" s="40" t="s">
        <v>432</v>
      </c>
      <c r="E178" s="41" t="s">
        <v>986</v>
      </c>
      <c r="F178" s="41" t="s">
        <v>987</v>
      </c>
      <c r="G178" s="42" t="s">
        <v>34</v>
      </c>
      <c r="H178" s="44">
        <v>46062</v>
      </c>
      <c r="I178" s="44">
        <v>46070</v>
      </c>
      <c r="J178" s="40" t="s">
        <v>65</v>
      </c>
      <c r="K178" s="40" t="s">
        <v>92</v>
      </c>
      <c r="L178" s="46" t="s">
        <v>66</v>
      </c>
      <c r="M178" s="46"/>
      <c r="N178" s="46"/>
      <c r="O178" s="45"/>
      <c r="P178" s="46" t="str">
        <f t="shared" si="2"/>
        <v>ONAY</v>
      </c>
      <c r="R178" s="47" t="str">
        <f>IF(AND($I178&lt;&gt;"",$I178&gt;=DATE(2026,6,23),COUNTIFS($C:$C,$C178,$I:$I,$I178)&gt;2),"⚠ "&amp;COUNTIFS($C:$C,$C178,$I:$I,$I178)&amp;" BAŞVURU!","")</f>
        <v/>
      </c>
    </row>
    <row r="179" spans="1:18" ht="63" customHeight="1" x14ac:dyDescent="0.25">
      <c r="A179" s="39" t="s">
        <v>988</v>
      </c>
      <c r="B179" s="39" t="s">
        <v>989</v>
      </c>
      <c r="C179" s="40" t="s">
        <v>985</v>
      </c>
      <c r="D179" s="40" t="s">
        <v>432</v>
      </c>
      <c r="E179" s="41" t="s">
        <v>986</v>
      </c>
      <c r="F179" s="41" t="s">
        <v>990</v>
      </c>
      <c r="G179" s="42" t="s">
        <v>34</v>
      </c>
      <c r="H179" s="44">
        <v>46062</v>
      </c>
      <c r="I179" s="44">
        <v>46070</v>
      </c>
      <c r="J179" s="40" t="s">
        <v>65</v>
      </c>
      <c r="K179" s="40" t="s">
        <v>92</v>
      </c>
      <c r="L179" s="46" t="s">
        <v>66</v>
      </c>
      <c r="M179" s="46"/>
      <c r="N179" s="46"/>
      <c r="O179" s="45"/>
      <c r="P179" s="46" t="str">
        <f t="shared" si="2"/>
        <v>ONAY</v>
      </c>
      <c r="R179" s="47" t="str">
        <f>IF(AND($I179&lt;&gt;"",$I179&gt;=DATE(2026,6,23),COUNTIFS($C:$C,$C179,$I:$I,$I179)&gt;2),"⚠ "&amp;COUNTIFS($C:$C,$C179,$I:$I,$I179)&amp;" BAŞVURU!","")</f>
        <v/>
      </c>
    </row>
    <row r="180" spans="1:18" ht="63" customHeight="1" x14ac:dyDescent="0.25">
      <c r="A180" s="39" t="s">
        <v>991</v>
      </c>
      <c r="B180" s="39" t="s">
        <v>992</v>
      </c>
      <c r="C180" s="40" t="s">
        <v>993</v>
      </c>
      <c r="D180" s="40" t="s">
        <v>994</v>
      </c>
      <c r="E180" s="41" t="s">
        <v>995</v>
      </c>
      <c r="F180" s="41" t="s">
        <v>996</v>
      </c>
      <c r="G180" s="42" t="s">
        <v>34</v>
      </c>
      <c r="H180" s="44">
        <v>46062</v>
      </c>
      <c r="I180" s="44">
        <v>46070</v>
      </c>
      <c r="J180" s="40" t="s">
        <v>91</v>
      </c>
      <c r="K180" s="40" t="s">
        <v>110</v>
      </c>
      <c r="L180" s="46" t="s">
        <v>93</v>
      </c>
      <c r="M180" s="46" t="s">
        <v>66</v>
      </c>
      <c r="N180" s="46"/>
      <c r="O180" s="45"/>
      <c r="P180" s="46" t="str">
        <f t="shared" si="2"/>
        <v>ONAY</v>
      </c>
      <c r="Q180" s="25" t="s">
        <v>91</v>
      </c>
      <c r="R180" s="47" t="str">
        <f>IF(AND($I180&lt;&gt;"",$I180&gt;=DATE(2026,6,23),COUNTIFS($C:$C,$C180,$I:$I,$I180)&gt;2),"⚠ "&amp;COUNTIFS($C:$C,$C180,$I:$I,$I180)&amp;" BAŞVURU!","")</f>
        <v/>
      </c>
    </row>
    <row r="181" spans="1:18" ht="63" customHeight="1" x14ac:dyDescent="0.25">
      <c r="A181" s="39" t="s">
        <v>997</v>
      </c>
      <c r="B181" s="39" t="s">
        <v>998</v>
      </c>
      <c r="C181" s="40" t="s">
        <v>259</v>
      </c>
      <c r="D181" s="40" t="s">
        <v>107</v>
      </c>
      <c r="E181" s="41" t="s">
        <v>999</v>
      </c>
      <c r="F181" s="41" t="s">
        <v>1000</v>
      </c>
      <c r="G181" s="42" t="s">
        <v>35</v>
      </c>
      <c r="H181" s="44">
        <v>46062</v>
      </c>
      <c r="I181" s="44">
        <v>46070</v>
      </c>
      <c r="J181" s="40" t="s">
        <v>64</v>
      </c>
      <c r="K181" s="40" t="s">
        <v>118</v>
      </c>
      <c r="L181" s="46" t="s">
        <v>93</v>
      </c>
      <c r="M181" s="46" t="s">
        <v>66</v>
      </c>
      <c r="N181" s="46"/>
      <c r="O181" s="45"/>
      <c r="P181" s="46" t="str">
        <f t="shared" si="2"/>
        <v>ONAY</v>
      </c>
      <c r="Q181" s="25" t="s">
        <v>64</v>
      </c>
      <c r="R181" s="47" t="str">
        <f>IF(AND($I181&lt;&gt;"",$I181&gt;=DATE(2026,6,23),COUNTIFS($C:$C,$C181,$I:$I,$I181)&gt;2),"⚠ "&amp;COUNTIFS($C:$C,$C181,$I:$I,$I181)&amp;" BAŞVURU!","")</f>
        <v/>
      </c>
    </row>
    <row r="182" spans="1:18" ht="94.5" customHeight="1" x14ac:dyDescent="0.25">
      <c r="A182" s="39" t="s">
        <v>1001</v>
      </c>
      <c r="B182" s="39" t="s">
        <v>1002</v>
      </c>
      <c r="C182" s="40" t="s">
        <v>1003</v>
      </c>
      <c r="D182" s="40" t="s">
        <v>726</v>
      </c>
      <c r="E182" s="41" t="s">
        <v>1004</v>
      </c>
      <c r="F182" s="41" t="s">
        <v>1005</v>
      </c>
      <c r="G182" s="42" t="s">
        <v>36</v>
      </c>
      <c r="H182" s="44">
        <v>46063</v>
      </c>
      <c r="I182" s="44">
        <v>46070</v>
      </c>
      <c r="J182" s="40" t="s">
        <v>64</v>
      </c>
      <c r="K182" s="40" t="s">
        <v>91</v>
      </c>
      <c r="L182" s="46" t="s">
        <v>93</v>
      </c>
      <c r="M182" s="46" t="s">
        <v>66</v>
      </c>
      <c r="N182" s="46"/>
      <c r="O182" s="45"/>
      <c r="P182" s="46" t="str">
        <f t="shared" si="2"/>
        <v>ONAY</v>
      </c>
      <c r="Q182" s="25" t="s">
        <v>64</v>
      </c>
      <c r="R182" s="47" t="str">
        <f>IF(AND($I182&lt;&gt;"",$I182&gt;=DATE(2026,6,23),COUNTIFS($C:$C,$C182,$I:$I,$I182)&gt;2),"⚠ "&amp;COUNTIFS($C:$C,$C182,$I:$I,$I182)&amp;" BAŞVURU!","")</f>
        <v/>
      </c>
    </row>
    <row r="183" spans="1:18" ht="63" customHeight="1" x14ac:dyDescent="0.25">
      <c r="A183" s="39" t="s">
        <v>1006</v>
      </c>
      <c r="B183" s="39" t="s">
        <v>1007</v>
      </c>
      <c r="C183" s="40" t="s">
        <v>1008</v>
      </c>
      <c r="D183" s="40" t="s">
        <v>567</v>
      </c>
      <c r="E183" s="41" t="s">
        <v>1009</v>
      </c>
      <c r="F183" s="41" t="s">
        <v>1010</v>
      </c>
      <c r="G183" s="42" t="s">
        <v>34</v>
      </c>
      <c r="H183" s="44">
        <v>46063</v>
      </c>
      <c r="I183" s="44">
        <v>46070</v>
      </c>
      <c r="J183" s="40" t="s">
        <v>82</v>
      </c>
      <c r="K183" s="40" t="s">
        <v>118</v>
      </c>
      <c r="L183" s="46" t="s">
        <v>66</v>
      </c>
      <c r="M183" s="46"/>
      <c r="N183" s="46"/>
      <c r="O183" s="45"/>
      <c r="P183" s="46" t="str">
        <f t="shared" si="2"/>
        <v>ONAY</v>
      </c>
      <c r="R183" s="47" t="str">
        <f>IF(AND($I183&lt;&gt;"",$I183&gt;=DATE(2026,6,23),COUNTIFS($C:$C,$C183,$I:$I,$I183)&gt;2),"⚠ "&amp;COUNTIFS($C:$C,$C183,$I:$I,$I183)&amp;" BAŞVURU!","")</f>
        <v/>
      </c>
    </row>
    <row r="184" spans="1:18" ht="63" customHeight="1" x14ac:dyDescent="0.25">
      <c r="A184" s="39" t="s">
        <v>1011</v>
      </c>
      <c r="B184" s="39" t="s">
        <v>1012</v>
      </c>
      <c r="C184" s="40" t="s">
        <v>1013</v>
      </c>
      <c r="D184" s="40" t="s">
        <v>442</v>
      </c>
      <c r="E184" s="41" t="s">
        <v>1014</v>
      </c>
      <c r="F184" s="41" t="s">
        <v>1015</v>
      </c>
      <c r="G184" s="42" t="s">
        <v>35</v>
      </c>
      <c r="H184" s="44">
        <v>46063</v>
      </c>
      <c r="I184" s="44">
        <v>46070</v>
      </c>
      <c r="J184" s="40" t="s">
        <v>118</v>
      </c>
      <c r="K184" s="40" t="s">
        <v>74</v>
      </c>
      <c r="L184" s="46" t="s">
        <v>215</v>
      </c>
      <c r="M184" s="46" t="s">
        <v>93</v>
      </c>
      <c r="N184" s="46" t="s">
        <v>66</v>
      </c>
      <c r="O184" s="45"/>
      <c r="P184" s="46" t="str">
        <f t="shared" si="2"/>
        <v>ONAY</v>
      </c>
      <c r="Q184" s="25" t="s">
        <v>82</v>
      </c>
      <c r="R184" s="47" t="str">
        <f>IF(AND($I184&lt;&gt;"",$I184&gt;=DATE(2026,6,23),COUNTIFS($C:$C,$C184,$I:$I,$I184)&gt;2),"⚠ "&amp;COUNTIFS($C:$C,$C184,$I:$I,$I184)&amp;" BAŞVURU!","")</f>
        <v/>
      </c>
    </row>
    <row r="185" spans="1:18" ht="78.75" customHeight="1" x14ac:dyDescent="0.25">
      <c r="A185" s="39" t="s">
        <v>1016</v>
      </c>
      <c r="B185" s="39" t="s">
        <v>1017</v>
      </c>
      <c r="C185" s="40" t="s">
        <v>1018</v>
      </c>
      <c r="D185" s="40" t="s">
        <v>1019</v>
      </c>
      <c r="E185" s="41" t="s">
        <v>1020</v>
      </c>
      <c r="F185" s="41" t="s">
        <v>1021</v>
      </c>
      <c r="G185" s="42" t="s">
        <v>34</v>
      </c>
      <c r="H185" s="44">
        <v>46064</v>
      </c>
      <c r="I185" s="44">
        <v>46070</v>
      </c>
      <c r="J185" s="40" t="s">
        <v>118</v>
      </c>
      <c r="K185" s="40" t="s">
        <v>110</v>
      </c>
      <c r="L185" s="46" t="s">
        <v>66</v>
      </c>
      <c r="M185" s="46"/>
      <c r="N185" s="46"/>
      <c r="O185" s="45"/>
      <c r="P185" s="46" t="str">
        <f t="shared" si="2"/>
        <v>ONAY</v>
      </c>
      <c r="R185" s="47" t="str">
        <f>IF(AND($I185&lt;&gt;"",$I185&gt;=DATE(2026,6,23),COUNTIFS($C:$C,$C185,$I:$I,$I185)&gt;2),"⚠ "&amp;COUNTIFS($C:$C,$C185,$I:$I,$I185)&amp;" BAŞVURU!","")</f>
        <v/>
      </c>
    </row>
    <row r="186" spans="1:18" ht="78.75" customHeight="1" x14ac:dyDescent="0.25">
      <c r="A186" s="39" t="s">
        <v>1022</v>
      </c>
      <c r="B186" s="39" t="s">
        <v>1023</v>
      </c>
      <c r="C186" s="40" t="s">
        <v>78</v>
      </c>
      <c r="D186" s="40" t="s">
        <v>79</v>
      </c>
      <c r="E186" s="41" t="s">
        <v>1024</v>
      </c>
      <c r="F186" s="41" t="s">
        <v>1025</v>
      </c>
      <c r="G186" s="42" t="s">
        <v>35</v>
      </c>
      <c r="H186" s="44">
        <v>46064</v>
      </c>
      <c r="I186" s="44">
        <v>46070</v>
      </c>
      <c r="J186" s="40" t="s">
        <v>125</v>
      </c>
      <c r="K186" s="40" t="s">
        <v>83</v>
      </c>
      <c r="L186" s="46" t="s">
        <v>66</v>
      </c>
      <c r="M186" s="46"/>
      <c r="N186" s="46"/>
      <c r="O186" s="45"/>
      <c r="P186" s="46" t="str">
        <f t="shared" si="2"/>
        <v>ONAY</v>
      </c>
      <c r="R186" s="47" t="str">
        <f>IF(AND($I186&lt;&gt;"",$I186&gt;=DATE(2026,6,23),COUNTIFS($C:$C,$C186,$I:$I,$I186)&gt;2),"⚠ "&amp;COUNTIFS($C:$C,$C186,$I:$I,$I186)&amp;" BAŞVURU!","")</f>
        <v/>
      </c>
    </row>
    <row r="187" spans="1:18" ht="96" customHeight="1" x14ac:dyDescent="0.25">
      <c r="A187" s="39" t="s">
        <v>1026</v>
      </c>
      <c r="B187" s="39" t="s">
        <v>1027</v>
      </c>
      <c r="C187" s="40" t="s">
        <v>240</v>
      </c>
      <c r="D187" s="40" t="s">
        <v>241</v>
      </c>
      <c r="E187" s="41" t="s">
        <v>1028</v>
      </c>
      <c r="F187" s="41" t="s">
        <v>1029</v>
      </c>
      <c r="G187" s="42" t="s">
        <v>34</v>
      </c>
      <c r="H187" s="44">
        <v>46064</v>
      </c>
      <c r="I187" s="44">
        <v>46070</v>
      </c>
      <c r="J187" s="40" t="s">
        <v>91</v>
      </c>
      <c r="K187" s="40" t="s">
        <v>125</v>
      </c>
      <c r="L187" s="46" t="s">
        <v>175</v>
      </c>
      <c r="M187" s="46"/>
      <c r="N187" s="46"/>
      <c r="O187" s="45"/>
      <c r="P187" s="46" t="str">
        <f t="shared" si="2"/>
        <v>RET</v>
      </c>
      <c r="R187" s="47" t="str">
        <f>IF(AND($I187&lt;&gt;"",$I187&gt;=DATE(2026,6,23),COUNTIFS($C:$C,$C187,$I:$I,$I187)&gt;2),"⚠ "&amp;COUNTIFS($C:$C,$C187,$I:$I,$I187)&amp;" BAŞVURU!","")</f>
        <v/>
      </c>
    </row>
    <row r="188" spans="1:18" ht="63" customHeight="1" x14ac:dyDescent="0.25">
      <c r="A188" s="39" t="s">
        <v>1030</v>
      </c>
      <c r="B188" s="39" t="s">
        <v>1031</v>
      </c>
      <c r="C188" s="40" t="s">
        <v>1032</v>
      </c>
      <c r="D188" s="40" t="s">
        <v>317</v>
      </c>
      <c r="E188" s="41" t="s">
        <v>1033</v>
      </c>
      <c r="F188" s="41" t="s">
        <v>1034</v>
      </c>
      <c r="G188" s="42" t="s">
        <v>34</v>
      </c>
      <c r="H188" s="44">
        <v>46064</v>
      </c>
      <c r="I188" s="44">
        <v>46070</v>
      </c>
      <c r="J188" s="40" t="s">
        <v>82</v>
      </c>
      <c r="K188" s="40" t="s">
        <v>74</v>
      </c>
      <c r="L188" s="46" t="s">
        <v>175</v>
      </c>
      <c r="M188" s="46"/>
      <c r="N188" s="46"/>
      <c r="O188" s="45"/>
      <c r="P188" s="46" t="str">
        <f t="shared" si="2"/>
        <v>RET</v>
      </c>
      <c r="R188" s="47" t="str">
        <f>IF(AND($I188&lt;&gt;"",$I188&gt;=DATE(2026,6,23),COUNTIFS($C:$C,$C188,$I:$I,$I188)&gt;2),"⚠ "&amp;COUNTIFS($C:$C,$C188,$I:$I,$I188)&amp;" BAŞVURU!","")</f>
        <v/>
      </c>
    </row>
    <row r="189" spans="1:18" ht="110.25" customHeight="1" x14ac:dyDescent="0.25">
      <c r="A189" s="39" t="s">
        <v>1035</v>
      </c>
      <c r="B189" s="39" t="s">
        <v>1036</v>
      </c>
      <c r="C189" s="40" t="s">
        <v>1037</v>
      </c>
      <c r="D189" s="40" t="s">
        <v>234</v>
      </c>
      <c r="E189" s="41" t="s">
        <v>1038</v>
      </c>
      <c r="F189" s="41" t="s">
        <v>1039</v>
      </c>
      <c r="G189" s="42" t="s">
        <v>35</v>
      </c>
      <c r="H189" s="44">
        <v>46064</v>
      </c>
      <c r="I189" s="44">
        <v>46070</v>
      </c>
      <c r="J189" s="40" t="s">
        <v>101</v>
      </c>
      <c r="K189" s="40" t="s">
        <v>110</v>
      </c>
      <c r="L189" s="46" t="s">
        <v>93</v>
      </c>
      <c r="M189" s="46" t="s">
        <v>66</v>
      </c>
      <c r="N189" s="46"/>
      <c r="O189" s="45"/>
      <c r="P189" s="46" t="str">
        <f t="shared" si="2"/>
        <v>ONAY</v>
      </c>
      <c r="Q189" s="25" t="s">
        <v>101</v>
      </c>
      <c r="R189" s="47" t="str">
        <f>IF(AND($I189&lt;&gt;"",$I189&gt;=DATE(2026,6,23),COUNTIFS($C:$C,$C189,$I:$I,$I189)&gt;2),"⚠ "&amp;COUNTIFS($C:$C,$C189,$I:$I,$I189)&amp;" BAŞVURU!","")</f>
        <v/>
      </c>
    </row>
    <row r="190" spans="1:18" ht="94.5" customHeight="1" x14ac:dyDescent="0.25">
      <c r="A190" s="39" t="s">
        <v>1040</v>
      </c>
      <c r="B190" s="39" t="s">
        <v>1041</v>
      </c>
      <c r="C190" s="40" t="s">
        <v>1042</v>
      </c>
      <c r="D190" s="40" t="s">
        <v>292</v>
      </c>
      <c r="E190" s="41" t="s">
        <v>1043</v>
      </c>
      <c r="F190" s="41" t="s">
        <v>1044</v>
      </c>
      <c r="G190" s="42" t="s">
        <v>34</v>
      </c>
      <c r="H190" s="44">
        <v>46064</v>
      </c>
      <c r="I190" s="44">
        <v>46070</v>
      </c>
      <c r="J190" s="40" t="s">
        <v>83</v>
      </c>
      <c r="K190" s="40" t="s">
        <v>65</v>
      </c>
      <c r="L190" s="46" t="s">
        <v>66</v>
      </c>
      <c r="M190" s="46"/>
      <c r="N190" s="46"/>
      <c r="O190" s="45"/>
      <c r="P190" s="46" t="str">
        <f t="shared" si="2"/>
        <v>ONAY</v>
      </c>
      <c r="R190" s="47" t="str">
        <f>IF(AND($I190&lt;&gt;"",$I190&gt;=DATE(2026,6,23),COUNTIFS($C:$C,$C190,$I:$I,$I190)&gt;2),"⚠ "&amp;COUNTIFS($C:$C,$C190,$I:$I,$I190)&amp;" BAŞVURU!","")</f>
        <v/>
      </c>
    </row>
    <row r="191" spans="1:18" ht="63" customHeight="1" x14ac:dyDescent="0.25">
      <c r="A191" s="39" t="s">
        <v>1045</v>
      </c>
      <c r="B191" s="39" t="s">
        <v>1046</v>
      </c>
      <c r="C191" s="40" t="s">
        <v>1047</v>
      </c>
      <c r="D191" s="40" t="s">
        <v>353</v>
      </c>
      <c r="E191" s="41" t="s">
        <v>1048</v>
      </c>
      <c r="F191" s="41" t="s">
        <v>1049</v>
      </c>
      <c r="G191" s="42" t="s">
        <v>34</v>
      </c>
      <c r="H191" s="44">
        <v>46064</v>
      </c>
      <c r="I191" s="44">
        <v>46070</v>
      </c>
      <c r="J191" s="40" t="s">
        <v>92</v>
      </c>
      <c r="K191" s="40" t="s">
        <v>64</v>
      </c>
      <c r="L191" s="46" t="s">
        <v>66</v>
      </c>
      <c r="M191" s="46"/>
      <c r="N191" s="46"/>
      <c r="O191" s="45"/>
      <c r="P191" s="46" t="str">
        <f t="shared" si="2"/>
        <v>ONAY</v>
      </c>
      <c r="R191" s="47" t="str">
        <f>IF(AND($I191&lt;&gt;"",$I191&gt;=DATE(2026,6,23),COUNTIFS($C:$C,$C191,$I:$I,$I191)&gt;2),"⚠ "&amp;COUNTIFS($C:$C,$C191,$I:$I,$I191)&amp;" BAŞVURU!","")</f>
        <v/>
      </c>
    </row>
    <row r="192" spans="1:18" ht="78.75" customHeight="1" x14ac:dyDescent="0.25">
      <c r="A192" s="39" t="s">
        <v>1050</v>
      </c>
      <c r="B192" s="39" t="s">
        <v>1051</v>
      </c>
      <c r="C192" s="40" t="s">
        <v>65</v>
      </c>
      <c r="D192" s="40" t="s">
        <v>234</v>
      </c>
      <c r="E192" s="41" t="s">
        <v>1052</v>
      </c>
      <c r="F192" s="41" t="s">
        <v>1053</v>
      </c>
      <c r="G192" s="42" t="s">
        <v>34</v>
      </c>
      <c r="H192" s="44">
        <v>46071</v>
      </c>
      <c r="I192" s="44">
        <v>46084</v>
      </c>
      <c r="J192" s="40" t="s">
        <v>102</v>
      </c>
      <c r="K192" s="40" t="s">
        <v>110</v>
      </c>
      <c r="L192" s="46" t="s">
        <v>93</v>
      </c>
      <c r="M192" s="46" t="s">
        <v>66</v>
      </c>
      <c r="N192" s="46"/>
      <c r="O192" s="45"/>
      <c r="P192" s="46" t="str">
        <f t="shared" si="2"/>
        <v>ONAY</v>
      </c>
      <c r="Q192" s="25" t="s">
        <v>110</v>
      </c>
      <c r="R192" s="47" t="str">
        <f>IF(AND($I192&lt;&gt;"",$I192&gt;=DATE(2026,6,23),COUNTIFS($C:$C,$C192,$I:$I,$I192)&gt;2),"⚠ "&amp;COUNTIFS($C:$C,$C192,$I:$I,$I192)&amp;" BAŞVURU!","")</f>
        <v/>
      </c>
    </row>
    <row r="193" spans="1:18" ht="113.25" customHeight="1" x14ac:dyDescent="0.25">
      <c r="A193" s="39" t="s">
        <v>1054</v>
      </c>
      <c r="B193" s="39" t="s">
        <v>1055</v>
      </c>
      <c r="C193" s="40" t="s">
        <v>1056</v>
      </c>
      <c r="D193" s="40" t="s">
        <v>234</v>
      </c>
      <c r="E193" s="41" t="s">
        <v>1057</v>
      </c>
      <c r="F193" s="41" t="s">
        <v>1058</v>
      </c>
      <c r="G193" s="42" t="s">
        <v>34</v>
      </c>
      <c r="H193" s="44">
        <v>46071</v>
      </c>
      <c r="I193" s="44">
        <v>46084</v>
      </c>
      <c r="J193" s="40" t="s">
        <v>74</v>
      </c>
      <c r="K193" s="40" t="s">
        <v>91</v>
      </c>
      <c r="L193" s="46" t="s">
        <v>66</v>
      </c>
      <c r="M193" s="46"/>
      <c r="N193" s="46"/>
      <c r="O193" s="45"/>
      <c r="P193" s="46" t="str">
        <f t="shared" si="2"/>
        <v>ONAY</v>
      </c>
      <c r="R193" s="47" t="str">
        <f>IF(AND($I193&lt;&gt;"",$I193&gt;=DATE(2026,6,23),COUNTIFS($C:$C,$C193,$I:$I,$I193)&gt;2),"⚠ "&amp;COUNTIFS($C:$C,$C193,$I:$I,$I193)&amp;" BAŞVURU!","")</f>
        <v/>
      </c>
    </row>
    <row r="194" spans="1:18" ht="63" customHeight="1" x14ac:dyDescent="0.25">
      <c r="A194" s="39" t="s">
        <v>1059</v>
      </c>
      <c r="B194" s="39" t="s">
        <v>1060</v>
      </c>
      <c r="C194" s="40" t="s">
        <v>547</v>
      </c>
      <c r="D194" s="40" t="s">
        <v>392</v>
      </c>
      <c r="E194" s="41" t="s">
        <v>1061</v>
      </c>
      <c r="F194" s="41" t="s">
        <v>1062</v>
      </c>
      <c r="G194" s="42" t="s">
        <v>34</v>
      </c>
      <c r="H194" s="44">
        <v>46071</v>
      </c>
      <c r="I194" s="44">
        <v>46084</v>
      </c>
      <c r="J194" s="40" t="s">
        <v>64</v>
      </c>
      <c r="K194" s="40" t="s">
        <v>101</v>
      </c>
      <c r="L194" s="46" t="s">
        <v>66</v>
      </c>
      <c r="M194" s="46"/>
      <c r="N194" s="46"/>
      <c r="O194" s="45"/>
      <c r="P194" s="46" t="str">
        <f t="shared" ref="P194:P257" si="3">IF(O194&lt;&gt;"",O194, IF(N194&lt;&gt;"",N194, IF(M194&lt;&gt;"",M194, L194)))</f>
        <v>ONAY</v>
      </c>
      <c r="R194" s="47" t="str">
        <f>IF(AND($I194&lt;&gt;"",$I194&gt;=DATE(2026,6,23),COUNTIFS($C:$C,$C194,$I:$I,$I194)&gt;2),"⚠ "&amp;COUNTIFS($C:$C,$C194,$I:$I,$I194)&amp;" BAŞVURU!","")</f>
        <v/>
      </c>
    </row>
    <row r="195" spans="1:18" ht="63" customHeight="1" x14ac:dyDescent="0.25">
      <c r="A195" s="39" t="s">
        <v>1063</v>
      </c>
      <c r="B195" s="39" t="s">
        <v>1064</v>
      </c>
      <c r="C195" s="40" t="s">
        <v>1065</v>
      </c>
      <c r="D195" s="40" t="s">
        <v>1066</v>
      </c>
      <c r="E195" s="41" t="s">
        <v>1067</v>
      </c>
      <c r="F195" s="41" t="s">
        <v>1068</v>
      </c>
      <c r="G195" s="42" t="s">
        <v>34</v>
      </c>
      <c r="H195" s="44">
        <v>46071</v>
      </c>
      <c r="I195" s="44">
        <v>46084</v>
      </c>
      <c r="J195" s="40" t="s">
        <v>74</v>
      </c>
      <c r="K195" s="40" t="s">
        <v>102</v>
      </c>
      <c r="L195" s="46" t="s">
        <v>215</v>
      </c>
      <c r="M195" s="46" t="s">
        <v>66</v>
      </c>
      <c r="N195" s="46"/>
      <c r="O195" s="45"/>
      <c r="P195" s="46" t="str">
        <f t="shared" si="3"/>
        <v>ONAY</v>
      </c>
      <c r="R195" s="47" t="str">
        <f>IF(AND($I195&lt;&gt;"",$I195&gt;=DATE(2026,6,23),COUNTIFS($C:$C,$C195,$I:$I,$I195)&gt;2),"⚠ "&amp;COUNTIFS($C:$C,$C195,$I:$I,$I195)&amp;" BAŞVURU!","")</f>
        <v/>
      </c>
    </row>
    <row r="196" spans="1:18" ht="63" customHeight="1" x14ac:dyDescent="0.25">
      <c r="A196" s="39" t="s">
        <v>1069</v>
      </c>
      <c r="B196" s="39" t="s">
        <v>1070</v>
      </c>
      <c r="C196" s="40" t="s">
        <v>1071</v>
      </c>
      <c r="D196" s="40" t="s">
        <v>79</v>
      </c>
      <c r="E196" s="41" t="s">
        <v>1072</v>
      </c>
      <c r="F196" s="41" t="s">
        <v>1073</v>
      </c>
      <c r="G196" s="42" t="s">
        <v>34</v>
      </c>
      <c r="H196" s="44">
        <v>46071</v>
      </c>
      <c r="I196" s="44">
        <v>46084</v>
      </c>
      <c r="J196" s="40" t="s">
        <v>83</v>
      </c>
      <c r="K196" s="40" t="s">
        <v>92</v>
      </c>
      <c r="L196" s="46" t="s">
        <v>66</v>
      </c>
      <c r="M196" s="46"/>
      <c r="N196" s="46"/>
      <c r="O196" s="45"/>
      <c r="P196" s="46" t="str">
        <f t="shared" si="3"/>
        <v>ONAY</v>
      </c>
      <c r="R196" s="47" t="str">
        <f>IF(AND($I196&lt;&gt;"",$I196&gt;=DATE(2026,6,23),COUNTIFS($C:$C,$C196,$I:$I,$I196)&gt;2),"⚠ "&amp;COUNTIFS($C:$C,$C196,$I:$I,$I196)&amp;" BAŞVURU!","")</f>
        <v/>
      </c>
    </row>
    <row r="197" spans="1:18" ht="63" customHeight="1" x14ac:dyDescent="0.25">
      <c r="A197" s="39" t="s">
        <v>1074</v>
      </c>
      <c r="B197" s="39" t="s">
        <v>1075</v>
      </c>
      <c r="C197" s="40" t="s">
        <v>704</v>
      </c>
      <c r="D197" s="40" t="s">
        <v>292</v>
      </c>
      <c r="E197" s="41" t="s">
        <v>1076</v>
      </c>
      <c r="F197" s="41" t="s">
        <v>1077</v>
      </c>
      <c r="G197" s="42" t="s">
        <v>36</v>
      </c>
      <c r="H197" s="44">
        <v>46071</v>
      </c>
      <c r="I197" s="44">
        <v>46084</v>
      </c>
      <c r="J197" s="40" t="s">
        <v>65</v>
      </c>
      <c r="K197" s="40" t="s">
        <v>110</v>
      </c>
      <c r="L197" s="46" t="s">
        <v>66</v>
      </c>
      <c r="M197" s="46"/>
      <c r="N197" s="46"/>
      <c r="O197" s="45"/>
      <c r="P197" s="46" t="str">
        <f t="shared" si="3"/>
        <v>ONAY</v>
      </c>
      <c r="R197" s="47" t="str">
        <f>IF(AND($I197&lt;&gt;"",$I197&gt;=DATE(2026,6,23),COUNTIFS($C:$C,$C197,$I:$I,$I197)&gt;2),"⚠ "&amp;COUNTIFS($C:$C,$C197,$I:$I,$I197)&amp;" BAŞVURU!","")</f>
        <v/>
      </c>
    </row>
    <row r="198" spans="1:18" ht="63" customHeight="1" x14ac:dyDescent="0.25">
      <c r="A198" s="39" t="s">
        <v>1078</v>
      </c>
      <c r="B198" s="39" t="s">
        <v>1079</v>
      </c>
      <c r="C198" s="40" t="s">
        <v>1080</v>
      </c>
      <c r="D198" s="40" t="s">
        <v>107</v>
      </c>
      <c r="E198" s="41" t="s">
        <v>1081</v>
      </c>
      <c r="F198" s="41" t="s">
        <v>1082</v>
      </c>
      <c r="G198" s="42" t="s">
        <v>34</v>
      </c>
      <c r="H198" s="44">
        <v>46071</v>
      </c>
      <c r="I198" s="44">
        <v>46084</v>
      </c>
      <c r="J198" s="40" t="s">
        <v>82</v>
      </c>
      <c r="K198" s="40" t="s">
        <v>101</v>
      </c>
      <c r="L198" s="46" t="s">
        <v>153</v>
      </c>
      <c r="M198" s="46"/>
      <c r="N198" s="46"/>
      <c r="O198" s="45"/>
      <c r="P198" s="46" t="str">
        <f t="shared" si="3"/>
        <v>KAPSAM DIŞI</v>
      </c>
      <c r="R198" s="47" t="str">
        <f>IF(AND($I198&lt;&gt;"",$I198&gt;=DATE(2026,6,23),COUNTIFS($C:$C,$C198,$I:$I,$I198)&gt;2),"⚠ "&amp;COUNTIFS($C:$C,$C198,$I:$I,$I198)&amp;" BAŞVURU!","")</f>
        <v/>
      </c>
    </row>
    <row r="199" spans="1:18" ht="63" customHeight="1" x14ac:dyDescent="0.25">
      <c r="A199" s="39" t="s">
        <v>1083</v>
      </c>
      <c r="B199" s="39" t="s">
        <v>1084</v>
      </c>
      <c r="C199" s="40" t="s">
        <v>1080</v>
      </c>
      <c r="D199" s="40" t="s">
        <v>107</v>
      </c>
      <c r="E199" s="41" t="s">
        <v>1081</v>
      </c>
      <c r="F199" s="41" t="s">
        <v>1085</v>
      </c>
      <c r="G199" s="42" t="s">
        <v>34</v>
      </c>
      <c r="H199" s="44">
        <v>46071</v>
      </c>
      <c r="I199" s="44">
        <v>46084</v>
      </c>
      <c r="J199" s="40" t="s">
        <v>82</v>
      </c>
      <c r="K199" s="40" t="s">
        <v>101</v>
      </c>
      <c r="L199" s="46" t="s">
        <v>153</v>
      </c>
      <c r="M199" s="46"/>
      <c r="N199" s="46"/>
      <c r="O199" s="45"/>
      <c r="P199" s="46" t="str">
        <f t="shared" si="3"/>
        <v>KAPSAM DIŞI</v>
      </c>
      <c r="R199" s="47" t="str">
        <f>IF(AND($I199&lt;&gt;"",$I199&gt;=DATE(2026,6,23),COUNTIFS($C:$C,$C199,$I:$I,$I199)&gt;2),"⚠ "&amp;COUNTIFS($C:$C,$C199,$I:$I,$I199)&amp;" BAŞVURU!","")</f>
        <v/>
      </c>
    </row>
    <row r="200" spans="1:18" ht="63" customHeight="1" x14ac:dyDescent="0.25">
      <c r="A200" s="39" t="s">
        <v>1086</v>
      </c>
      <c r="B200" s="39" t="s">
        <v>1087</v>
      </c>
      <c r="C200" s="40" t="s">
        <v>1080</v>
      </c>
      <c r="D200" s="40" t="s">
        <v>107</v>
      </c>
      <c r="E200" s="41" t="s">
        <v>1081</v>
      </c>
      <c r="F200" s="41" t="s">
        <v>1088</v>
      </c>
      <c r="G200" s="42" t="s">
        <v>34</v>
      </c>
      <c r="H200" s="44">
        <v>46071</v>
      </c>
      <c r="I200" s="44">
        <v>46084</v>
      </c>
      <c r="J200" s="40" t="s">
        <v>82</v>
      </c>
      <c r="K200" s="40" t="s">
        <v>101</v>
      </c>
      <c r="L200" s="46" t="s">
        <v>153</v>
      </c>
      <c r="M200" s="46"/>
      <c r="N200" s="46"/>
      <c r="O200" s="45"/>
      <c r="P200" s="46" t="str">
        <f t="shared" si="3"/>
        <v>KAPSAM DIŞI</v>
      </c>
      <c r="R200" s="47" t="str">
        <f>IF(AND($I200&lt;&gt;"",$I200&gt;=DATE(2026,6,23),COUNTIFS($C:$C,$C200,$I:$I,$I200)&gt;2),"⚠ "&amp;COUNTIFS($C:$C,$C200,$I:$I,$I200)&amp;" BAŞVURU!","")</f>
        <v/>
      </c>
    </row>
    <row r="201" spans="1:18" ht="63" customHeight="1" x14ac:dyDescent="0.25">
      <c r="A201" s="39" t="s">
        <v>1089</v>
      </c>
      <c r="B201" s="39" t="s">
        <v>1090</v>
      </c>
      <c r="C201" s="40" t="s">
        <v>1091</v>
      </c>
      <c r="D201" s="40" t="s">
        <v>512</v>
      </c>
      <c r="E201" s="41" t="s">
        <v>1092</v>
      </c>
      <c r="F201" s="41" t="s">
        <v>1093</v>
      </c>
      <c r="G201" s="42" t="s">
        <v>34</v>
      </c>
      <c r="H201" s="44">
        <v>46071</v>
      </c>
      <c r="I201" s="44">
        <v>46084</v>
      </c>
      <c r="J201" s="40" t="s">
        <v>118</v>
      </c>
      <c r="K201" s="40" t="s">
        <v>83</v>
      </c>
      <c r="L201" s="46" t="s">
        <v>66</v>
      </c>
      <c r="M201" s="46"/>
      <c r="N201" s="46"/>
      <c r="O201" s="45"/>
      <c r="P201" s="46" t="str">
        <f t="shared" si="3"/>
        <v>ONAY</v>
      </c>
      <c r="R201" s="47" t="str">
        <f>IF(AND($I201&lt;&gt;"",$I201&gt;=DATE(2026,6,23),COUNTIFS($C:$C,$C201,$I:$I,$I201)&gt;2),"⚠ "&amp;COUNTIFS($C:$C,$C201,$I:$I,$I201)&amp;" BAŞVURU!","")</f>
        <v/>
      </c>
    </row>
    <row r="202" spans="1:18" ht="63" customHeight="1" x14ac:dyDescent="0.25">
      <c r="A202" s="39" t="s">
        <v>1094</v>
      </c>
      <c r="B202" s="39" t="s">
        <v>1095</v>
      </c>
      <c r="C202" s="40" t="s">
        <v>106</v>
      </c>
      <c r="D202" s="40" t="s">
        <v>107</v>
      </c>
      <c r="E202" s="41" t="s">
        <v>1096</v>
      </c>
      <c r="F202" s="41" t="s">
        <v>1097</v>
      </c>
      <c r="G202" s="42" t="s">
        <v>34</v>
      </c>
      <c r="H202" s="44">
        <v>46071</v>
      </c>
      <c r="I202" s="44">
        <v>46084</v>
      </c>
      <c r="J202" s="40" t="s">
        <v>65</v>
      </c>
      <c r="K202" s="40" t="s">
        <v>74</v>
      </c>
      <c r="L202" s="46" t="s">
        <v>215</v>
      </c>
      <c r="M202" s="46" t="s">
        <v>93</v>
      </c>
      <c r="N202" s="46"/>
      <c r="O202" s="45"/>
      <c r="P202" s="46" t="str">
        <f t="shared" si="3"/>
        <v>DÜZELTME</v>
      </c>
      <c r="R202" s="47" t="str">
        <f>IF(AND($I202&lt;&gt;"",$I202&gt;=DATE(2026,6,23),COUNTIFS($C:$C,$C202,$I:$I,$I202)&gt;2),"⚠ "&amp;COUNTIFS($C:$C,$C202,$I:$I,$I202)&amp;" BAŞVURU!","")</f>
        <v/>
      </c>
    </row>
    <row r="203" spans="1:18" ht="63" customHeight="1" x14ac:dyDescent="0.25">
      <c r="A203" s="39" t="s">
        <v>1098</v>
      </c>
      <c r="B203" s="39" t="s">
        <v>1099</v>
      </c>
      <c r="C203" s="40" t="s">
        <v>1100</v>
      </c>
      <c r="D203" s="40" t="s">
        <v>1101</v>
      </c>
      <c r="E203" s="41" t="s">
        <v>1102</v>
      </c>
      <c r="F203" s="41" t="s">
        <v>1103</v>
      </c>
      <c r="G203" s="42" t="s">
        <v>34</v>
      </c>
      <c r="H203" s="44">
        <v>46072</v>
      </c>
      <c r="I203" s="44">
        <v>46084</v>
      </c>
      <c r="J203" s="40" t="s">
        <v>64</v>
      </c>
      <c r="K203" s="40" t="s">
        <v>91</v>
      </c>
      <c r="L203" s="46" t="s">
        <v>66</v>
      </c>
      <c r="M203" s="46"/>
      <c r="N203" s="46"/>
      <c r="O203" s="45"/>
      <c r="P203" s="46" t="str">
        <f t="shared" si="3"/>
        <v>ONAY</v>
      </c>
      <c r="R203" s="47" t="str">
        <f>IF(AND($I203&lt;&gt;"",$I203&gt;=DATE(2026,6,23),COUNTIFS($C:$C,$C203,$I:$I,$I203)&gt;2),"⚠ "&amp;COUNTIFS($C:$C,$C203,$I:$I,$I203)&amp;" BAŞVURU!","")</f>
        <v/>
      </c>
    </row>
    <row r="204" spans="1:18" ht="79.5" customHeight="1" x14ac:dyDescent="0.25">
      <c r="A204" s="39" t="s">
        <v>1104</v>
      </c>
      <c r="B204" s="39" t="s">
        <v>1105</v>
      </c>
      <c r="C204" s="40" t="s">
        <v>1106</v>
      </c>
      <c r="D204" s="40" t="s">
        <v>226</v>
      </c>
      <c r="E204" s="41" t="s">
        <v>1107</v>
      </c>
      <c r="F204" s="41" t="s">
        <v>1108</v>
      </c>
      <c r="G204" s="42" t="s">
        <v>34</v>
      </c>
      <c r="H204" s="44">
        <v>46072</v>
      </c>
      <c r="I204" s="44">
        <v>46084</v>
      </c>
      <c r="J204" s="40" t="s">
        <v>118</v>
      </c>
      <c r="K204" s="40" t="s">
        <v>92</v>
      </c>
      <c r="L204" s="46" t="s">
        <v>66</v>
      </c>
      <c r="M204" s="46"/>
      <c r="N204" s="46"/>
      <c r="O204" s="45"/>
      <c r="P204" s="46" t="str">
        <f t="shared" si="3"/>
        <v>ONAY</v>
      </c>
      <c r="R204" s="47" t="str">
        <f>IF(AND($I204&lt;&gt;"",$I204&gt;=DATE(2026,6,23),COUNTIFS($C:$C,$C204,$I:$I,$I204)&gt;2),"⚠ "&amp;COUNTIFS($C:$C,$C204,$I:$I,$I204)&amp;" BAŞVURU!","")</f>
        <v/>
      </c>
    </row>
    <row r="205" spans="1:18" ht="63" customHeight="1" x14ac:dyDescent="0.25">
      <c r="A205" s="39" t="s">
        <v>1109</v>
      </c>
      <c r="B205" s="39" t="s">
        <v>1110</v>
      </c>
      <c r="C205" s="40" t="s">
        <v>965</v>
      </c>
      <c r="D205" s="40" t="s">
        <v>369</v>
      </c>
      <c r="E205" s="53" t="s">
        <v>1111</v>
      </c>
      <c r="F205" s="41" t="s">
        <v>1112</v>
      </c>
      <c r="G205" s="42" t="s">
        <v>34</v>
      </c>
      <c r="H205" s="44">
        <v>46072</v>
      </c>
      <c r="I205" s="44">
        <v>46084</v>
      </c>
      <c r="J205" s="40" t="s">
        <v>110</v>
      </c>
      <c r="K205" s="40" t="s">
        <v>102</v>
      </c>
      <c r="L205" s="46" t="s">
        <v>66</v>
      </c>
      <c r="M205" s="46"/>
      <c r="N205" s="46"/>
      <c r="O205" s="45"/>
      <c r="P205" s="46" t="str">
        <f t="shared" si="3"/>
        <v>ONAY</v>
      </c>
      <c r="R205" s="47" t="str">
        <f>IF(AND($I205&lt;&gt;"",$I205&gt;=DATE(2026,6,23),COUNTIFS($C:$C,$C205,$I:$I,$I205)&gt;2),"⚠ "&amp;COUNTIFS($C:$C,$C205,$I:$I,$I205)&amp;" BAŞVURU!","")</f>
        <v/>
      </c>
    </row>
    <row r="206" spans="1:18" ht="63" customHeight="1" x14ac:dyDescent="0.25">
      <c r="A206" s="39" t="s">
        <v>1113</v>
      </c>
      <c r="B206" s="39" t="s">
        <v>1114</v>
      </c>
      <c r="C206" s="40" t="s">
        <v>1115</v>
      </c>
      <c r="D206" s="40" t="s">
        <v>304</v>
      </c>
      <c r="E206" s="41" t="s">
        <v>1116</v>
      </c>
      <c r="F206" s="41" t="s">
        <v>1117</v>
      </c>
      <c r="G206" s="42" t="s">
        <v>34</v>
      </c>
      <c r="H206" s="44">
        <v>46072</v>
      </c>
      <c r="I206" s="44">
        <v>46084</v>
      </c>
      <c r="J206" s="40" t="s">
        <v>82</v>
      </c>
      <c r="K206" s="40" t="s">
        <v>64</v>
      </c>
      <c r="L206" s="46" t="s">
        <v>66</v>
      </c>
      <c r="M206" s="46"/>
      <c r="N206" s="46"/>
      <c r="O206" s="45"/>
      <c r="P206" s="46" t="str">
        <f t="shared" si="3"/>
        <v>ONAY</v>
      </c>
      <c r="R206" s="47" t="str">
        <f>IF(AND($I206&lt;&gt;"",$I206&gt;=DATE(2026,6,23),COUNTIFS($C:$C,$C206,$I:$I,$I206)&gt;2),"⚠ "&amp;COUNTIFS($C:$C,$C206,$I:$I,$I206)&amp;" BAŞVURU!","")</f>
        <v/>
      </c>
    </row>
    <row r="207" spans="1:18" ht="97.5" customHeight="1" x14ac:dyDescent="0.25">
      <c r="A207" s="39" t="s">
        <v>1118</v>
      </c>
      <c r="B207" s="39" t="s">
        <v>1119</v>
      </c>
      <c r="C207" s="40" t="s">
        <v>1120</v>
      </c>
      <c r="D207" s="40" t="s">
        <v>212</v>
      </c>
      <c r="E207" s="41" t="s">
        <v>1121</v>
      </c>
      <c r="F207" s="41" t="s">
        <v>1122</v>
      </c>
      <c r="G207" s="42" t="s">
        <v>37</v>
      </c>
      <c r="H207" s="44">
        <v>46072</v>
      </c>
      <c r="I207" s="44">
        <v>46084</v>
      </c>
      <c r="J207" s="40" t="s">
        <v>83</v>
      </c>
      <c r="K207" s="40" t="s">
        <v>91</v>
      </c>
      <c r="L207" s="46" t="s">
        <v>215</v>
      </c>
      <c r="M207" s="46" t="s">
        <v>66</v>
      </c>
      <c r="N207" s="46"/>
      <c r="O207" s="45"/>
      <c r="P207" s="46" t="str">
        <f t="shared" si="3"/>
        <v>ONAY</v>
      </c>
      <c r="R207" s="47" t="str">
        <f>IF(AND($I207&lt;&gt;"",$I207&gt;=DATE(2026,6,23),COUNTIFS($C:$C,$C207,$I:$I,$I207)&gt;2),"⚠ "&amp;COUNTIFS($C:$C,$C207,$I:$I,$I207)&amp;" BAŞVURU!","")</f>
        <v/>
      </c>
    </row>
    <row r="208" spans="1:18" ht="63" customHeight="1" x14ac:dyDescent="0.25">
      <c r="A208" s="39" t="s">
        <v>1123</v>
      </c>
      <c r="B208" s="39" t="s">
        <v>1124</v>
      </c>
      <c r="C208" s="40" t="s">
        <v>1125</v>
      </c>
      <c r="D208" s="40" t="s">
        <v>79</v>
      </c>
      <c r="E208" s="41" t="s">
        <v>1126</v>
      </c>
      <c r="F208" s="41" t="s">
        <v>1127</v>
      </c>
      <c r="G208" s="42" t="s">
        <v>34</v>
      </c>
      <c r="H208" s="44">
        <v>46076</v>
      </c>
      <c r="I208" s="44">
        <v>46084</v>
      </c>
      <c r="J208" s="40" t="s">
        <v>64</v>
      </c>
      <c r="K208" s="40" t="s">
        <v>83</v>
      </c>
      <c r="L208" s="46" t="s">
        <v>93</v>
      </c>
      <c r="M208" s="46" t="s">
        <v>93</v>
      </c>
      <c r="N208" s="46" t="s">
        <v>66</v>
      </c>
      <c r="O208" s="45"/>
      <c r="P208" s="46" t="str">
        <f t="shared" si="3"/>
        <v>ONAY</v>
      </c>
      <c r="R208" s="47" t="str">
        <f>IF(AND($I208&lt;&gt;"",$I208&gt;=DATE(2026,6,23),COUNTIFS($C:$C,$C208,$I:$I,$I208)&gt;2),"⚠ "&amp;COUNTIFS($C:$C,$C208,$I:$I,$I208)&amp;" BAŞVURU!","")</f>
        <v/>
      </c>
    </row>
    <row r="209" spans="1:18" ht="63" customHeight="1" x14ac:dyDescent="0.25">
      <c r="A209" s="39" t="s">
        <v>1128</v>
      </c>
      <c r="B209" s="39" t="s">
        <v>1129</v>
      </c>
      <c r="C209" s="40" t="s">
        <v>656</v>
      </c>
      <c r="D209" s="40" t="s">
        <v>241</v>
      </c>
      <c r="E209" s="41" t="s">
        <v>1130</v>
      </c>
      <c r="F209" s="41" t="s">
        <v>1131</v>
      </c>
      <c r="G209" s="42" t="s">
        <v>35</v>
      </c>
      <c r="H209" s="44">
        <v>46076</v>
      </c>
      <c r="I209" s="44">
        <v>46084</v>
      </c>
      <c r="J209" s="40" t="s">
        <v>92</v>
      </c>
      <c r="K209" s="40" t="s">
        <v>65</v>
      </c>
      <c r="L209" s="46" t="s">
        <v>93</v>
      </c>
      <c r="M209" s="46" t="s">
        <v>66</v>
      </c>
      <c r="N209" s="46"/>
      <c r="O209" s="45"/>
      <c r="P209" s="46" t="str">
        <f t="shared" si="3"/>
        <v>ONAY</v>
      </c>
      <c r="Q209" s="25" t="s">
        <v>92</v>
      </c>
      <c r="R209" s="47" t="str">
        <f>IF(AND($I209&lt;&gt;"",$I209&gt;=DATE(2026,6,23),COUNTIFS($C:$C,$C209,$I:$I,$I209)&gt;2),"⚠ "&amp;COUNTIFS($C:$C,$C209,$I:$I,$I209)&amp;" BAŞVURU!","")</f>
        <v/>
      </c>
    </row>
    <row r="210" spans="1:18" ht="94.5" customHeight="1" x14ac:dyDescent="0.25">
      <c r="A210" s="39" t="s">
        <v>1132</v>
      </c>
      <c r="B210" s="39" t="s">
        <v>1133</v>
      </c>
      <c r="C210" s="40" t="s">
        <v>1134</v>
      </c>
      <c r="D210" s="40" t="s">
        <v>994</v>
      </c>
      <c r="E210" s="41" t="s">
        <v>1135</v>
      </c>
      <c r="F210" s="41" t="s">
        <v>1136</v>
      </c>
      <c r="G210" s="42" t="s">
        <v>34</v>
      </c>
      <c r="H210" s="44">
        <v>46076</v>
      </c>
      <c r="I210" s="44">
        <v>46084</v>
      </c>
      <c r="J210" s="40" t="s">
        <v>74</v>
      </c>
      <c r="K210" s="40" t="s">
        <v>118</v>
      </c>
      <c r="L210" s="46" t="s">
        <v>66</v>
      </c>
      <c r="M210" s="46"/>
      <c r="N210" s="46"/>
      <c r="O210" s="45"/>
      <c r="P210" s="46" t="str">
        <f t="shared" si="3"/>
        <v>ONAY</v>
      </c>
      <c r="R210" s="47" t="str">
        <f>IF(AND($I210&lt;&gt;"",$I210&gt;=DATE(2026,6,23),COUNTIFS($C:$C,$C210,$I:$I,$I210)&gt;2),"⚠ "&amp;COUNTIFS($C:$C,$C210,$I:$I,$I210)&amp;" BAŞVURU!","")</f>
        <v/>
      </c>
    </row>
    <row r="211" spans="1:18" ht="94.5" customHeight="1" x14ac:dyDescent="0.25">
      <c r="A211" s="39" t="s">
        <v>1137</v>
      </c>
      <c r="B211" s="39" t="s">
        <v>1138</v>
      </c>
      <c r="C211" s="40" t="s">
        <v>1115</v>
      </c>
      <c r="D211" s="40" t="s">
        <v>304</v>
      </c>
      <c r="E211" s="41" t="s">
        <v>1139</v>
      </c>
      <c r="F211" s="41" t="s">
        <v>1140</v>
      </c>
      <c r="G211" s="42" t="s">
        <v>35</v>
      </c>
      <c r="H211" s="44">
        <v>46076</v>
      </c>
      <c r="I211" s="44">
        <v>46084</v>
      </c>
      <c r="J211" s="40" t="s">
        <v>82</v>
      </c>
      <c r="K211" s="40" t="s">
        <v>64</v>
      </c>
      <c r="L211" s="46" t="s">
        <v>175</v>
      </c>
      <c r="M211" s="46" t="s">
        <v>66</v>
      </c>
      <c r="N211" s="46"/>
      <c r="O211" s="45"/>
      <c r="P211" s="46" t="str">
        <f t="shared" si="3"/>
        <v>ONAY</v>
      </c>
      <c r="R211" s="47" t="str">
        <f>IF(AND($I211&lt;&gt;"",$I211&gt;=DATE(2026,6,23),COUNTIFS($C:$C,$C211,$I:$I,$I211)&gt;2),"⚠ "&amp;COUNTIFS($C:$C,$C211,$I:$I,$I211)&amp;" BAŞVURU!","")</f>
        <v/>
      </c>
    </row>
    <row r="212" spans="1:18" ht="63" customHeight="1" x14ac:dyDescent="0.25">
      <c r="A212" s="39" t="s">
        <v>1141</v>
      </c>
      <c r="B212" s="39" t="s">
        <v>1142</v>
      </c>
      <c r="C212" s="40" t="s">
        <v>1143</v>
      </c>
      <c r="D212" s="40" t="s">
        <v>413</v>
      </c>
      <c r="E212" s="41" t="s">
        <v>1144</v>
      </c>
      <c r="F212" s="41" t="s">
        <v>1145</v>
      </c>
      <c r="G212" s="42" t="s">
        <v>34</v>
      </c>
      <c r="H212" s="44">
        <v>46076</v>
      </c>
      <c r="I212" s="44">
        <v>46084</v>
      </c>
      <c r="J212" s="40" t="s">
        <v>65</v>
      </c>
      <c r="K212" s="40" t="s">
        <v>101</v>
      </c>
      <c r="L212" s="46" t="s">
        <v>66</v>
      </c>
      <c r="M212" s="46"/>
      <c r="N212" s="46"/>
      <c r="O212" s="45"/>
      <c r="P212" s="46" t="str">
        <f t="shared" si="3"/>
        <v>ONAY</v>
      </c>
      <c r="R212" s="47" t="str">
        <f>IF(AND($I212&lt;&gt;"",$I212&gt;=DATE(2026,6,23),COUNTIFS($C:$C,$C212,$I:$I,$I212)&gt;2),"⚠ "&amp;COUNTIFS($C:$C,$C212,$I:$I,$I212)&amp;" BAŞVURU!","")</f>
        <v/>
      </c>
    </row>
    <row r="213" spans="1:18" ht="78.75" customHeight="1" x14ac:dyDescent="0.25">
      <c r="A213" s="39" t="s">
        <v>1146</v>
      </c>
      <c r="B213" s="39" t="s">
        <v>1147</v>
      </c>
      <c r="C213" s="40" t="s">
        <v>1143</v>
      </c>
      <c r="D213" s="40" t="s">
        <v>413</v>
      </c>
      <c r="E213" s="41" t="s">
        <v>1148</v>
      </c>
      <c r="F213" s="41" t="s">
        <v>1149</v>
      </c>
      <c r="G213" s="42" t="s">
        <v>34</v>
      </c>
      <c r="H213" s="44">
        <v>46076</v>
      </c>
      <c r="I213" s="44">
        <v>46084</v>
      </c>
      <c r="J213" s="40" t="s">
        <v>65</v>
      </c>
      <c r="K213" s="40" t="s">
        <v>101</v>
      </c>
      <c r="L213" s="46" t="s">
        <v>66</v>
      </c>
      <c r="M213" s="46"/>
      <c r="N213" s="46"/>
      <c r="O213" s="45"/>
      <c r="P213" s="46" t="str">
        <f t="shared" si="3"/>
        <v>ONAY</v>
      </c>
      <c r="R213" s="47" t="str">
        <f>IF(AND($I213&lt;&gt;"",$I213&gt;=DATE(2026,6,23),COUNTIFS($C:$C,$C213,$I:$I,$I213)&gt;2),"⚠ "&amp;COUNTIFS($C:$C,$C213,$I:$I,$I213)&amp;" BAŞVURU!","")</f>
        <v/>
      </c>
    </row>
    <row r="214" spans="1:18" ht="78.75" customHeight="1" x14ac:dyDescent="0.25">
      <c r="A214" s="39" t="s">
        <v>1150</v>
      </c>
      <c r="B214" s="39" t="s">
        <v>1151</v>
      </c>
      <c r="C214" s="40" t="s">
        <v>1152</v>
      </c>
      <c r="D214" s="40" t="s">
        <v>324</v>
      </c>
      <c r="E214" s="41" t="s">
        <v>1153</v>
      </c>
      <c r="F214" s="41" t="s">
        <v>1154</v>
      </c>
      <c r="G214" s="42" t="s">
        <v>34</v>
      </c>
      <c r="H214" s="44">
        <v>46076</v>
      </c>
      <c r="I214" s="44">
        <v>46084</v>
      </c>
      <c r="J214" s="40" t="s">
        <v>118</v>
      </c>
      <c r="K214" s="40" t="s">
        <v>74</v>
      </c>
      <c r="L214" s="46" t="s">
        <v>93</v>
      </c>
      <c r="M214" s="46"/>
      <c r="N214" s="46"/>
      <c r="O214" s="45"/>
      <c r="P214" s="46" t="str">
        <f t="shared" si="3"/>
        <v>DÜZELTME</v>
      </c>
      <c r="R214" s="47" t="str">
        <f>IF(AND($I214&lt;&gt;"",$I214&gt;=DATE(2026,6,23),COUNTIFS($C:$C,$C214,$I:$I,$I214)&gt;2),"⚠ "&amp;COUNTIFS($C:$C,$C214,$I:$I,$I214)&amp;" BAŞVURU!","")</f>
        <v/>
      </c>
    </row>
    <row r="215" spans="1:18" ht="96.75" customHeight="1" x14ac:dyDescent="0.25">
      <c r="A215" s="39" t="s">
        <v>1155</v>
      </c>
      <c r="B215" s="39" t="s">
        <v>1156</v>
      </c>
      <c r="C215" s="40" t="s">
        <v>1157</v>
      </c>
      <c r="D215" s="40" t="s">
        <v>234</v>
      </c>
      <c r="E215" s="41" t="s">
        <v>1158</v>
      </c>
      <c r="F215" s="41" t="s">
        <v>1159</v>
      </c>
      <c r="G215" s="42" t="s">
        <v>34</v>
      </c>
      <c r="H215" s="44">
        <v>46076</v>
      </c>
      <c r="I215" s="44">
        <v>46084</v>
      </c>
      <c r="J215" s="40" t="s">
        <v>118</v>
      </c>
      <c r="K215" s="40" t="s">
        <v>102</v>
      </c>
      <c r="L215" s="46" t="s">
        <v>93</v>
      </c>
      <c r="M215" s="46" t="s">
        <v>66</v>
      </c>
      <c r="N215" s="46"/>
      <c r="O215" s="45"/>
      <c r="P215" s="46" t="str">
        <f t="shared" si="3"/>
        <v>ONAY</v>
      </c>
      <c r="Q215" s="25" t="s">
        <v>118</v>
      </c>
      <c r="R215" s="47" t="str">
        <f>IF(AND($I215&lt;&gt;"",$I215&gt;=DATE(2026,6,23),COUNTIFS($C:$C,$C215,$I:$I,$I215)&gt;2),"⚠ "&amp;COUNTIFS($C:$C,$C215,$I:$I,$I215)&amp;" BAŞVURU!","")</f>
        <v/>
      </c>
    </row>
    <row r="216" spans="1:18" ht="63" customHeight="1" x14ac:dyDescent="0.25">
      <c r="A216" s="39" t="s">
        <v>1160</v>
      </c>
      <c r="B216" s="39" t="s">
        <v>1161</v>
      </c>
      <c r="C216" s="40" t="s">
        <v>412</v>
      </c>
      <c r="D216" s="40" t="s">
        <v>413</v>
      </c>
      <c r="E216" s="41" t="s">
        <v>1162</v>
      </c>
      <c r="F216" s="41" t="s">
        <v>1163</v>
      </c>
      <c r="G216" s="42" t="s">
        <v>34</v>
      </c>
      <c r="H216" s="44">
        <v>46077</v>
      </c>
      <c r="I216" s="44">
        <v>46084</v>
      </c>
      <c r="J216" s="40" t="s">
        <v>91</v>
      </c>
      <c r="K216" s="40" t="s">
        <v>102</v>
      </c>
      <c r="L216" s="46" t="s">
        <v>66</v>
      </c>
      <c r="M216" s="46"/>
      <c r="N216" s="46"/>
      <c r="O216" s="45"/>
      <c r="P216" s="46" t="str">
        <f t="shared" si="3"/>
        <v>ONAY</v>
      </c>
      <c r="R216" s="47" t="str">
        <f>IF(AND($I216&lt;&gt;"",$I216&gt;=DATE(2026,6,23),COUNTIFS($C:$C,$C216,$I:$I,$I216)&gt;2),"⚠ "&amp;COUNTIFS($C:$C,$C216,$I:$I,$I216)&amp;" BAŞVURU!","")</f>
        <v/>
      </c>
    </row>
    <row r="217" spans="1:18" ht="63" customHeight="1" x14ac:dyDescent="0.25">
      <c r="A217" s="39" t="s">
        <v>1164</v>
      </c>
      <c r="B217" s="39" t="s">
        <v>1165</v>
      </c>
      <c r="C217" s="40" t="s">
        <v>397</v>
      </c>
      <c r="D217" s="40" t="s">
        <v>369</v>
      </c>
      <c r="E217" s="41" t="s">
        <v>1166</v>
      </c>
      <c r="F217" s="41" t="s">
        <v>1167</v>
      </c>
      <c r="G217" s="42" t="s">
        <v>34</v>
      </c>
      <c r="H217" s="44">
        <v>46077</v>
      </c>
      <c r="I217" s="44">
        <v>46084</v>
      </c>
      <c r="J217" s="40" t="s">
        <v>82</v>
      </c>
      <c r="K217" s="40" t="s">
        <v>92</v>
      </c>
      <c r="L217" s="46" t="s">
        <v>66</v>
      </c>
      <c r="M217" s="46"/>
      <c r="N217" s="46"/>
      <c r="O217" s="45"/>
      <c r="P217" s="46" t="str">
        <f t="shared" si="3"/>
        <v>ONAY</v>
      </c>
      <c r="R217" s="47" t="str">
        <f>IF(AND($I217&lt;&gt;"",$I217&gt;=DATE(2026,6,23),COUNTIFS($C:$C,$C217,$I:$I,$I217)&gt;2),"⚠ "&amp;COUNTIFS($C:$C,$C217,$I:$I,$I217)&amp;" BAŞVURU!","")</f>
        <v/>
      </c>
    </row>
    <row r="218" spans="1:18" ht="141.75" customHeight="1" x14ac:dyDescent="0.25">
      <c r="A218" s="39" t="s">
        <v>1168</v>
      </c>
      <c r="B218" s="39" t="s">
        <v>1169</v>
      </c>
      <c r="C218" s="40" t="s">
        <v>1170</v>
      </c>
      <c r="D218" s="40" t="s">
        <v>1171</v>
      </c>
      <c r="E218" s="41" t="s">
        <v>1172</v>
      </c>
      <c r="F218" s="41" t="s">
        <v>1173</v>
      </c>
      <c r="G218" s="42" t="s">
        <v>35</v>
      </c>
      <c r="H218" s="44">
        <v>46077</v>
      </c>
      <c r="I218" s="44">
        <v>46084</v>
      </c>
      <c r="J218" s="40" t="s">
        <v>110</v>
      </c>
      <c r="K218" s="40" t="s">
        <v>83</v>
      </c>
      <c r="L218" s="46" t="s">
        <v>66</v>
      </c>
      <c r="M218" s="46"/>
      <c r="N218" s="46"/>
      <c r="O218" s="45"/>
      <c r="P218" s="46" t="str">
        <f t="shared" si="3"/>
        <v>ONAY</v>
      </c>
      <c r="R218" s="47" t="str">
        <f>IF(AND($I218&lt;&gt;"",$I218&gt;=DATE(2026,6,23),COUNTIFS($C:$C,$C218,$I:$I,$I218)&gt;2),"⚠ "&amp;COUNTIFS($C:$C,$C218,$I:$I,$I218)&amp;" BAŞVURU!","")</f>
        <v/>
      </c>
    </row>
    <row r="219" spans="1:18" ht="94.5" customHeight="1" x14ac:dyDescent="0.25">
      <c r="A219" s="39" t="s">
        <v>1174</v>
      </c>
      <c r="B219" s="39" t="s">
        <v>1175</v>
      </c>
      <c r="C219" s="40" t="s">
        <v>671</v>
      </c>
      <c r="D219" s="40" t="s">
        <v>234</v>
      </c>
      <c r="E219" s="41" t="s">
        <v>1176</v>
      </c>
      <c r="F219" s="41" t="s">
        <v>1177</v>
      </c>
      <c r="G219" s="42" t="s">
        <v>34</v>
      </c>
      <c r="H219" s="44">
        <v>46077</v>
      </c>
      <c r="I219" s="44">
        <v>46084</v>
      </c>
      <c r="J219" s="40" t="s">
        <v>102</v>
      </c>
      <c r="K219" s="40" t="s">
        <v>110</v>
      </c>
      <c r="L219" s="46" t="s">
        <v>93</v>
      </c>
      <c r="M219" s="46" t="s">
        <v>66</v>
      </c>
      <c r="N219" s="46"/>
      <c r="O219" s="45"/>
      <c r="P219" s="46" t="str">
        <f t="shared" si="3"/>
        <v>ONAY</v>
      </c>
      <c r="Q219" s="25" t="s">
        <v>102</v>
      </c>
      <c r="R219" s="47" t="str">
        <f>IF(AND($I219&lt;&gt;"",$I219&gt;=DATE(2026,6,23),COUNTIFS($C:$C,$C219,$I:$I,$I219)&gt;2),"⚠ "&amp;COUNTIFS($C:$C,$C219,$I:$I,$I219)&amp;" BAŞVURU!","")</f>
        <v/>
      </c>
    </row>
    <row r="220" spans="1:18" ht="80.25" customHeight="1" x14ac:dyDescent="0.25">
      <c r="A220" s="39" t="s">
        <v>1178</v>
      </c>
      <c r="B220" s="39" t="s">
        <v>1179</v>
      </c>
      <c r="C220" s="40" t="s">
        <v>1071</v>
      </c>
      <c r="D220" s="40" t="s">
        <v>79</v>
      </c>
      <c r="E220" s="41" t="s">
        <v>1180</v>
      </c>
      <c r="F220" s="41" t="s">
        <v>1181</v>
      </c>
      <c r="G220" s="42" t="s">
        <v>34</v>
      </c>
      <c r="H220" s="44">
        <v>46077</v>
      </c>
      <c r="I220" s="44">
        <v>46084</v>
      </c>
      <c r="J220" s="40" t="s">
        <v>83</v>
      </c>
      <c r="K220" s="40" t="s">
        <v>91</v>
      </c>
      <c r="L220" s="46" t="s">
        <v>66</v>
      </c>
      <c r="M220" s="46"/>
      <c r="N220" s="46"/>
      <c r="O220" s="45"/>
      <c r="P220" s="46" t="str">
        <f t="shared" si="3"/>
        <v>ONAY</v>
      </c>
      <c r="R220" s="47" t="str">
        <f>IF(AND($I220&lt;&gt;"",$I220&gt;=DATE(2026,6,23),COUNTIFS($C:$C,$C220,$I:$I,$I220)&gt;2),"⚠ "&amp;COUNTIFS($C:$C,$C220,$I:$I,$I220)&amp;" BAŞVURU!","")</f>
        <v/>
      </c>
    </row>
    <row r="221" spans="1:18" ht="63" customHeight="1" x14ac:dyDescent="0.25">
      <c r="A221" s="39" t="s">
        <v>1182</v>
      </c>
      <c r="B221" s="39" t="s">
        <v>1183</v>
      </c>
      <c r="C221" s="40" t="s">
        <v>1184</v>
      </c>
      <c r="D221" s="40" t="s">
        <v>79</v>
      </c>
      <c r="E221" s="41" t="s">
        <v>1185</v>
      </c>
      <c r="F221" s="41" t="s">
        <v>1186</v>
      </c>
      <c r="G221" s="42" t="s">
        <v>34</v>
      </c>
      <c r="H221" s="44">
        <v>46077</v>
      </c>
      <c r="I221" s="44">
        <v>46084</v>
      </c>
      <c r="J221" s="40" t="s">
        <v>92</v>
      </c>
      <c r="K221" s="40" t="s">
        <v>91</v>
      </c>
      <c r="L221" s="46" t="s">
        <v>66</v>
      </c>
      <c r="M221" s="46"/>
      <c r="N221" s="46"/>
      <c r="O221" s="45"/>
      <c r="P221" s="46" t="str">
        <f t="shared" si="3"/>
        <v>ONAY</v>
      </c>
      <c r="R221" s="47" t="str">
        <f>IF(AND($I221&lt;&gt;"",$I221&gt;=DATE(2026,6,23),COUNTIFS($C:$C,$C221,$I:$I,$I221)&gt;2),"⚠ "&amp;COUNTIFS($C:$C,$C221,$I:$I,$I221)&amp;" BAŞVURU!","")</f>
        <v/>
      </c>
    </row>
    <row r="222" spans="1:18" ht="94.5" customHeight="1" x14ac:dyDescent="0.25">
      <c r="A222" s="39" t="s">
        <v>1187</v>
      </c>
      <c r="B222" s="39" t="s">
        <v>1188</v>
      </c>
      <c r="C222" s="40" t="s">
        <v>1189</v>
      </c>
      <c r="D222" s="40" t="s">
        <v>1190</v>
      </c>
      <c r="E222" s="41" t="s">
        <v>1191</v>
      </c>
      <c r="F222" s="41" t="s">
        <v>1192</v>
      </c>
      <c r="G222" s="42" t="s">
        <v>34</v>
      </c>
      <c r="H222" s="44">
        <v>46077</v>
      </c>
      <c r="I222" s="44">
        <v>46084</v>
      </c>
      <c r="J222" s="40" t="s">
        <v>64</v>
      </c>
      <c r="K222" s="40" t="s">
        <v>118</v>
      </c>
      <c r="L222" s="46" t="s">
        <v>66</v>
      </c>
      <c r="M222" s="46"/>
      <c r="N222" s="46"/>
      <c r="O222" s="45"/>
      <c r="P222" s="46" t="str">
        <f t="shared" si="3"/>
        <v>ONAY</v>
      </c>
      <c r="R222" s="47" t="str">
        <f>IF(AND($I222&lt;&gt;"",$I222&gt;=DATE(2026,6,23),COUNTIFS($C:$C,$C222,$I:$I,$I222)&gt;2),"⚠ "&amp;COUNTIFS($C:$C,$C222,$I:$I,$I222)&amp;" BAŞVURU!","")</f>
        <v/>
      </c>
    </row>
    <row r="223" spans="1:18" ht="94.5" customHeight="1" x14ac:dyDescent="0.25">
      <c r="A223" s="39" t="s">
        <v>1193</v>
      </c>
      <c r="B223" s="39" t="s">
        <v>1194</v>
      </c>
      <c r="C223" s="40" t="s">
        <v>1195</v>
      </c>
      <c r="D223" s="40" t="s">
        <v>1196</v>
      </c>
      <c r="E223" s="41" t="s">
        <v>1197</v>
      </c>
      <c r="F223" s="41" t="s">
        <v>1198</v>
      </c>
      <c r="G223" s="42" t="s">
        <v>35</v>
      </c>
      <c r="H223" s="44">
        <v>46077</v>
      </c>
      <c r="I223" s="44">
        <v>46084</v>
      </c>
      <c r="J223" s="40" t="s">
        <v>65</v>
      </c>
      <c r="K223" s="40" t="s">
        <v>74</v>
      </c>
      <c r="L223" s="46" t="s">
        <v>66</v>
      </c>
      <c r="M223" s="46"/>
      <c r="N223" s="46"/>
      <c r="O223" s="45"/>
      <c r="P223" s="46" t="str">
        <f t="shared" si="3"/>
        <v>ONAY</v>
      </c>
      <c r="R223" s="47" t="str">
        <f>IF(AND($I223&lt;&gt;"",$I223&gt;=DATE(2026,6,23),COUNTIFS($C:$C,$C223,$I:$I,$I223)&gt;2),"⚠ "&amp;COUNTIFS($C:$C,$C223,$I:$I,$I223)&amp;" BAŞVURU!","")</f>
        <v/>
      </c>
    </row>
    <row r="224" spans="1:18" ht="94.5" customHeight="1" x14ac:dyDescent="0.25">
      <c r="A224" s="39" t="s">
        <v>1199</v>
      </c>
      <c r="B224" s="39" t="s">
        <v>1200</v>
      </c>
      <c r="C224" s="40" t="s">
        <v>1056</v>
      </c>
      <c r="D224" s="40" t="s">
        <v>234</v>
      </c>
      <c r="E224" s="41" t="s">
        <v>1201</v>
      </c>
      <c r="F224" s="41" t="s">
        <v>1202</v>
      </c>
      <c r="G224" s="42" t="s">
        <v>34</v>
      </c>
      <c r="H224" s="44">
        <v>46078</v>
      </c>
      <c r="I224" s="44">
        <v>46084</v>
      </c>
      <c r="J224" s="40" t="s">
        <v>65</v>
      </c>
      <c r="K224" s="40" t="s">
        <v>110</v>
      </c>
      <c r="L224" s="46" t="s">
        <v>93</v>
      </c>
      <c r="M224" s="46" t="s">
        <v>66</v>
      </c>
      <c r="N224" s="46"/>
      <c r="O224" s="45"/>
      <c r="P224" s="46" t="str">
        <f t="shared" si="3"/>
        <v>ONAY</v>
      </c>
      <c r="Q224" s="25" t="s">
        <v>110</v>
      </c>
      <c r="R224" s="47" t="str">
        <f>IF(AND($I224&lt;&gt;"",$I224&gt;=DATE(2026,6,23),COUNTIFS($C:$C,$C224,$I:$I,$I224)&gt;2),"⚠ "&amp;COUNTIFS($C:$C,$C224,$I:$I,$I224)&amp;" BAŞVURU!","")</f>
        <v/>
      </c>
    </row>
    <row r="225" spans="1:18" ht="78.75" customHeight="1" x14ac:dyDescent="0.25">
      <c r="A225" s="39" t="s">
        <v>1203</v>
      </c>
      <c r="B225" s="39" t="s">
        <v>1204</v>
      </c>
      <c r="C225" s="40" t="s">
        <v>1205</v>
      </c>
      <c r="D225" s="40" t="s">
        <v>234</v>
      </c>
      <c r="E225" s="41" t="s">
        <v>1206</v>
      </c>
      <c r="F225" s="41" t="s">
        <v>1207</v>
      </c>
      <c r="G225" s="42" t="s">
        <v>35</v>
      </c>
      <c r="H225" s="44">
        <v>46079</v>
      </c>
      <c r="I225" s="44">
        <v>46084</v>
      </c>
      <c r="J225" s="40" t="s">
        <v>64</v>
      </c>
      <c r="K225" s="40" t="s">
        <v>74</v>
      </c>
      <c r="L225" s="46" t="s">
        <v>66</v>
      </c>
      <c r="M225" s="46"/>
      <c r="N225" s="46"/>
      <c r="O225" s="45"/>
      <c r="P225" s="46" t="str">
        <f t="shared" si="3"/>
        <v>ONAY</v>
      </c>
      <c r="R225" s="47" t="str">
        <f>IF(AND($I225&lt;&gt;"",$I225&gt;=DATE(2026,6,23),COUNTIFS($C:$C,$C225,$I:$I,$I225)&gt;2),"⚠ "&amp;COUNTIFS($C:$C,$C225,$I:$I,$I225)&amp;" BAŞVURU!","")</f>
        <v/>
      </c>
    </row>
    <row r="226" spans="1:18" ht="63" customHeight="1" x14ac:dyDescent="0.25">
      <c r="A226" s="39" t="s">
        <v>1208</v>
      </c>
      <c r="B226" s="39" t="s">
        <v>1209</v>
      </c>
      <c r="C226" s="40" t="s">
        <v>106</v>
      </c>
      <c r="D226" s="40" t="s">
        <v>107</v>
      </c>
      <c r="E226" s="41" t="s">
        <v>1210</v>
      </c>
      <c r="F226" s="41" t="s">
        <v>1211</v>
      </c>
      <c r="G226" s="42" t="s">
        <v>34</v>
      </c>
      <c r="H226" s="44">
        <v>46079</v>
      </c>
      <c r="I226" s="44">
        <v>46084</v>
      </c>
      <c r="J226" s="40" t="s">
        <v>101</v>
      </c>
      <c r="K226" s="40" t="s">
        <v>91</v>
      </c>
      <c r="L226" s="46" t="s">
        <v>215</v>
      </c>
      <c r="M226" s="46" t="s">
        <v>93</v>
      </c>
      <c r="N226" s="46"/>
      <c r="O226" s="45"/>
      <c r="P226" s="46" t="str">
        <f t="shared" si="3"/>
        <v>DÜZELTME</v>
      </c>
      <c r="R226" s="47" t="str">
        <f>IF(AND($I226&lt;&gt;"",$I226&gt;=DATE(2026,6,23),COUNTIFS($C:$C,$C226,$I:$I,$I226)&gt;2),"⚠ "&amp;COUNTIFS($C:$C,$C226,$I:$I,$I226)&amp;" BAŞVURU!","")</f>
        <v/>
      </c>
    </row>
    <row r="227" spans="1:18" ht="94.5" customHeight="1" x14ac:dyDescent="0.25">
      <c r="A227" s="39" t="s">
        <v>1212</v>
      </c>
      <c r="B227" s="39" t="s">
        <v>1213</v>
      </c>
      <c r="C227" s="40" t="s">
        <v>1214</v>
      </c>
      <c r="D227" s="40" t="s">
        <v>79</v>
      </c>
      <c r="E227" s="41" t="s">
        <v>1215</v>
      </c>
      <c r="F227" s="41" t="s">
        <v>1216</v>
      </c>
      <c r="G227" s="42" t="s">
        <v>35</v>
      </c>
      <c r="H227" s="44">
        <v>46087</v>
      </c>
      <c r="I227" s="44">
        <v>46098</v>
      </c>
      <c r="J227" s="40" t="s">
        <v>83</v>
      </c>
      <c r="K227" s="40" t="s">
        <v>91</v>
      </c>
      <c r="L227" s="46" t="s">
        <v>66</v>
      </c>
      <c r="M227" s="46"/>
      <c r="N227" s="46"/>
      <c r="O227" s="45"/>
      <c r="P227" s="46" t="str">
        <f t="shared" si="3"/>
        <v>ONAY</v>
      </c>
      <c r="R227" s="47" t="str">
        <f>IF(AND($I227&lt;&gt;"",$I227&gt;=DATE(2026,6,23),COUNTIFS($C:$C,$C227,$I:$I,$I227)&gt;2),"⚠ "&amp;COUNTIFS($C:$C,$C227,$I:$I,$I227)&amp;" BAŞVURU!","")</f>
        <v/>
      </c>
    </row>
    <row r="228" spans="1:18" ht="110.25" customHeight="1" x14ac:dyDescent="0.25">
      <c r="A228" s="39" t="s">
        <v>1217</v>
      </c>
      <c r="B228" s="39" t="s">
        <v>1218</v>
      </c>
      <c r="C228" s="40" t="s">
        <v>1219</v>
      </c>
      <c r="D228" s="40" t="s">
        <v>1220</v>
      </c>
      <c r="E228" s="41" t="s">
        <v>1221</v>
      </c>
      <c r="F228" s="41" t="s">
        <v>1222</v>
      </c>
      <c r="G228" s="42" t="s">
        <v>34</v>
      </c>
      <c r="H228" s="44">
        <v>46087</v>
      </c>
      <c r="I228" s="44">
        <v>46098</v>
      </c>
      <c r="J228" s="40" t="s">
        <v>101</v>
      </c>
      <c r="K228" s="40" t="s">
        <v>65</v>
      </c>
      <c r="L228" s="46" t="s">
        <v>93</v>
      </c>
      <c r="M228" s="46"/>
      <c r="N228" s="46"/>
      <c r="O228" s="45"/>
      <c r="P228" s="46" t="str">
        <f t="shared" si="3"/>
        <v>DÜZELTME</v>
      </c>
      <c r="R228" s="47" t="str">
        <f>IF(AND($I228&lt;&gt;"",$I228&gt;=DATE(2026,6,23),COUNTIFS($C:$C,$C228,$I:$I,$I228)&gt;2),"⚠ "&amp;COUNTIFS($C:$C,$C228,$I:$I,$I228)&amp;" BAŞVURU!","")</f>
        <v/>
      </c>
    </row>
    <row r="229" spans="1:18" ht="78.75" customHeight="1" x14ac:dyDescent="0.25">
      <c r="A229" s="39" t="s">
        <v>1223</v>
      </c>
      <c r="B229" s="39" t="s">
        <v>1224</v>
      </c>
      <c r="C229" s="40" t="s">
        <v>1225</v>
      </c>
      <c r="D229" s="40" t="s">
        <v>392</v>
      </c>
      <c r="E229" s="41" t="s">
        <v>1226</v>
      </c>
      <c r="F229" s="41" t="s">
        <v>1227</v>
      </c>
      <c r="G229" s="42" t="s">
        <v>35</v>
      </c>
      <c r="H229" s="44">
        <v>46087</v>
      </c>
      <c r="I229" s="44">
        <v>46098</v>
      </c>
      <c r="J229" s="40" t="s">
        <v>92</v>
      </c>
      <c r="K229" s="40" t="s">
        <v>74</v>
      </c>
      <c r="L229" s="46" t="s">
        <v>66</v>
      </c>
      <c r="M229" s="46"/>
      <c r="N229" s="46"/>
      <c r="O229" s="45"/>
      <c r="P229" s="46" t="str">
        <f t="shared" si="3"/>
        <v>ONAY</v>
      </c>
      <c r="R229" s="47" t="str">
        <f>IF(AND($I229&lt;&gt;"",$I229&gt;=DATE(2026,6,23),COUNTIFS($C:$C,$C229,$I:$I,$I229)&gt;2),"⚠ "&amp;COUNTIFS($C:$C,$C229,$I:$I,$I229)&amp;" BAŞVURU!","")</f>
        <v/>
      </c>
    </row>
    <row r="230" spans="1:18" ht="78.75" customHeight="1" x14ac:dyDescent="0.25">
      <c r="A230" s="39" t="s">
        <v>1228</v>
      </c>
      <c r="B230" s="39" t="s">
        <v>1229</v>
      </c>
      <c r="C230" s="40" t="s">
        <v>1230</v>
      </c>
      <c r="D230" s="40" t="s">
        <v>130</v>
      </c>
      <c r="E230" s="41" t="s">
        <v>1231</v>
      </c>
      <c r="F230" s="41" t="s">
        <v>1232</v>
      </c>
      <c r="G230" s="42" t="s">
        <v>34</v>
      </c>
      <c r="H230" s="44">
        <v>46087</v>
      </c>
      <c r="I230" s="44">
        <v>46098</v>
      </c>
      <c r="J230" s="40" t="s">
        <v>92</v>
      </c>
      <c r="K230" s="40" t="s">
        <v>82</v>
      </c>
      <c r="L230" s="46" t="s">
        <v>93</v>
      </c>
      <c r="M230" s="46" t="s">
        <v>66</v>
      </c>
      <c r="N230" s="46"/>
      <c r="O230" s="45"/>
      <c r="P230" s="46" t="str">
        <f t="shared" si="3"/>
        <v>ONAY</v>
      </c>
      <c r="Q230" s="25" t="s">
        <v>82</v>
      </c>
      <c r="R230" s="47" t="str">
        <f>IF(AND($I230&lt;&gt;"",$I230&gt;=DATE(2026,6,23),COUNTIFS($C:$C,$C230,$I:$I,$I230)&gt;2),"⚠ "&amp;COUNTIFS($C:$C,$C230,$I:$I,$I230)&amp;" BAŞVURU!","")</f>
        <v/>
      </c>
    </row>
    <row r="231" spans="1:18" ht="63" customHeight="1" x14ac:dyDescent="0.25">
      <c r="A231" s="39" t="s">
        <v>1233</v>
      </c>
      <c r="B231" s="39" t="s">
        <v>1234</v>
      </c>
      <c r="C231" s="40" t="s">
        <v>1235</v>
      </c>
      <c r="D231" s="40" t="s">
        <v>234</v>
      </c>
      <c r="E231" s="41" t="s">
        <v>1236</v>
      </c>
      <c r="F231" s="41" t="s">
        <v>1237</v>
      </c>
      <c r="G231" s="42" t="s">
        <v>34</v>
      </c>
      <c r="H231" s="44">
        <v>46087</v>
      </c>
      <c r="I231" s="44">
        <v>46098</v>
      </c>
      <c r="J231" s="40" t="s">
        <v>125</v>
      </c>
      <c r="K231" s="40" t="s">
        <v>65</v>
      </c>
      <c r="L231" s="46" t="s">
        <v>93</v>
      </c>
      <c r="M231" s="46" t="s">
        <v>66</v>
      </c>
      <c r="N231" s="46"/>
      <c r="O231" s="45"/>
      <c r="P231" s="46" t="str">
        <f t="shared" si="3"/>
        <v>ONAY</v>
      </c>
      <c r="Q231" s="25" t="s">
        <v>65</v>
      </c>
      <c r="R231" s="47" t="str">
        <f>IF(AND($I231&lt;&gt;"",$I231&gt;=DATE(2026,6,23),COUNTIFS($C:$C,$C231,$I:$I,$I231)&gt;2),"⚠ "&amp;COUNTIFS($C:$C,$C231,$I:$I,$I231)&amp;" BAŞVURU!","")</f>
        <v/>
      </c>
    </row>
    <row r="232" spans="1:18" ht="78.75" customHeight="1" x14ac:dyDescent="0.25">
      <c r="A232" s="39" t="s">
        <v>1238</v>
      </c>
      <c r="B232" s="39" t="s">
        <v>1239</v>
      </c>
      <c r="C232" s="40" t="s">
        <v>1125</v>
      </c>
      <c r="D232" s="40" t="s">
        <v>79</v>
      </c>
      <c r="E232" s="41" t="s">
        <v>1240</v>
      </c>
      <c r="F232" s="41" t="s">
        <v>1241</v>
      </c>
      <c r="G232" s="42" t="s">
        <v>35</v>
      </c>
      <c r="H232" s="44">
        <v>46087</v>
      </c>
      <c r="I232" s="44">
        <v>46098</v>
      </c>
      <c r="J232" s="40" t="s">
        <v>83</v>
      </c>
      <c r="K232" s="40" t="s">
        <v>110</v>
      </c>
      <c r="L232" s="46" t="s">
        <v>93</v>
      </c>
      <c r="M232" s="46" t="s">
        <v>66</v>
      </c>
      <c r="N232" s="46"/>
      <c r="O232" s="45"/>
      <c r="P232" s="46" t="str">
        <f t="shared" si="3"/>
        <v>ONAY</v>
      </c>
      <c r="Q232" s="25" t="s">
        <v>83</v>
      </c>
      <c r="R232" s="47" t="str">
        <f>IF(AND($I232&lt;&gt;"",$I232&gt;=DATE(2026,6,23),COUNTIFS($C:$C,$C232,$I:$I,$I232)&gt;2),"⚠ "&amp;COUNTIFS($C:$C,$C232,$I:$I,$I232)&amp;" BAŞVURU!","")</f>
        <v/>
      </c>
    </row>
    <row r="233" spans="1:18" ht="63" customHeight="1" x14ac:dyDescent="0.25">
      <c r="A233" s="39" t="s">
        <v>1242</v>
      </c>
      <c r="B233" s="39" t="s">
        <v>1243</v>
      </c>
      <c r="C233" s="40" t="s">
        <v>418</v>
      </c>
      <c r="D233" s="40" t="s">
        <v>419</v>
      </c>
      <c r="E233" s="41" t="s">
        <v>420</v>
      </c>
      <c r="F233" s="41" t="s">
        <v>1244</v>
      </c>
      <c r="G233" s="42" t="s">
        <v>34</v>
      </c>
      <c r="H233" s="44">
        <v>46087</v>
      </c>
      <c r="I233" s="44">
        <v>46098</v>
      </c>
      <c r="J233" s="40" t="s">
        <v>74</v>
      </c>
      <c r="K233" s="40" t="s">
        <v>125</v>
      </c>
      <c r="L233" s="46" t="s">
        <v>66</v>
      </c>
      <c r="M233" s="46"/>
      <c r="N233" s="46"/>
      <c r="O233" s="45"/>
      <c r="P233" s="46" t="str">
        <f t="shared" si="3"/>
        <v>ONAY</v>
      </c>
      <c r="R233" s="47" t="str">
        <f>IF(AND($I233&lt;&gt;"",$I233&gt;=DATE(2026,6,23),COUNTIFS($C:$C,$C233,$I:$I,$I233)&gt;2),"⚠ "&amp;COUNTIFS($C:$C,$C233,$I:$I,$I233)&amp;" BAŞVURU!","")</f>
        <v/>
      </c>
    </row>
    <row r="234" spans="1:18" ht="63" customHeight="1" x14ac:dyDescent="0.25">
      <c r="A234" s="39" t="s">
        <v>1245</v>
      </c>
      <c r="B234" s="39" t="s">
        <v>1246</v>
      </c>
      <c r="C234" s="40" t="s">
        <v>418</v>
      </c>
      <c r="D234" s="40" t="s">
        <v>419</v>
      </c>
      <c r="E234" s="41" t="s">
        <v>937</v>
      </c>
      <c r="F234" s="41" t="s">
        <v>1247</v>
      </c>
      <c r="G234" s="42" t="s">
        <v>34</v>
      </c>
      <c r="H234" s="44">
        <v>46087</v>
      </c>
      <c r="I234" s="44">
        <v>46098</v>
      </c>
      <c r="J234" s="40" t="s">
        <v>125</v>
      </c>
      <c r="K234" s="40" t="s">
        <v>74</v>
      </c>
      <c r="L234" s="46" t="s">
        <v>66</v>
      </c>
      <c r="M234" s="46"/>
      <c r="N234" s="46"/>
      <c r="O234" s="45"/>
      <c r="P234" s="46" t="str">
        <f t="shared" si="3"/>
        <v>ONAY</v>
      </c>
      <c r="R234" s="47" t="str">
        <f>IF(AND($I234&lt;&gt;"",$I234&gt;=DATE(2026,6,23),COUNTIFS($C:$C,$C234,$I:$I,$I234)&gt;2),"⚠ "&amp;COUNTIFS($C:$C,$C234,$I:$I,$I234)&amp;" BAŞVURU!","")</f>
        <v/>
      </c>
    </row>
    <row r="235" spans="1:18" ht="63" customHeight="1" x14ac:dyDescent="0.25">
      <c r="A235" s="39" t="s">
        <v>1248</v>
      </c>
      <c r="B235" s="39" t="s">
        <v>1249</v>
      </c>
      <c r="C235" s="40" t="s">
        <v>418</v>
      </c>
      <c r="D235" s="40" t="s">
        <v>419</v>
      </c>
      <c r="E235" s="41" t="s">
        <v>937</v>
      </c>
      <c r="F235" s="41" t="s">
        <v>1250</v>
      </c>
      <c r="G235" s="42" t="s">
        <v>34</v>
      </c>
      <c r="H235" s="44">
        <v>46087</v>
      </c>
      <c r="I235" s="44">
        <v>46098</v>
      </c>
      <c r="J235" s="40" t="s">
        <v>125</v>
      </c>
      <c r="K235" s="40" t="s">
        <v>74</v>
      </c>
      <c r="L235" s="46" t="s">
        <v>66</v>
      </c>
      <c r="M235" s="46"/>
      <c r="N235" s="46"/>
      <c r="O235" s="45"/>
      <c r="P235" s="46" t="str">
        <f t="shared" si="3"/>
        <v>ONAY</v>
      </c>
      <c r="R235" s="47" t="str">
        <f>IF(AND($I235&lt;&gt;"",$I235&gt;=DATE(2026,6,23),COUNTIFS($C:$C,$C235,$I:$I,$I235)&gt;2),"⚠ "&amp;COUNTIFS($C:$C,$C235,$I:$I,$I235)&amp;" BAŞVURU!","")</f>
        <v/>
      </c>
    </row>
    <row r="236" spans="1:18" ht="63" customHeight="1" x14ac:dyDescent="0.25">
      <c r="A236" s="39" t="s">
        <v>1251</v>
      </c>
      <c r="B236" s="39" t="s">
        <v>1252</v>
      </c>
      <c r="C236" s="40" t="s">
        <v>418</v>
      </c>
      <c r="D236" s="40" t="s">
        <v>419</v>
      </c>
      <c r="E236" s="41" t="s">
        <v>937</v>
      </c>
      <c r="F236" s="41" t="s">
        <v>1253</v>
      </c>
      <c r="G236" s="42" t="s">
        <v>34</v>
      </c>
      <c r="H236" s="44">
        <v>46087</v>
      </c>
      <c r="I236" s="44">
        <v>46098</v>
      </c>
      <c r="J236" s="40" t="s">
        <v>125</v>
      </c>
      <c r="K236" s="40" t="s">
        <v>74</v>
      </c>
      <c r="L236" s="46" t="s">
        <v>153</v>
      </c>
      <c r="M236" s="46"/>
      <c r="N236" s="46"/>
      <c r="O236" s="45"/>
      <c r="P236" s="46" t="str">
        <f t="shared" si="3"/>
        <v>KAPSAM DIŞI</v>
      </c>
      <c r="R236" s="47" t="str">
        <f>IF(AND($I236&lt;&gt;"",$I236&gt;=DATE(2026,6,23),COUNTIFS($C:$C,$C236,$I:$I,$I236)&gt;2),"⚠ "&amp;COUNTIFS($C:$C,$C236,$I:$I,$I236)&amp;" BAŞVURU!","")</f>
        <v/>
      </c>
    </row>
    <row r="237" spans="1:18" ht="78.75" customHeight="1" x14ac:dyDescent="0.25">
      <c r="A237" s="39" t="s">
        <v>1254</v>
      </c>
      <c r="B237" s="39" t="s">
        <v>1255</v>
      </c>
      <c r="C237" s="40" t="s">
        <v>1256</v>
      </c>
      <c r="D237" s="40" t="s">
        <v>419</v>
      </c>
      <c r="E237" s="41" t="s">
        <v>1257</v>
      </c>
      <c r="F237" s="41" t="s">
        <v>1258</v>
      </c>
      <c r="G237" s="42" t="s">
        <v>34</v>
      </c>
      <c r="H237" s="44">
        <v>46087</v>
      </c>
      <c r="I237" s="44">
        <v>46098</v>
      </c>
      <c r="J237" s="40" t="s">
        <v>82</v>
      </c>
      <c r="K237" s="40" t="s">
        <v>110</v>
      </c>
      <c r="L237" s="46" t="s">
        <v>229</v>
      </c>
      <c r="M237" s="46"/>
      <c r="N237" s="46"/>
      <c r="O237" s="45"/>
      <c r="P237" s="46" t="str">
        <f t="shared" si="3"/>
        <v>KAEK</v>
      </c>
      <c r="R237" s="47" t="str">
        <f>IF(AND($I237&lt;&gt;"",$I237&gt;=DATE(2026,6,23),COUNTIFS($C:$C,$C237,$I:$I,$I237)&gt;2),"⚠ "&amp;COUNTIFS($C:$C,$C237,$I:$I,$I237)&amp;" BAŞVURU!","")</f>
        <v/>
      </c>
    </row>
    <row r="238" spans="1:18" ht="94.5" customHeight="1" x14ac:dyDescent="0.25">
      <c r="A238" s="39" t="s">
        <v>1259</v>
      </c>
      <c r="B238" s="39" t="s">
        <v>1260</v>
      </c>
      <c r="C238" s="40" t="s">
        <v>1261</v>
      </c>
      <c r="D238" s="40" t="s">
        <v>234</v>
      </c>
      <c r="E238" s="41" t="s">
        <v>1262</v>
      </c>
      <c r="F238" s="41" t="s">
        <v>1263</v>
      </c>
      <c r="G238" s="42" t="s">
        <v>34</v>
      </c>
      <c r="H238" s="44">
        <v>46087</v>
      </c>
      <c r="I238" s="44">
        <v>46098</v>
      </c>
      <c r="J238" s="40" t="s">
        <v>91</v>
      </c>
      <c r="K238" s="40" t="s">
        <v>64</v>
      </c>
      <c r="L238" s="46" t="s">
        <v>93</v>
      </c>
      <c r="M238" s="46"/>
      <c r="N238" s="46"/>
      <c r="O238" s="45"/>
      <c r="P238" s="46" t="str">
        <f t="shared" si="3"/>
        <v>DÜZELTME</v>
      </c>
      <c r="R238" s="47" t="str">
        <f>IF(AND($I238&lt;&gt;"",$I238&gt;=DATE(2026,6,23),COUNTIFS($C:$C,$C238,$I:$I,$I238)&gt;2),"⚠ "&amp;COUNTIFS($C:$C,$C238,$I:$I,$I238)&amp;" BAŞVURU!","")</f>
        <v/>
      </c>
    </row>
    <row r="239" spans="1:18" ht="63" customHeight="1" x14ac:dyDescent="0.25">
      <c r="A239" s="39" t="s">
        <v>1264</v>
      </c>
      <c r="B239" s="39" t="s">
        <v>1265</v>
      </c>
      <c r="C239" s="40" t="s">
        <v>1266</v>
      </c>
      <c r="D239" s="40" t="s">
        <v>442</v>
      </c>
      <c r="E239" s="41" t="s">
        <v>1267</v>
      </c>
      <c r="F239" s="41" t="s">
        <v>1268</v>
      </c>
      <c r="G239" s="42" t="s">
        <v>35</v>
      </c>
      <c r="H239" s="44">
        <v>46087</v>
      </c>
      <c r="I239" s="44">
        <v>46098</v>
      </c>
      <c r="J239" s="40" t="s">
        <v>118</v>
      </c>
      <c r="K239" s="40" t="s">
        <v>91</v>
      </c>
      <c r="L239" s="46" t="s">
        <v>66</v>
      </c>
      <c r="M239" s="46"/>
      <c r="N239" s="46"/>
      <c r="O239" s="45"/>
      <c r="P239" s="46" t="str">
        <f t="shared" si="3"/>
        <v>ONAY</v>
      </c>
      <c r="R239" s="47" t="str">
        <f>IF(AND($I239&lt;&gt;"",$I239&gt;=DATE(2026,6,23),COUNTIFS($C:$C,$C239,$I:$I,$I239)&gt;2),"⚠ "&amp;COUNTIFS($C:$C,$C239,$I:$I,$I239)&amp;" BAŞVURU!","")</f>
        <v/>
      </c>
    </row>
    <row r="240" spans="1:18" ht="94.5" customHeight="1" x14ac:dyDescent="0.25">
      <c r="A240" s="39" t="s">
        <v>1269</v>
      </c>
      <c r="B240" s="39" t="s">
        <v>1270</v>
      </c>
      <c r="C240" s="40" t="s">
        <v>1032</v>
      </c>
      <c r="D240" s="40" t="s">
        <v>317</v>
      </c>
      <c r="E240" s="41" t="s">
        <v>1271</v>
      </c>
      <c r="F240" s="41" t="s">
        <v>1272</v>
      </c>
      <c r="G240" s="42" t="s">
        <v>34</v>
      </c>
      <c r="H240" s="44">
        <v>46087</v>
      </c>
      <c r="I240" s="44">
        <v>46098</v>
      </c>
      <c r="J240" s="40" t="s">
        <v>83</v>
      </c>
      <c r="K240" s="40" t="s">
        <v>92</v>
      </c>
      <c r="L240" s="46" t="s">
        <v>93</v>
      </c>
      <c r="M240" s="46" t="s">
        <v>93</v>
      </c>
      <c r="N240" s="46" t="s">
        <v>66</v>
      </c>
      <c r="O240" s="45"/>
      <c r="P240" s="46" t="str">
        <f t="shared" si="3"/>
        <v>ONAY</v>
      </c>
      <c r="Q240" s="25" t="s">
        <v>83</v>
      </c>
      <c r="R240" s="47" t="str">
        <f>IF(AND($I240&lt;&gt;"",$I240&gt;=DATE(2026,6,23),COUNTIFS($C:$C,$C240,$I:$I,$I240)&gt;2),"⚠ "&amp;COUNTIFS($C:$C,$C240,$I:$I,$I240)&amp;" BAŞVURU!","")</f>
        <v/>
      </c>
    </row>
    <row r="241" spans="1:18" ht="81" customHeight="1" x14ac:dyDescent="0.25">
      <c r="A241" s="39" t="s">
        <v>1273</v>
      </c>
      <c r="B241" s="39" t="s">
        <v>1274</v>
      </c>
      <c r="C241" s="40" t="s">
        <v>1275</v>
      </c>
      <c r="D241" s="40" t="s">
        <v>234</v>
      </c>
      <c r="E241" s="41" t="s">
        <v>1276</v>
      </c>
      <c r="F241" s="41" t="s">
        <v>1277</v>
      </c>
      <c r="G241" s="42" t="s">
        <v>35</v>
      </c>
      <c r="H241" s="44">
        <v>46090</v>
      </c>
      <c r="I241" s="44">
        <v>46098</v>
      </c>
      <c r="J241" s="40" t="s">
        <v>82</v>
      </c>
      <c r="K241" s="40" t="s">
        <v>65</v>
      </c>
      <c r="L241" s="46" t="s">
        <v>229</v>
      </c>
      <c r="M241" s="46"/>
      <c r="N241" s="46"/>
      <c r="O241" s="45"/>
      <c r="P241" s="46" t="str">
        <f t="shared" si="3"/>
        <v>KAEK</v>
      </c>
      <c r="R241" s="47" t="str">
        <f>IF(AND($I241&lt;&gt;"",$I241&gt;=DATE(2026,6,23),COUNTIFS($C:$C,$C241,$I:$I,$I241)&gt;2),"⚠ "&amp;COUNTIFS($C:$C,$C241,$I:$I,$I241)&amp;" BAŞVURU!","")</f>
        <v/>
      </c>
    </row>
    <row r="242" spans="1:18" ht="78.75" customHeight="1" x14ac:dyDescent="0.25">
      <c r="A242" s="39" t="s">
        <v>1278</v>
      </c>
      <c r="B242" s="39" t="s">
        <v>1279</v>
      </c>
      <c r="C242" s="40" t="s">
        <v>656</v>
      </c>
      <c r="D242" s="40" t="s">
        <v>241</v>
      </c>
      <c r="E242" s="41" t="s">
        <v>1280</v>
      </c>
      <c r="F242" s="41" t="s">
        <v>1281</v>
      </c>
      <c r="G242" s="42" t="s">
        <v>35</v>
      </c>
      <c r="H242" s="44">
        <v>46090</v>
      </c>
      <c r="I242" s="44">
        <v>46098</v>
      </c>
      <c r="J242" s="40" t="s">
        <v>64</v>
      </c>
      <c r="K242" s="40" t="s">
        <v>91</v>
      </c>
      <c r="L242" s="46" t="s">
        <v>66</v>
      </c>
      <c r="M242" s="46"/>
      <c r="N242" s="46"/>
      <c r="O242" s="45"/>
      <c r="P242" s="46" t="str">
        <f t="shared" si="3"/>
        <v>ONAY</v>
      </c>
      <c r="R242" s="47" t="str">
        <f>IF(AND($I242&lt;&gt;"",$I242&gt;=DATE(2026,6,23),COUNTIFS($C:$C,$C242,$I:$I,$I242)&gt;2),"⚠ "&amp;COUNTIFS($C:$C,$C242,$I:$I,$I242)&amp;" BAŞVURU!","")</f>
        <v/>
      </c>
    </row>
    <row r="243" spans="1:18" ht="78.75" customHeight="1" x14ac:dyDescent="0.25">
      <c r="A243" s="39" t="s">
        <v>1282</v>
      </c>
      <c r="B243" s="39" t="s">
        <v>1283</v>
      </c>
      <c r="C243" s="40" t="s">
        <v>240</v>
      </c>
      <c r="D243" s="40" t="s">
        <v>241</v>
      </c>
      <c r="E243" s="41" t="s">
        <v>1284</v>
      </c>
      <c r="F243" s="41" t="s">
        <v>1285</v>
      </c>
      <c r="G243" s="42" t="s">
        <v>34</v>
      </c>
      <c r="H243" s="44">
        <v>46090</v>
      </c>
      <c r="I243" s="44">
        <v>46098</v>
      </c>
      <c r="J243" s="40" t="s">
        <v>82</v>
      </c>
      <c r="K243" s="40" t="s">
        <v>64</v>
      </c>
      <c r="L243" s="46" t="s">
        <v>66</v>
      </c>
      <c r="M243" s="46"/>
      <c r="N243" s="46"/>
      <c r="O243" s="45"/>
      <c r="P243" s="46" t="str">
        <f t="shared" si="3"/>
        <v>ONAY</v>
      </c>
      <c r="R243" s="47" t="str">
        <f>IF(AND($I243&lt;&gt;"",$I243&gt;=DATE(2026,6,23),COUNTIFS($C:$C,$C243,$I:$I,$I243)&gt;2),"⚠ "&amp;COUNTIFS($C:$C,$C243,$I:$I,$I243)&amp;" BAŞVURU!","")</f>
        <v/>
      </c>
    </row>
    <row r="244" spans="1:18" ht="126" customHeight="1" x14ac:dyDescent="0.25">
      <c r="A244" s="39" t="s">
        <v>1286</v>
      </c>
      <c r="B244" s="39" t="s">
        <v>1287</v>
      </c>
      <c r="C244" s="40" t="s">
        <v>1288</v>
      </c>
      <c r="D244" s="40" t="s">
        <v>186</v>
      </c>
      <c r="E244" s="41" t="s">
        <v>1289</v>
      </c>
      <c r="F244" s="41" t="s">
        <v>1290</v>
      </c>
      <c r="G244" s="42" t="s">
        <v>34</v>
      </c>
      <c r="H244" s="44">
        <v>46090</v>
      </c>
      <c r="I244" s="44">
        <v>46098</v>
      </c>
      <c r="J244" s="40" t="s">
        <v>82</v>
      </c>
      <c r="K244" s="40" t="s">
        <v>101</v>
      </c>
      <c r="L244" s="46" t="s">
        <v>66</v>
      </c>
      <c r="M244" s="46"/>
      <c r="N244" s="46"/>
      <c r="O244" s="45"/>
      <c r="P244" s="46" t="str">
        <f t="shared" si="3"/>
        <v>ONAY</v>
      </c>
      <c r="R244" s="47" t="str">
        <f>IF(AND($I244&lt;&gt;"",$I244&gt;=DATE(2026,6,23),COUNTIFS($C:$C,$C244,$I:$I,$I244)&gt;2),"⚠ "&amp;COUNTIFS($C:$C,$C244,$I:$I,$I244)&amp;" BAŞVURU!","")</f>
        <v/>
      </c>
    </row>
    <row r="245" spans="1:18" ht="63" customHeight="1" x14ac:dyDescent="0.25">
      <c r="A245" s="39" t="s">
        <v>1291</v>
      </c>
      <c r="B245" s="39" t="s">
        <v>1292</v>
      </c>
      <c r="C245" s="40" t="s">
        <v>1225</v>
      </c>
      <c r="D245" s="40" t="s">
        <v>392</v>
      </c>
      <c r="E245" s="41" t="s">
        <v>1293</v>
      </c>
      <c r="F245" s="41" t="s">
        <v>1294</v>
      </c>
      <c r="G245" s="42" t="s">
        <v>34</v>
      </c>
      <c r="H245" s="44">
        <v>46090</v>
      </c>
      <c r="I245" s="44">
        <v>46098</v>
      </c>
      <c r="J245" s="40" t="s">
        <v>83</v>
      </c>
      <c r="K245" s="40" t="s">
        <v>101</v>
      </c>
      <c r="L245" s="46" t="s">
        <v>66</v>
      </c>
      <c r="M245" s="46"/>
      <c r="N245" s="46"/>
      <c r="O245" s="45"/>
      <c r="P245" s="46" t="str">
        <f t="shared" si="3"/>
        <v>ONAY</v>
      </c>
      <c r="R245" s="47" t="str">
        <f>IF(AND($I245&lt;&gt;"",$I245&gt;=DATE(2026,6,23),COUNTIFS($C:$C,$C245,$I:$I,$I245)&gt;2),"⚠ "&amp;COUNTIFS($C:$C,$C245,$I:$I,$I245)&amp;" BAŞVURU!","")</f>
        <v/>
      </c>
    </row>
    <row r="246" spans="1:18" ht="78.75" customHeight="1" x14ac:dyDescent="0.25">
      <c r="A246" s="39" t="s">
        <v>1295</v>
      </c>
      <c r="B246" s="39" t="s">
        <v>1296</v>
      </c>
      <c r="C246" s="40" t="s">
        <v>106</v>
      </c>
      <c r="D246" s="40" t="s">
        <v>107</v>
      </c>
      <c r="E246" s="41" t="s">
        <v>1297</v>
      </c>
      <c r="F246" s="41" t="s">
        <v>1298</v>
      </c>
      <c r="G246" s="42" t="s">
        <v>34</v>
      </c>
      <c r="H246" s="44">
        <v>46090</v>
      </c>
      <c r="I246" s="44">
        <v>46098</v>
      </c>
      <c r="J246" s="40" t="s">
        <v>110</v>
      </c>
      <c r="K246" s="40" t="s">
        <v>101</v>
      </c>
      <c r="L246" s="46" t="s">
        <v>93</v>
      </c>
      <c r="M246" s="46" t="s">
        <v>66</v>
      </c>
      <c r="N246" s="46"/>
      <c r="O246" s="45"/>
      <c r="P246" s="46" t="str">
        <f t="shared" si="3"/>
        <v>ONAY</v>
      </c>
      <c r="Q246" s="25" t="s">
        <v>110</v>
      </c>
      <c r="R246" s="47" t="str">
        <f>IF(AND($I246&lt;&gt;"",$I246&gt;=DATE(2026,6,23),COUNTIFS($C:$C,$C246,$I:$I,$I246)&gt;2),"⚠ "&amp;COUNTIFS($C:$C,$C246,$I:$I,$I246)&amp;" BAŞVURU!","")</f>
        <v/>
      </c>
    </row>
    <row r="247" spans="1:18" ht="94.5" customHeight="1" x14ac:dyDescent="0.25">
      <c r="A247" s="39" t="s">
        <v>1299</v>
      </c>
      <c r="B247" s="39" t="s">
        <v>1300</v>
      </c>
      <c r="C247" s="40" t="s">
        <v>1301</v>
      </c>
      <c r="D247" s="40" t="s">
        <v>186</v>
      </c>
      <c r="E247" s="41" t="s">
        <v>1302</v>
      </c>
      <c r="F247" s="41" t="s">
        <v>1303</v>
      </c>
      <c r="G247" s="42" t="s">
        <v>35</v>
      </c>
      <c r="H247" s="44">
        <v>46090</v>
      </c>
      <c r="I247" s="44">
        <v>46098</v>
      </c>
      <c r="J247" s="40" t="s">
        <v>101</v>
      </c>
      <c r="K247" s="40" t="s">
        <v>92</v>
      </c>
      <c r="L247" s="46" t="s">
        <v>215</v>
      </c>
      <c r="M247" s="46" t="s">
        <v>153</v>
      </c>
      <c r="N247" s="46"/>
      <c r="O247" s="45"/>
      <c r="P247" s="46" t="str">
        <f t="shared" si="3"/>
        <v>KAPSAM DIŞI</v>
      </c>
      <c r="R247" s="47" t="str">
        <f>IF(AND($I247&lt;&gt;"",$I247&gt;=DATE(2026,6,23),COUNTIFS($C:$C,$C247,$I:$I,$I247)&gt;2),"⚠ "&amp;COUNTIFS($C:$C,$C247,$I:$I,$I247)&amp;" BAŞVURU!","")</f>
        <v/>
      </c>
    </row>
    <row r="248" spans="1:18" ht="94.5" customHeight="1" x14ac:dyDescent="0.25">
      <c r="A248" s="39" t="s">
        <v>1304</v>
      </c>
      <c r="B248" s="39" t="s">
        <v>1305</v>
      </c>
      <c r="C248" s="40" t="s">
        <v>1306</v>
      </c>
      <c r="D248" s="40" t="s">
        <v>419</v>
      </c>
      <c r="E248" s="41" t="s">
        <v>1307</v>
      </c>
      <c r="F248" s="41" t="s">
        <v>1308</v>
      </c>
      <c r="G248" s="42" t="s">
        <v>34</v>
      </c>
      <c r="H248" s="44">
        <v>46090</v>
      </c>
      <c r="I248" s="44">
        <v>46098</v>
      </c>
      <c r="J248" s="40" t="s">
        <v>91</v>
      </c>
      <c r="K248" s="40" t="s">
        <v>118</v>
      </c>
      <c r="L248" s="46" t="s">
        <v>93</v>
      </c>
      <c r="M248" s="46"/>
      <c r="N248" s="46"/>
      <c r="O248" s="45"/>
      <c r="P248" s="46" t="str">
        <f t="shared" si="3"/>
        <v>DÜZELTME</v>
      </c>
      <c r="R248" s="47" t="str">
        <f>IF(AND($I248&lt;&gt;"",$I248&gt;=DATE(2026,6,23),COUNTIFS($C:$C,$C248,$I:$I,$I248)&gt;2),"⚠ "&amp;COUNTIFS($C:$C,$C248,$I:$I,$I248)&amp;" BAŞVURU!","")</f>
        <v/>
      </c>
    </row>
    <row r="249" spans="1:18" ht="141.75" customHeight="1" x14ac:dyDescent="0.25">
      <c r="A249" s="39" t="s">
        <v>1309</v>
      </c>
      <c r="B249" s="39" t="s">
        <v>1310</v>
      </c>
      <c r="C249" s="40" t="s">
        <v>397</v>
      </c>
      <c r="D249" s="40" t="s">
        <v>369</v>
      </c>
      <c r="E249" s="41" t="s">
        <v>1311</v>
      </c>
      <c r="F249" s="41" t="s">
        <v>1312</v>
      </c>
      <c r="G249" s="42" t="s">
        <v>35</v>
      </c>
      <c r="H249" s="44">
        <v>46090</v>
      </c>
      <c r="I249" s="44">
        <v>46098</v>
      </c>
      <c r="J249" s="40" t="s">
        <v>125</v>
      </c>
      <c r="K249" s="40" t="s">
        <v>110</v>
      </c>
      <c r="L249" s="46" t="s">
        <v>93</v>
      </c>
      <c r="M249" s="46" t="s">
        <v>66</v>
      </c>
      <c r="N249" s="46"/>
      <c r="O249" s="45"/>
      <c r="P249" s="46" t="str">
        <f t="shared" si="3"/>
        <v>ONAY</v>
      </c>
      <c r="Q249" s="25" t="s">
        <v>110</v>
      </c>
      <c r="R249" s="47" t="str">
        <f>IF(AND($I249&lt;&gt;"",$I249&gt;=DATE(2026,6,23),COUNTIFS($C:$C,$C249,$I:$I,$I249)&gt;2),"⚠ "&amp;COUNTIFS($C:$C,$C249,$I:$I,$I249)&amp;" BAŞVURU!","")</f>
        <v/>
      </c>
    </row>
    <row r="250" spans="1:18" ht="111" customHeight="1" x14ac:dyDescent="0.25">
      <c r="A250" s="39" t="s">
        <v>1313</v>
      </c>
      <c r="B250" s="39" t="s">
        <v>1314</v>
      </c>
      <c r="C250" s="40" t="s">
        <v>240</v>
      </c>
      <c r="D250" s="40" t="s">
        <v>241</v>
      </c>
      <c r="E250" s="41" t="s">
        <v>1315</v>
      </c>
      <c r="F250" s="41" t="s">
        <v>1316</v>
      </c>
      <c r="G250" s="42" t="s">
        <v>34</v>
      </c>
      <c r="H250" s="44">
        <v>46090</v>
      </c>
      <c r="I250" s="44">
        <v>46098</v>
      </c>
      <c r="J250" s="40" t="s">
        <v>82</v>
      </c>
      <c r="K250" s="40" t="s">
        <v>118</v>
      </c>
      <c r="L250" s="46" t="s">
        <v>66</v>
      </c>
      <c r="M250" s="46"/>
      <c r="N250" s="46"/>
      <c r="O250" s="45"/>
      <c r="P250" s="46" t="str">
        <f t="shared" si="3"/>
        <v>ONAY</v>
      </c>
      <c r="R250" s="47" t="str">
        <f>IF(AND($I250&lt;&gt;"",$I250&gt;=DATE(2026,6,23),COUNTIFS($C:$C,$C250,$I:$I,$I250)&gt;2),"⚠ "&amp;COUNTIFS($C:$C,$C250,$I:$I,$I250)&amp;" BAŞVURU!","")</f>
        <v/>
      </c>
    </row>
    <row r="251" spans="1:18" ht="63" customHeight="1" x14ac:dyDescent="0.25">
      <c r="A251" s="39" t="s">
        <v>1317</v>
      </c>
      <c r="B251" s="39" t="s">
        <v>1318</v>
      </c>
      <c r="C251" s="40" t="s">
        <v>651</v>
      </c>
      <c r="D251" s="40" t="s">
        <v>172</v>
      </c>
      <c r="E251" s="41" t="s">
        <v>1319</v>
      </c>
      <c r="F251" s="41" t="s">
        <v>1320</v>
      </c>
      <c r="G251" s="42" t="s">
        <v>34</v>
      </c>
      <c r="H251" s="44">
        <v>46090</v>
      </c>
      <c r="I251" s="44">
        <v>46098</v>
      </c>
      <c r="J251" s="40" t="s">
        <v>64</v>
      </c>
      <c r="K251" s="40" t="s">
        <v>65</v>
      </c>
      <c r="L251" s="46" t="s">
        <v>93</v>
      </c>
      <c r="M251" s="46" t="s">
        <v>66</v>
      </c>
      <c r="N251" s="46"/>
      <c r="O251" s="45"/>
      <c r="P251" s="46" t="str">
        <f t="shared" si="3"/>
        <v>ONAY</v>
      </c>
      <c r="Q251" s="25" t="s">
        <v>64</v>
      </c>
      <c r="R251" s="47" t="str">
        <f>IF(AND($I251&lt;&gt;"",$I251&gt;=DATE(2026,6,23),COUNTIFS($C:$C,$C251,$I:$I,$I251)&gt;2),"⚠ "&amp;COUNTIFS($C:$C,$C251,$I:$I,$I251)&amp;" BAŞVURU!","")</f>
        <v/>
      </c>
    </row>
    <row r="252" spans="1:18" ht="63" customHeight="1" x14ac:dyDescent="0.25">
      <c r="A252" s="39" t="s">
        <v>1321</v>
      </c>
      <c r="B252" s="39" t="s">
        <v>1322</v>
      </c>
      <c r="C252" s="40" t="s">
        <v>876</v>
      </c>
      <c r="D252" s="40" t="s">
        <v>419</v>
      </c>
      <c r="E252" s="41" t="s">
        <v>1323</v>
      </c>
      <c r="F252" s="41" t="s">
        <v>1324</v>
      </c>
      <c r="G252" s="42" t="s">
        <v>34</v>
      </c>
      <c r="H252" s="44">
        <v>46090</v>
      </c>
      <c r="I252" s="44">
        <v>46098</v>
      </c>
      <c r="J252" s="40" t="s">
        <v>83</v>
      </c>
      <c r="K252" s="40" t="s">
        <v>92</v>
      </c>
      <c r="L252" s="46" t="s">
        <v>66</v>
      </c>
      <c r="M252" s="46"/>
      <c r="N252" s="46"/>
      <c r="O252" s="45"/>
      <c r="P252" s="46" t="str">
        <f t="shared" si="3"/>
        <v>ONAY</v>
      </c>
      <c r="R252" s="47" t="str">
        <f>IF(AND($I252&lt;&gt;"",$I252&gt;=DATE(2026,6,23),COUNTIFS($C:$C,$C252,$I:$I,$I252)&gt;2),"⚠ "&amp;COUNTIFS($C:$C,$C252,$I:$I,$I252)&amp;" BAŞVURU!","")</f>
        <v/>
      </c>
    </row>
    <row r="253" spans="1:18" ht="63" customHeight="1" x14ac:dyDescent="0.25">
      <c r="A253" s="39" t="s">
        <v>1325</v>
      </c>
      <c r="B253" s="39" t="s">
        <v>1326</v>
      </c>
      <c r="C253" s="40" t="s">
        <v>1327</v>
      </c>
      <c r="D253" s="40" t="s">
        <v>241</v>
      </c>
      <c r="E253" s="41" t="s">
        <v>1328</v>
      </c>
      <c r="F253" s="41" t="s">
        <v>1329</v>
      </c>
      <c r="G253" s="42" t="s">
        <v>34</v>
      </c>
      <c r="H253" s="44">
        <v>46090</v>
      </c>
      <c r="I253" s="44">
        <v>46098</v>
      </c>
      <c r="J253" s="40" t="s">
        <v>82</v>
      </c>
      <c r="K253" s="40" t="s">
        <v>91</v>
      </c>
      <c r="L253" s="46" t="s">
        <v>175</v>
      </c>
      <c r="M253" s="46"/>
      <c r="N253" s="46"/>
      <c r="O253" s="45"/>
      <c r="P253" s="46" t="str">
        <f t="shared" si="3"/>
        <v>RET</v>
      </c>
      <c r="R253" s="47" t="str">
        <f>IF(AND($I253&lt;&gt;"",$I253&gt;=DATE(2026,6,23),COUNTIFS($C:$C,$C253,$I:$I,$I253)&gt;2),"⚠ "&amp;COUNTIFS($C:$C,$C253,$I:$I,$I253)&amp;" BAŞVURU!","")</f>
        <v/>
      </c>
    </row>
    <row r="254" spans="1:18" ht="78.75" customHeight="1" x14ac:dyDescent="0.25">
      <c r="A254" s="39" t="s">
        <v>1330</v>
      </c>
      <c r="B254" s="39" t="s">
        <v>1331</v>
      </c>
      <c r="C254" s="40" t="s">
        <v>452</v>
      </c>
      <c r="D254" s="40" t="s">
        <v>392</v>
      </c>
      <c r="E254" s="41" t="s">
        <v>1332</v>
      </c>
      <c r="F254" s="41" t="s">
        <v>1333</v>
      </c>
      <c r="G254" s="42" t="s">
        <v>34</v>
      </c>
      <c r="H254" s="44">
        <v>46090</v>
      </c>
      <c r="I254" s="44">
        <v>46098</v>
      </c>
      <c r="J254" s="40" t="s">
        <v>110</v>
      </c>
      <c r="K254" s="40" t="s">
        <v>83</v>
      </c>
      <c r="L254" s="46" t="s">
        <v>66</v>
      </c>
      <c r="M254" s="46"/>
      <c r="N254" s="46"/>
      <c r="O254" s="45"/>
      <c r="P254" s="46" t="str">
        <f t="shared" si="3"/>
        <v>ONAY</v>
      </c>
      <c r="R254" s="47" t="str">
        <f>IF(AND($I254&lt;&gt;"",$I254&gt;=DATE(2026,6,23),COUNTIFS($C:$C,$C254,$I:$I,$I254)&gt;2),"⚠ "&amp;COUNTIFS($C:$C,$C254,$I:$I,$I254)&amp;" BAŞVURU!","")</f>
        <v/>
      </c>
    </row>
    <row r="255" spans="1:18" ht="78.75" customHeight="1" x14ac:dyDescent="0.25">
      <c r="A255" s="39" t="s">
        <v>1334</v>
      </c>
      <c r="B255" s="39" t="s">
        <v>1335</v>
      </c>
      <c r="C255" s="40" t="s">
        <v>680</v>
      </c>
      <c r="D255" s="40" t="s">
        <v>392</v>
      </c>
      <c r="E255" s="41" t="s">
        <v>1336</v>
      </c>
      <c r="F255" s="41" t="s">
        <v>1337</v>
      </c>
      <c r="G255" s="42" t="s">
        <v>34</v>
      </c>
      <c r="H255" s="44">
        <v>46090</v>
      </c>
      <c r="I255" s="44">
        <v>46098</v>
      </c>
      <c r="J255" s="40" t="s">
        <v>101</v>
      </c>
      <c r="K255" s="40" t="s">
        <v>110</v>
      </c>
      <c r="L255" s="46" t="s">
        <v>66</v>
      </c>
      <c r="M255" s="46"/>
      <c r="N255" s="46"/>
      <c r="O255" s="45"/>
      <c r="P255" s="46" t="str">
        <f t="shared" si="3"/>
        <v>ONAY</v>
      </c>
      <c r="R255" s="47" t="str">
        <f>IF(AND($I255&lt;&gt;"",$I255&gt;=DATE(2026,6,23),COUNTIFS($C:$C,$C255,$I:$I,$I255)&gt;2),"⚠ "&amp;COUNTIFS($C:$C,$C255,$I:$I,$I255)&amp;" BAŞVURU!","")</f>
        <v/>
      </c>
    </row>
    <row r="256" spans="1:18" ht="78.75" customHeight="1" x14ac:dyDescent="0.25">
      <c r="A256" s="39" t="s">
        <v>1338</v>
      </c>
      <c r="B256" s="39" t="s">
        <v>1339</v>
      </c>
      <c r="C256" s="40" t="s">
        <v>661</v>
      </c>
      <c r="D256" s="40" t="s">
        <v>241</v>
      </c>
      <c r="E256" s="41" t="s">
        <v>1340</v>
      </c>
      <c r="F256" s="41" t="s">
        <v>1341</v>
      </c>
      <c r="G256" s="42" t="s">
        <v>34</v>
      </c>
      <c r="H256" s="44">
        <v>46090</v>
      </c>
      <c r="I256" s="44">
        <v>46098</v>
      </c>
      <c r="J256" s="40" t="s">
        <v>125</v>
      </c>
      <c r="K256" s="40" t="s">
        <v>74</v>
      </c>
      <c r="L256" s="46" t="s">
        <v>66</v>
      </c>
      <c r="M256" s="46"/>
      <c r="N256" s="46"/>
      <c r="O256" s="45"/>
      <c r="P256" s="46" t="str">
        <f t="shared" si="3"/>
        <v>ONAY</v>
      </c>
      <c r="R256" s="47" t="str">
        <f>IF(AND($I256&lt;&gt;"",$I256&gt;=DATE(2026,6,23),COUNTIFS($C:$C,$C256,$I:$I,$I256)&gt;2),"⚠ "&amp;COUNTIFS($C:$C,$C256,$I:$I,$I256)&amp;" BAŞVURU!","")</f>
        <v/>
      </c>
    </row>
    <row r="257" spans="1:18" ht="78.75" customHeight="1" x14ac:dyDescent="0.25">
      <c r="A257" s="39" t="s">
        <v>1342</v>
      </c>
      <c r="B257" s="39" t="s">
        <v>1343</v>
      </c>
      <c r="C257" s="40" t="s">
        <v>424</v>
      </c>
      <c r="D257" s="40" t="s">
        <v>425</v>
      </c>
      <c r="E257" s="41" t="s">
        <v>1344</v>
      </c>
      <c r="F257" s="41" t="s">
        <v>1345</v>
      </c>
      <c r="G257" s="42" t="s">
        <v>37</v>
      </c>
      <c r="H257" s="44">
        <v>46090</v>
      </c>
      <c r="I257" s="44">
        <v>46098</v>
      </c>
      <c r="J257" s="40" t="s">
        <v>64</v>
      </c>
      <c r="K257" s="40" t="s">
        <v>74</v>
      </c>
      <c r="L257" s="46" t="s">
        <v>93</v>
      </c>
      <c r="M257" s="46" t="s">
        <v>66</v>
      </c>
      <c r="N257" s="46"/>
      <c r="O257" s="45"/>
      <c r="P257" s="46" t="str">
        <f t="shared" si="3"/>
        <v>ONAY</v>
      </c>
      <c r="Q257" s="25" t="s">
        <v>64</v>
      </c>
      <c r="R257" s="47" t="str">
        <f>IF(AND($I257&lt;&gt;"",$I257&gt;=DATE(2026,6,23),COUNTIFS($C:$C,$C257,$I:$I,$I257)&gt;2),"⚠ "&amp;COUNTIFS($C:$C,$C257,$I:$I,$I257)&amp;" BAŞVURU!","")</f>
        <v/>
      </c>
    </row>
    <row r="258" spans="1:18" ht="63" customHeight="1" x14ac:dyDescent="0.25">
      <c r="A258" s="39" t="s">
        <v>1346</v>
      </c>
      <c r="B258" s="39" t="s">
        <v>1347</v>
      </c>
      <c r="C258" s="40" t="s">
        <v>1348</v>
      </c>
      <c r="D258" s="40" t="s">
        <v>226</v>
      </c>
      <c r="E258" s="41" t="s">
        <v>1349</v>
      </c>
      <c r="F258" s="41" t="s">
        <v>1350</v>
      </c>
      <c r="G258" s="42" t="s">
        <v>34</v>
      </c>
      <c r="H258" s="44">
        <v>46090</v>
      </c>
      <c r="I258" s="44">
        <v>46098</v>
      </c>
      <c r="J258" s="40" t="s">
        <v>118</v>
      </c>
      <c r="K258" s="40" t="s">
        <v>65</v>
      </c>
      <c r="L258" s="46" t="s">
        <v>93</v>
      </c>
      <c r="M258" s="46" t="s">
        <v>428</v>
      </c>
      <c r="N258" s="46"/>
      <c r="O258" s="45"/>
      <c r="P258" s="46" t="str">
        <f t="shared" ref="P258:P321" si="4">IF(O258&lt;&gt;"",O258, IF(N258&lt;&gt;"",N258, IF(M258&lt;&gt;"",M258, L258)))</f>
        <v>GERİ ÇEKİLDİ</v>
      </c>
      <c r="R258" s="47" t="str">
        <f>IF(AND($I258&lt;&gt;"",$I258&gt;=DATE(2026,6,23),COUNTIFS($C:$C,$C258,$I:$I,$I258)&gt;2),"⚠ "&amp;COUNTIFS($C:$C,$C258,$I:$I,$I258)&amp;" BAŞVURU!","")</f>
        <v/>
      </c>
    </row>
    <row r="259" spans="1:18" ht="80.25" customHeight="1" x14ac:dyDescent="0.25">
      <c r="A259" s="39" t="s">
        <v>1351</v>
      </c>
      <c r="B259" s="39" t="s">
        <v>1352</v>
      </c>
      <c r="C259" s="40" t="s">
        <v>1348</v>
      </c>
      <c r="D259" s="40" t="s">
        <v>226</v>
      </c>
      <c r="E259" s="41" t="s">
        <v>1349</v>
      </c>
      <c r="F259" s="41" t="s">
        <v>1353</v>
      </c>
      <c r="G259" s="42" t="s">
        <v>34</v>
      </c>
      <c r="H259" s="44">
        <v>46090</v>
      </c>
      <c r="I259" s="44">
        <v>46098</v>
      </c>
      <c r="J259" s="40" t="s">
        <v>118</v>
      </c>
      <c r="K259" s="40" t="s">
        <v>91</v>
      </c>
      <c r="L259" s="46" t="s">
        <v>93</v>
      </c>
      <c r="M259" s="46" t="s">
        <v>66</v>
      </c>
      <c r="N259" s="46"/>
      <c r="O259" s="45"/>
      <c r="P259" s="46" t="str">
        <f t="shared" si="4"/>
        <v>ONAY</v>
      </c>
      <c r="Q259" s="25" t="s">
        <v>118</v>
      </c>
      <c r="R259" s="47" t="str">
        <f>IF(AND($I259&lt;&gt;"",$I259&gt;=DATE(2026,6,23),COUNTIFS($C:$C,$C259,$I:$I,$I259)&gt;2),"⚠ "&amp;COUNTIFS($C:$C,$C259,$I:$I,$I259)&amp;" BAŞVURU!","")</f>
        <v/>
      </c>
    </row>
    <row r="260" spans="1:18" ht="78.75" customHeight="1" x14ac:dyDescent="0.25">
      <c r="A260" s="39" t="s">
        <v>1354</v>
      </c>
      <c r="B260" s="39" t="s">
        <v>1355</v>
      </c>
      <c r="C260" s="40" t="s">
        <v>1356</v>
      </c>
      <c r="D260" s="40" t="s">
        <v>234</v>
      </c>
      <c r="E260" s="41" t="s">
        <v>1357</v>
      </c>
      <c r="F260" s="41" t="s">
        <v>1358</v>
      </c>
      <c r="G260" s="42" t="s">
        <v>34</v>
      </c>
      <c r="H260" s="44">
        <v>46090</v>
      </c>
      <c r="I260" s="44">
        <v>46098</v>
      </c>
      <c r="J260" s="40" t="s">
        <v>65</v>
      </c>
      <c r="K260" s="40" t="s">
        <v>92</v>
      </c>
      <c r="L260" s="46" t="s">
        <v>66</v>
      </c>
      <c r="M260" s="46"/>
      <c r="N260" s="46"/>
      <c r="O260" s="45"/>
      <c r="P260" s="46" t="str">
        <f t="shared" si="4"/>
        <v>ONAY</v>
      </c>
      <c r="R260" s="47" t="str">
        <f>IF(AND($I260&lt;&gt;"",$I260&gt;=DATE(2026,6,23),COUNTIFS($C:$C,$C260,$I:$I,$I260)&gt;2),"⚠ "&amp;COUNTIFS($C:$C,$C260,$I:$I,$I260)&amp;" BAŞVURU!","")</f>
        <v/>
      </c>
    </row>
    <row r="261" spans="1:18" ht="94.5" customHeight="1" x14ac:dyDescent="0.25">
      <c r="A261" s="39" t="s">
        <v>1359</v>
      </c>
      <c r="B261" s="39" t="s">
        <v>1360</v>
      </c>
      <c r="C261" s="40" t="s">
        <v>233</v>
      </c>
      <c r="D261" s="40" t="s">
        <v>234</v>
      </c>
      <c r="E261" s="41" t="s">
        <v>1361</v>
      </c>
      <c r="F261" s="41" t="s">
        <v>1362</v>
      </c>
      <c r="G261" s="42" t="s">
        <v>34</v>
      </c>
      <c r="H261" s="44">
        <v>46090</v>
      </c>
      <c r="I261" s="44">
        <v>46098</v>
      </c>
      <c r="J261" s="40" t="s">
        <v>64</v>
      </c>
      <c r="K261" s="40" t="s">
        <v>82</v>
      </c>
      <c r="L261" s="46" t="s">
        <v>93</v>
      </c>
      <c r="M261" s="46" t="s">
        <v>93</v>
      </c>
      <c r="N261" s="46"/>
      <c r="O261" s="45"/>
      <c r="P261" s="46" t="str">
        <f t="shared" si="4"/>
        <v>DÜZELTME</v>
      </c>
      <c r="R261" s="47" t="str">
        <f>IF(AND($I261&lt;&gt;"",$I261&gt;=DATE(2026,6,23),COUNTIFS($C:$C,$C261,$I:$I,$I261)&gt;2),"⚠ "&amp;COUNTIFS($C:$C,$C261,$I:$I,$I261)&amp;" BAŞVURU!","")</f>
        <v/>
      </c>
    </row>
    <row r="262" spans="1:18" ht="96" customHeight="1" x14ac:dyDescent="0.25">
      <c r="A262" s="39" t="s">
        <v>1363</v>
      </c>
      <c r="B262" s="39" t="s">
        <v>1364</v>
      </c>
      <c r="C262" s="40" t="s">
        <v>1365</v>
      </c>
      <c r="D262" s="40" t="s">
        <v>234</v>
      </c>
      <c r="E262" s="41" t="s">
        <v>1366</v>
      </c>
      <c r="F262" s="41" t="s">
        <v>1367</v>
      </c>
      <c r="G262" s="42" t="s">
        <v>34</v>
      </c>
      <c r="H262" s="44">
        <v>46090</v>
      </c>
      <c r="I262" s="44">
        <v>46098</v>
      </c>
      <c r="J262" s="40" t="s">
        <v>92</v>
      </c>
      <c r="K262" s="40" t="s">
        <v>110</v>
      </c>
      <c r="L262" s="46" t="s">
        <v>66</v>
      </c>
      <c r="M262" s="46"/>
      <c r="N262" s="46"/>
      <c r="O262" s="45"/>
      <c r="P262" s="46" t="str">
        <f t="shared" si="4"/>
        <v>ONAY</v>
      </c>
      <c r="R262" s="47" t="str">
        <f>IF(AND($I262&lt;&gt;"",$I262&gt;=DATE(2026,6,23),COUNTIFS($C:$C,$C262,$I:$I,$I262)&gt;2),"⚠ "&amp;COUNTIFS($C:$C,$C262,$I:$I,$I262)&amp;" BAŞVURU!","")</f>
        <v/>
      </c>
    </row>
    <row r="263" spans="1:18" ht="95.25" customHeight="1" x14ac:dyDescent="0.25">
      <c r="A263" s="39" t="s">
        <v>1368</v>
      </c>
      <c r="B263" s="39" t="s">
        <v>1369</v>
      </c>
      <c r="C263" s="40" t="s">
        <v>1370</v>
      </c>
      <c r="D263" s="40" t="s">
        <v>1371</v>
      </c>
      <c r="E263" s="41" t="s">
        <v>1372</v>
      </c>
      <c r="F263" s="41" t="s">
        <v>1373</v>
      </c>
      <c r="G263" s="42" t="s">
        <v>35</v>
      </c>
      <c r="H263" s="44">
        <v>46090</v>
      </c>
      <c r="I263" s="44">
        <v>46098</v>
      </c>
      <c r="J263" s="40" t="s">
        <v>101</v>
      </c>
      <c r="K263" s="40" t="s">
        <v>125</v>
      </c>
      <c r="L263" s="46" t="s">
        <v>66</v>
      </c>
      <c r="M263" s="46"/>
      <c r="N263" s="46"/>
      <c r="O263" s="45"/>
      <c r="P263" s="46" t="str">
        <f t="shared" si="4"/>
        <v>ONAY</v>
      </c>
      <c r="R263" s="47" t="str">
        <f>IF(AND($I263&lt;&gt;"",$I263&gt;=DATE(2026,6,23),COUNTIFS($C:$C,$C263,$I:$I,$I263)&gt;2),"⚠ "&amp;COUNTIFS($C:$C,$C263,$I:$I,$I263)&amp;" BAŞVURU!","")</f>
        <v/>
      </c>
    </row>
    <row r="264" spans="1:18" ht="238.5" customHeight="1" x14ac:dyDescent="0.25">
      <c r="A264" s="39" t="s">
        <v>1374</v>
      </c>
      <c r="B264" s="39" t="s">
        <v>1375</v>
      </c>
      <c r="C264" s="40" t="s">
        <v>219</v>
      </c>
      <c r="D264" s="40" t="s">
        <v>130</v>
      </c>
      <c r="E264" s="41" t="s">
        <v>1376</v>
      </c>
      <c r="F264" s="41" t="s">
        <v>1377</v>
      </c>
      <c r="G264" s="42" t="s">
        <v>34</v>
      </c>
      <c r="H264" s="44">
        <v>46090</v>
      </c>
      <c r="I264" s="44">
        <v>46098</v>
      </c>
      <c r="J264" s="40" t="s">
        <v>91</v>
      </c>
      <c r="K264" s="40" t="s">
        <v>83</v>
      </c>
      <c r="L264" s="46" t="s">
        <v>66</v>
      </c>
      <c r="M264" s="46"/>
      <c r="N264" s="46"/>
      <c r="O264" s="45"/>
      <c r="P264" s="46" t="str">
        <f t="shared" si="4"/>
        <v>ONAY</v>
      </c>
      <c r="R264" s="47" t="str">
        <f>IF(AND($I264&lt;&gt;"",$I264&gt;=DATE(2026,6,23),COUNTIFS($C:$C,$C264,$I:$I,$I264)&gt;2),"⚠ "&amp;COUNTIFS($C:$C,$C264,$I:$I,$I264)&amp;" BAŞVURU!","")</f>
        <v/>
      </c>
    </row>
    <row r="265" spans="1:18" ht="63" customHeight="1" x14ac:dyDescent="0.25">
      <c r="A265" s="39" t="s">
        <v>1378</v>
      </c>
      <c r="B265" s="39" t="s">
        <v>1379</v>
      </c>
      <c r="C265" s="40" t="s">
        <v>1380</v>
      </c>
      <c r="D265" s="40" t="s">
        <v>107</v>
      </c>
      <c r="E265" s="41" t="s">
        <v>1381</v>
      </c>
      <c r="F265" s="41" t="s">
        <v>1382</v>
      </c>
      <c r="G265" s="42" t="s">
        <v>34</v>
      </c>
      <c r="H265" s="44">
        <v>46090</v>
      </c>
      <c r="I265" s="44">
        <v>46098</v>
      </c>
      <c r="J265" s="40" t="s">
        <v>118</v>
      </c>
      <c r="K265" s="40" t="s">
        <v>74</v>
      </c>
      <c r="L265" s="46" t="s">
        <v>93</v>
      </c>
      <c r="M265" s="46" t="s">
        <v>66</v>
      </c>
      <c r="N265" s="46"/>
      <c r="O265" s="45"/>
      <c r="P265" s="46" t="str">
        <f t="shared" si="4"/>
        <v>ONAY</v>
      </c>
      <c r="Q265" s="25" t="s">
        <v>74</v>
      </c>
      <c r="R265" s="47" t="str">
        <f>IF(AND($I265&lt;&gt;"",$I265&gt;=DATE(2026,6,23),COUNTIFS($C:$C,$C265,$I:$I,$I265)&gt;2),"⚠ "&amp;COUNTIFS($C:$C,$C265,$I:$I,$I265)&amp;" BAŞVURU!","")</f>
        <v/>
      </c>
    </row>
    <row r="266" spans="1:18" ht="63" customHeight="1" x14ac:dyDescent="0.25">
      <c r="A266" s="39" t="s">
        <v>1383</v>
      </c>
      <c r="B266" s="39" t="s">
        <v>1384</v>
      </c>
      <c r="C266" s="40" t="s">
        <v>1380</v>
      </c>
      <c r="D266" s="40" t="s">
        <v>107</v>
      </c>
      <c r="E266" s="41" t="s">
        <v>1381</v>
      </c>
      <c r="F266" s="41" t="s">
        <v>1385</v>
      </c>
      <c r="G266" s="42" t="s">
        <v>34</v>
      </c>
      <c r="H266" s="44">
        <v>46090</v>
      </c>
      <c r="I266" s="44">
        <v>46098</v>
      </c>
      <c r="J266" s="40" t="s">
        <v>118</v>
      </c>
      <c r="K266" s="40" t="s">
        <v>74</v>
      </c>
      <c r="L266" s="46" t="s">
        <v>93</v>
      </c>
      <c r="M266" s="46" t="s">
        <v>66</v>
      </c>
      <c r="N266" s="46"/>
      <c r="O266" s="45"/>
      <c r="P266" s="46" t="str">
        <f t="shared" si="4"/>
        <v>ONAY</v>
      </c>
      <c r="Q266" s="25" t="s">
        <v>74</v>
      </c>
      <c r="R266" s="47" t="str">
        <f>IF(AND($I266&lt;&gt;"",$I266&gt;=DATE(2026,6,23),COUNTIFS($C:$C,$C266,$I:$I,$I266)&gt;2),"⚠ "&amp;COUNTIFS($C:$C,$C266,$I:$I,$I266)&amp;" BAŞVURU!","")</f>
        <v/>
      </c>
    </row>
    <row r="267" spans="1:18" ht="63" customHeight="1" x14ac:dyDescent="0.25">
      <c r="A267" s="39" t="s">
        <v>1386</v>
      </c>
      <c r="B267" s="39" t="s">
        <v>1387</v>
      </c>
      <c r="C267" s="40" t="s">
        <v>211</v>
      </c>
      <c r="D267" s="40" t="s">
        <v>212</v>
      </c>
      <c r="E267" s="41" t="s">
        <v>1388</v>
      </c>
      <c r="F267" s="41" t="s">
        <v>1389</v>
      </c>
      <c r="G267" s="42" t="s">
        <v>37</v>
      </c>
      <c r="H267" s="44">
        <v>46090</v>
      </c>
      <c r="I267" s="44">
        <v>46098</v>
      </c>
      <c r="J267" s="40" t="s">
        <v>91</v>
      </c>
      <c r="K267" s="40" t="s">
        <v>92</v>
      </c>
      <c r="L267" s="46" t="s">
        <v>93</v>
      </c>
      <c r="M267" s="46" t="s">
        <v>66</v>
      </c>
      <c r="N267" s="46"/>
      <c r="O267" s="45"/>
      <c r="P267" s="46" t="str">
        <f t="shared" si="4"/>
        <v>ONAY</v>
      </c>
      <c r="Q267" s="25" t="s">
        <v>92</v>
      </c>
      <c r="R267" s="47" t="str">
        <f>IF(AND($I267&lt;&gt;"",$I267&gt;=DATE(2026,6,23),COUNTIFS($C:$C,$C267,$I:$I,$I267)&gt;2),"⚠ "&amp;COUNTIFS($C:$C,$C267,$I:$I,$I267)&amp;" BAŞVURU!","")</f>
        <v/>
      </c>
    </row>
    <row r="268" spans="1:18" ht="78.75" customHeight="1" x14ac:dyDescent="0.25">
      <c r="A268" s="39" t="s">
        <v>1390</v>
      </c>
      <c r="B268" s="39" t="s">
        <v>1391</v>
      </c>
      <c r="C268" s="40" t="s">
        <v>1392</v>
      </c>
      <c r="D268" s="40" t="s">
        <v>567</v>
      </c>
      <c r="E268" s="41" t="s">
        <v>1393</v>
      </c>
      <c r="F268" s="41" t="s">
        <v>1394</v>
      </c>
      <c r="G268" s="42" t="s">
        <v>35</v>
      </c>
      <c r="H268" s="44">
        <v>46090</v>
      </c>
      <c r="I268" s="44">
        <v>46098</v>
      </c>
      <c r="J268" s="40" t="s">
        <v>118</v>
      </c>
      <c r="K268" s="40" t="s">
        <v>110</v>
      </c>
      <c r="L268" s="46" t="s">
        <v>93</v>
      </c>
      <c r="M268" s="46" t="s">
        <v>66</v>
      </c>
      <c r="N268" s="46"/>
      <c r="O268" s="45"/>
      <c r="P268" s="46" t="str">
        <f t="shared" si="4"/>
        <v>ONAY</v>
      </c>
      <c r="Q268" s="25" t="s">
        <v>118</v>
      </c>
      <c r="R268" s="47" t="str">
        <f>IF(AND($I268&lt;&gt;"",$I268&gt;=DATE(2026,6,23),COUNTIFS($C:$C,$C268,$I:$I,$I268)&gt;2),"⚠ "&amp;COUNTIFS($C:$C,$C268,$I:$I,$I268)&amp;" BAŞVURU!","")</f>
        <v/>
      </c>
    </row>
    <row r="269" spans="1:18" ht="63" customHeight="1" x14ac:dyDescent="0.25">
      <c r="A269" s="39" t="s">
        <v>1395</v>
      </c>
      <c r="B269" s="39" t="s">
        <v>1396</v>
      </c>
      <c r="C269" s="40" t="s">
        <v>1266</v>
      </c>
      <c r="D269" s="40" t="s">
        <v>442</v>
      </c>
      <c r="E269" s="41" t="s">
        <v>1397</v>
      </c>
      <c r="F269" s="41" t="s">
        <v>1398</v>
      </c>
      <c r="G269" s="42" t="s">
        <v>35</v>
      </c>
      <c r="H269" s="44">
        <v>46090</v>
      </c>
      <c r="I269" s="44">
        <v>46098</v>
      </c>
      <c r="J269" s="40" t="s">
        <v>118</v>
      </c>
      <c r="K269" s="40" t="s">
        <v>110</v>
      </c>
      <c r="L269" s="46" t="s">
        <v>66</v>
      </c>
      <c r="M269" s="46"/>
      <c r="N269" s="46"/>
      <c r="O269" s="45"/>
      <c r="P269" s="46" t="str">
        <f t="shared" si="4"/>
        <v>ONAY</v>
      </c>
      <c r="R269" s="47" t="str">
        <f>IF(AND($I269&lt;&gt;"",$I269&gt;=DATE(2026,6,23),COUNTIFS($C:$C,$C269,$I:$I,$I269)&gt;2),"⚠ "&amp;COUNTIFS($C:$C,$C269,$I:$I,$I269)&amp;" BAŞVURU!","")</f>
        <v/>
      </c>
    </row>
    <row r="270" spans="1:18" ht="78.75" customHeight="1" x14ac:dyDescent="0.25">
      <c r="A270" s="39" t="s">
        <v>1399</v>
      </c>
      <c r="B270" s="39" t="s">
        <v>1400</v>
      </c>
      <c r="C270" s="40" t="s">
        <v>1401</v>
      </c>
      <c r="D270" s="40" t="s">
        <v>234</v>
      </c>
      <c r="E270" s="41" t="s">
        <v>1402</v>
      </c>
      <c r="F270" s="41" t="s">
        <v>1403</v>
      </c>
      <c r="G270" s="42" t="s">
        <v>34</v>
      </c>
      <c r="H270" s="44">
        <v>46090</v>
      </c>
      <c r="I270" s="44">
        <v>46098</v>
      </c>
      <c r="J270" s="40" t="s">
        <v>101</v>
      </c>
      <c r="K270" s="40" t="s">
        <v>65</v>
      </c>
      <c r="L270" s="46" t="s">
        <v>66</v>
      </c>
      <c r="M270" s="46"/>
      <c r="N270" s="46"/>
      <c r="O270" s="45"/>
      <c r="P270" s="46" t="str">
        <f t="shared" si="4"/>
        <v>ONAY</v>
      </c>
      <c r="R270" s="47" t="str">
        <f>IF(AND($I270&lt;&gt;"",$I270&gt;=DATE(2026,6,23),COUNTIFS($C:$C,$C270,$I:$I,$I270)&gt;2),"⚠ "&amp;COUNTIFS($C:$C,$C270,$I:$I,$I270)&amp;" BAŞVURU!","")</f>
        <v/>
      </c>
    </row>
    <row r="271" spans="1:18" ht="78.75" customHeight="1" x14ac:dyDescent="0.25">
      <c r="A271" s="39" t="s">
        <v>1404</v>
      </c>
      <c r="B271" s="39" t="s">
        <v>1405</v>
      </c>
      <c r="C271" s="40" t="s">
        <v>1406</v>
      </c>
      <c r="D271" s="40" t="s">
        <v>234</v>
      </c>
      <c r="E271" s="41" t="s">
        <v>1407</v>
      </c>
      <c r="F271" s="41" t="s">
        <v>1408</v>
      </c>
      <c r="G271" s="42" t="s">
        <v>34</v>
      </c>
      <c r="H271" s="44">
        <v>46090</v>
      </c>
      <c r="I271" s="44">
        <v>46098</v>
      </c>
      <c r="J271" s="40" t="s">
        <v>64</v>
      </c>
      <c r="K271" s="40" t="s">
        <v>125</v>
      </c>
      <c r="L271" s="46" t="s">
        <v>66</v>
      </c>
      <c r="M271" s="46"/>
      <c r="N271" s="46"/>
      <c r="O271" s="45"/>
      <c r="P271" s="46" t="str">
        <f t="shared" si="4"/>
        <v>ONAY</v>
      </c>
      <c r="R271" s="47" t="str">
        <f>IF(AND($I271&lt;&gt;"",$I271&gt;=DATE(2026,6,23),COUNTIFS($C:$C,$C271,$I:$I,$I271)&gt;2),"⚠ "&amp;COUNTIFS($C:$C,$C271,$I:$I,$I271)&amp;" BAŞVURU!","")</f>
        <v/>
      </c>
    </row>
    <row r="272" spans="1:18" ht="110.25" customHeight="1" x14ac:dyDescent="0.25">
      <c r="A272" s="39" t="s">
        <v>1409</v>
      </c>
      <c r="B272" s="39" t="s">
        <v>1410</v>
      </c>
      <c r="C272" s="40" t="s">
        <v>1406</v>
      </c>
      <c r="D272" s="40" t="s">
        <v>234</v>
      </c>
      <c r="E272" s="41" t="s">
        <v>1411</v>
      </c>
      <c r="F272" s="41" t="s">
        <v>1412</v>
      </c>
      <c r="G272" s="42" t="s">
        <v>34</v>
      </c>
      <c r="H272" s="44">
        <v>46090</v>
      </c>
      <c r="I272" s="44">
        <v>46098</v>
      </c>
      <c r="J272" s="40" t="s">
        <v>64</v>
      </c>
      <c r="K272" s="40" t="s">
        <v>101</v>
      </c>
      <c r="L272" s="46" t="s">
        <v>66</v>
      </c>
      <c r="M272" s="46"/>
      <c r="N272" s="46"/>
      <c r="O272" s="45"/>
      <c r="P272" s="46" t="str">
        <f t="shared" si="4"/>
        <v>ONAY</v>
      </c>
      <c r="R272" s="47" t="str">
        <f>IF(AND($I272&lt;&gt;"",$I272&gt;=DATE(2026,6,23),COUNTIFS($C:$C,$C272,$I:$I,$I272)&gt;2),"⚠ "&amp;COUNTIFS($C:$C,$C272,$I:$I,$I272)&amp;" BAŞVURU!","")</f>
        <v/>
      </c>
    </row>
    <row r="273" spans="1:18" ht="82.5" customHeight="1" x14ac:dyDescent="0.25">
      <c r="A273" s="39" t="s">
        <v>1413</v>
      </c>
      <c r="B273" s="39" t="s">
        <v>1414</v>
      </c>
      <c r="C273" s="40" t="s">
        <v>310</v>
      </c>
      <c r="D273" s="40" t="s">
        <v>234</v>
      </c>
      <c r="E273" s="41" t="s">
        <v>1415</v>
      </c>
      <c r="F273" s="41" t="s">
        <v>1416</v>
      </c>
      <c r="G273" s="42" t="s">
        <v>34</v>
      </c>
      <c r="H273" s="44">
        <v>46090</v>
      </c>
      <c r="I273" s="44">
        <v>46098</v>
      </c>
      <c r="J273" s="40" t="s">
        <v>65</v>
      </c>
      <c r="K273" s="40" t="s">
        <v>83</v>
      </c>
      <c r="L273" s="46" t="s">
        <v>66</v>
      </c>
      <c r="M273" s="46"/>
      <c r="N273" s="46"/>
      <c r="O273" s="45"/>
      <c r="P273" s="46" t="str">
        <f t="shared" si="4"/>
        <v>ONAY</v>
      </c>
      <c r="R273" s="47" t="str">
        <f>IF(AND($I273&lt;&gt;"",$I273&gt;=DATE(2026,6,23),COUNTIFS($C:$C,$C273,$I:$I,$I273)&gt;2),"⚠ "&amp;COUNTIFS($C:$C,$C273,$I:$I,$I273)&amp;" BAŞVURU!","")</f>
        <v/>
      </c>
    </row>
    <row r="274" spans="1:18" ht="63" customHeight="1" x14ac:dyDescent="0.25">
      <c r="A274" s="39" t="s">
        <v>1417</v>
      </c>
      <c r="B274" s="39" t="s">
        <v>1418</v>
      </c>
      <c r="C274" s="40" t="s">
        <v>1380</v>
      </c>
      <c r="D274" s="40" t="s">
        <v>107</v>
      </c>
      <c r="E274" s="41" t="s">
        <v>1419</v>
      </c>
      <c r="F274" s="41" t="s">
        <v>1420</v>
      </c>
      <c r="G274" s="42" t="s">
        <v>34</v>
      </c>
      <c r="H274" s="44">
        <v>46094</v>
      </c>
      <c r="I274" s="44">
        <v>46112</v>
      </c>
      <c r="J274" s="40" t="s">
        <v>110</v>
      </c>
      <c r="K274" s="40" t="s">
        <v>74</v>
      </c>
      <c r="L274" s="46" t="s">
        <v>93</v>
      </c>
      <c r="M274" s="46"/>
      <c r="N274" s="46"/>
      <c r="O274" s="45"/>
      <c r="P274" s="46" t="str">
        <f t="shared" si="4"/>
        <v>DÜZELTME</v>
      </c>
      <c r="R274" s="47" t="str">
        <f>IF(AND($I274&lt;&gt;"",$I274&gt;=DATE(2026,6,23),COUNTIFS($C:$C,$C274,$I:$I,$I274)&gt;2),"⚠ "&amp;COUNTIFS($C:$C,$C274,$I:$I,$I274)&amp;" BAŞVURU!","")</f>
        <v/>
      </c>
    </row>
    <row r="275" spans="1:18" ht="78.75" customHeight="1" x14ac:dyDescent="0.25">
      <c r="A275" s="39" t="s">
        <v>1421</v>
      </c>
      <c r="B275" s="39" t="s">
        <v>1422</v>
      </c>
      <c r="C275" s="40" t="s">
        <v>65</v>
      </c>
      <c r="D275" s="40" t="s">
        <v>234</v>
      </c>
      <c r="E275" s="41" t="s">
        <v>1423</v>
      </c>
      <c r="F275" s="41" t="s">
        <v>1424</v>
      </c>
      <c r="G275" s="42" t="s">
        <v>34</v>
      </c>
      <c r="H275" s="44">
        <v>46094</v>
      </c>
      <c r="I275" s="44">
        <v>46112</v>
      </c>
      <c r="J275" s="40" t="s">
        <v>82</v>
      </c>
      <c r="K275" s="40" t="s">
        <v>91</v>
      </c>
      <c r="L275" s="46" t="s">
        <v>93</v>
      </c>
      <c r="M275" s="46" t="s">
        <v>93</v>
      </c>
      <c r="N275" s="46" t="s">
        <v>66</v>
      </c>
      <c r="O275" s="45"/>
      <c r="P275" s="46" t="str">
        <f t="shared" si="4"/>
        <v>ONAY</v>
      </c>
      <c r="Q275" s="25" t="s">
        <v>82</v>
      </c>
      <c r="R275" s="47" t="str">
        <f>IF(AND($I275&lt;&gt;"",$I275&gt;=DATE(2026,6,23),COUNTIFS($C:$C,$C275,$I:$I,$I275)&gt;2),"⚠ "&amp;COUNTIFS($C:$C,$C275,$I:$I,$I275)&amp;" BAŞVURU!","")</f>
        <v/>
      </c>
    </row>
    <row r="276" spans="1:18" ht="96" customHeight="1" x14ac:dyDescent="0.25">
      <c r="A276" s="39" t="s">
        <v>1425</v>
      </c>
      <c r="B276" s="39" t="s">
        <v>1426</v>
      </c>
      <c r="C276" s="40" t="s">
        <v>386</v>
      </c>
      <c r="D276" s="40" t="s">
        <v>241</v>
      </c>
      <c r="E276" s="41" t="s">
        <v>1427</v>
      </c>
      <c r="F276" s="41" t="s">
        <v>1428</v>
      </c>
      <c r="G276" s="42" t="s">
        <v>34</v>
      </c>
      <c r="H276" s="44">
        <v>46094</v>
      </c>
      <c r="I276" s="44">
        <v>46112</v>
      </c>
      <c r="J276" s="40" t="s">
        <v>82</v>
      </c>
      <c r="K276" s="40" t="s">
        <v>74</v>
      </c>
      <c r="L276" s="46" t="s">
        <v>93</v>
      </c>
      <c r="M276" s="46" t="s">
        <v>66</v>
      </c>
      <c r="N276" s="46"/>
      <c r="O276" s="45"/>
      <c r="P276" s="46" t="str">
        <f t="shared" si="4"/>
        <v>ONAY</v>
      </c>
      <c r="Q276" s="25" t="s">
        <v>82</v>
      </c>
      <c r="R276" s="47" t="str">
        <f>IF(AND($I276&lt;&gt;"",$I276&gt;=DATE(2026,6,23),COUNTIFS($C:$C,$C276,$I:$I,$I276)&gt;2),"⚠ "&amp;COUNTIFS($C:$C,$C276,$I:$I,$I276)&amp;" BAŞVURU!","")</f>
        <v/>
      </c>
    </row>
    <row r="277" spans="1:18" ht="63" customHeight="1" x14ac:dyDescent="0.25">
      <c r="A277" s="39" t="s">
        <v>1429</v>
      </c>
      <c r="B277" s="39" t="s">
        <v>1430</v>
      </c>
      <c r="C277" s="40" t="s">
        <v>1431</v>
      </c>
      <c r="D277" s="40" t="s">
        <v>150</v>
      </c>
      <c r="E277" s="41" t="s">
        <v>1432</v>
      </c>
      <c r="F277" s="41" t="s">
        <v>1433</v>
      </c>
      <c r="G277" s="42" t="s">
        <v>35</v>
      </c>
      <c r="H277" s="44">
        <v>46094</v>
      </c>
      <c r="I277" s="44">
        <v>46112</v>
      </c>
      <c r="J277" s="40" t="s">
        <v>65</v>
      </c>
      <c r="K277" s="40" t="s">
        <v>83</v>
      </c>
      <c r="L277" s="46" t="s">
        <v>153</v>
      </c>
      <c r="M277" s="46"/>
      <c r="N277" s="46"/>
      <c r="O277" s="45"/>
      <c r="P277" s="46" t="str">
        <f t="shared" si="4"/>
        <v>KAPSAM DIŞI</v>
      </c>
      <c r="R277" s="47" t="str">
        <f>IF(AND($I277&lt;&gt;"",$I277&gt;=DATE(2026,6,23),COUNTIFS($C:$C,$C277,$I:$I,$I277)&gt;2),"⚠ "&amp;COUNTIFS($C:$C,$C277,$I:$I,$I277)&amp;" BAŞVURU!","")</f>
        <v/>
      </c>
    </row>
    <row r="278" spans="1:18" ht="78.75" customHeight="1" x14ac:dyDescent="0.25">
      <c r="A278" s="39" t="s">
        <v>1434</v>
      </c>
      <c r="B278" s="39" t="s">
        <v>1435</v>
      </c>
      <c r="C278" s="40" t="s">
        <v>1436</v>
      </c>
      <c r="D278" s="40" t="s">
        <v>79</v>
      </c>
      <c r="E278" s="41" t="s">
        <v>1437</v>
      </c>
      <c r="F278" s="41" t="s">
        <v>1438</v>
      </c>
      <c r="G278" s="42" t="s">
        <v>34</v>
      </c>
      <c r="H278" s="44">
        <v>46094</v>
      </c>
      <c r="I278" s="44">
        <v>46112</v>
      </c>
      <c r="J278" s="40" t="s">
        <v>83</v>
      </c>
      <c r="K278" s="40" t="s">
        <v>102</v>
      </c>
      <c r="L278" s="46" t="s">
        <v>93</v>
      </c>
      <c r="M278" s="46" t="s">
        <v>66</v>
      </c>
      <c r="N278" s="46"/>
      <c r="O278" s="45"/>
      <c r="P278" s="46" t="str">
        <f t="shared" si="4"/>
        <v>ONAY</v>
      </c>
      <c r="Q278" s="25" t="s">
        <v>102</v>
      </c>
      <c r="R278" s="47" t="str">
        <f>IF(AND($I278&lt;&gt;"",$I278&gt;=DATE(2026,6,23),COUNTIFS($C:$C,$C278,$I:$I,$I278)&gt;2),"⚠ "&amp;COUNTIFS($C:$C,$C278,$I:$I,$I278)&amp;" BAŞVURU!","")</f>
        <v/>
      </c>
    </row>
    <row r="279" spans="1:18" ht="78.75" customHeight="1" x14ac:dyDescent="0.25">
      <c r="A279" s="39" t="s">
        <v>1439</v>
      </c>
      <c r="B279" s="39" t="s">
        <v>1440</v>
      </c>
      <c r="C279" s="40" t="s">
        <v>1441</v>
      </c>
      <c r="D279" s="40" t="s">
        <v>234</v>
      </c>
      <c r="E279" s="41" t="s">
        <v>1442</v>
      </c>
      <c r="F279" s="41" t="s">
        <v>1443</v>
      </c>
      <c r="G279" s="42" t="s">
        <v>34</v>
      </c>
      <c r="H279" s="44">
        <v>46094</v>
      </c>
      <c r="I279" s="44">
        <v>46112</v>
      </c>
      <c r="J279" s="40" t="s">
        <v>65</v>
      </c>
      <c r="K279" s="40" t="s">
        <v>74</v>
      </c>
      <c r="L279" s="46" t="s">
        <v>66</v>
      </c>
      <c r="M279" s="46"/>
      <c r="N279" s="46"/>
      <c r="O279" s="45"/>
      <c r="P279" s="46" t="str">
        <f t="shared" si="4"/>
        <v>ONAY</v>
      </c>
      <c r="R279" s="47" t="str">
        <f>IF(AND($I279&lt;&gt;"",$I279&gt;=DATE(2026,6,23),COUNTIFS($C:$C,$C279,$I:$I,$I279)&gt;2),"⚠ "&amp;COUNTIFS($C:$C,$C279,$I:$I,$I279)&amp;" BAŞVURU!","")</f>
        <v/>
      </c>
    </row>
    <row r="280" spans="1:18" ht="94.5" customHeight="1" x14ac:dyDescent="0.25">
      <c r="A280" s="39" t="s">
        <v>1444</v>
      </c>
      <c r="B280" s="39" t="s">
        <v>1445</v>
      </c>
      <c r="C280" s="40" t="s">
        <v>323</v>
      </c>
      <c r="D280" s="40" t="s">
        <v>324</v>
      </c>
      <c r="E280" s="41" t="s">
        <v>1446</v>
      </c>
      <c r="F280" s="41" t="s">
        <v>1447</v>
      </c>
      <c r="G280" s="42" t="s">
        <v>34</v>
      </c>
      <c r="H280" s="44">
        <v>46094</v>
      </c>
      <c r="I280" s="44">
        <v>46112</v>
      </c>
      <c r="J280" s="40" t="s">
        <v>118</v>
      </c>
      <c r="K280" s="40" t="s">
        <v>91</v>
      </c>
      <c r="L280" s="46" t="s">
        <v>229</v>
      </c>
      <c r="M280" s="46"/>
      <c r="N280" s="46"/>
      <c r="O280" s="45"/>
      <c r="P280" s="46" t="str">
        <f t="shared" si="4"/>
        <v>KAEK</v>
      </c>
      <c r="R280" s="47" t="str">
        <f>IF(AND($I280&lt;&gt;"",$I280&gt;=DATE(2026,6,23),COUNTIFS($C:$C,$C280,$I:$I,$I280)&gt;2),"⚠ "&amp;COUNTIFS($C:$C,$C280,$I:$I,$I280)&amp;" BAŞVURU!","")</f>
        <v/>
      </c>
    </row>
    <row r="281" spans="1:18" ht="78.75" customHeight="1" x14ac:dyDescent="0.25">
      <c r="A281" s="39" t="s">
        <v>1448</v>
      </c>
      <c r="B281" s="39" t="s">
        <v>1449</v>
      </c>
      <c r="C281" s="40" t="s">
        <v>1120</v>
      </c>
      <c r="D281" s="40" t="s">
        <v>212</v>
      </c>
      <c r="E281" s="41" t="s">
        <v>1450</v>
      </c>
      <c r="F281" s="41" t="s">
        <v>1451</v>
      </c>
      <c r="G281" s="42" t="s">
        <v>37</v>
      </c>
      <c r="H281" s="44">
        <v>46094</v>
      </c>
      <c r="I281" s="44">
        <v>46112</v>
      </c>
      <c r="J281" s="40" t="s">
        <v>91</v>
      </c>
      <c r="K281" s="40" t="s">
        <v>92</v>
      </c>
      <c r="L281" s="46" t="s">
        <v>93</v>
      </c>
      <c r="M281" s="46" t="s">
        <v>66</v>
      </c>
      <c r="N281" s="46"/>
      <c r="O281" s="45"/>
      <c r="P281" s="46" t="str">
        <f t="shared" si="4"/>
        <v>ONAY</v>
      </c>
      <c r="Q281" s="25" t="s">
        <v>91</v>
      </c>
      <c r="R281" s="47" t="str">
        <f>IF(AND($I281&lt;&gt;"",$I281&gt;=DATE(2026,6,23),COUNTIFS($C:$C,$C281,$I:$I,$I281)&gt;2),"⚠ "&amp;COUNTIFS($C:$C,$C281,$I:$I,$I281)&amp;" BAŞVURU!","")</f>
        <v/>
      </c>
    </row>
    <row r="282" spans="1:18" ht="47.25" customHeight="1" x14ac:dyDescent="0.25">
      <c r="A282" s="39" t="s">
        <v>1452</v>
      </c>
      <c r="B282" s="39" t="s">
        <v>1453</v>
      </c>
      <c r="C282" s="40" t="s">
        <v>1454</v>
      </c>
      <c r="D282" s="40" t="s">
        <v>994</v>
      </c>
      <c r="E282" s="41" t="s">
        <v>1455</v>
      </c>
      <c r="F282" s="41" t="s">
        <v>1456</v>
      </c>
      <c r="G282" s="42" t="s">
        <v>35</v>
      </c>
      <c r="H282" s="44">
        <v>46094</v>
      </c>
      <c r="I282" s="44">
        <v>46112</v>
      </c>
      <c r="J282" s="40" t="s">
        <v>118</v>
      </c>
      <c r="K282" s="40" t="s">
        <v>74</v>
      </c>
      <c r="L282" s="46" t="s">
        <v>93</v>
      </c>
      <c r="M282" s="46" t="s">
        <v>66</v>
      </c>
      <c r="N282" s="46"/>
      <c r="O282" s="45"/>
      <c r="P282" s="46" t="str">
        <f t="shared" si="4"/>
        <v>ONAY</v>
      </c>
      <c r="Q282" s="25" t="s">
        <v>74</v>
      </c>
      <c r="R282" s="47" t="str">
        <f>IF(AND($I282&lt;&gt;"",$I282&gt;=DATE(2026,6,23),COUNTIFS($C:$C,$C282,$I:$I,$I282)&gt;2),"⚠ "&amp;COUNTIFS($C:$C,$C282,$I:$I,$I282)&amp;" BAŞVURU!","")</f>
        <v/>
      </c>
    </row>
    <row r="283" spans="1:18" ht="47.25" customHeight="1" x14ac:dyDescent="0.25">
      <c r="A283" s="39" t="s">
        <v>1457</v>
      </c>
      <c r="B283" s="39" t="s">
        <v>1458</v>
      </c>
      <c r="C283" s="40" t="s">
        <v>1459</v>
      </c>
      <c r="D283" s="40" t="s">
        <v>107</v>
      </c>
      <c r="E283" s="41" t="s">
        <v>1460</v>
      </c>
      <c r="F283" s="41" t="s">
        <v>1461</v>
      </c>
      <c r="G283" s="42" t="s">
        <v>35</v>
      </c>
      <c r="H283" s="44">
        <v>46097</v>
      </c>
      <c r="I283" s="44">
        <v>46112</v>
      </c>
      <c r="J283" s="40" t="s">
        <v>92</v>
      </c>
      <c r="K283" s="40" t="s">
        <v>102</v>
      </c>
      <c r="L283" s="46" t="s">
        <v>93</v>
      </c>
      <c r="M283" s="46" t="s">
        <v>66</v>
      </c>
      <c r="N283" s="46"/>
      <c r="O283" s="45"/>
      <c r="P283" s="46" t="str">
        <f t="shared" si="4"/>
        <v>ONAY</v>
      </c>
      <c r="Q283" s="25" t="s">
        <v>102</v>
      </c>
      <c r="R283" s="47" t="str">
        <f>IF(AND($I283&lt;&gt;"",$I283&gt;=DATE(2026,6,23),COUNTIFS($C:$C,$C283,$I:$I,$I283)&gt;2),"⚠ "&amp;COUNTIFS($C:$C,$C283,$I:$I,$I283)&amp;" BAŞVURU!","")</f>
        <v/>
      </c>
    </row>
    <row r="284" spans="1:18" ht="78.75" customHeight="1" x14ac:dyDescent="0.25">
      <c r="A284" s="39" t="s">
        <v>1462</v>
      </c>
      <c r="B284" s="39" t="s">
        <v>1463</v>
      </c>
      <c r="C284" s="40" t="s">
        <v>179</v>
      </c>
      <c r="D284" s="40" t="s">
        <v>172</v>
      </c>
      <c r="E284" s="41" t="s">
        <v>1464</v>
      </c>
      <c r="F284" s="41" t="s">
        <v>1465</v>
      </c>
      <c r="G284" s="42" t="s">
        <v>34</v>
      </c>
      <c r="H284" s="44">
        <v>46097</v>
      </c>
      <c r="I284" s="44">
        <v>46112</v>
      </c>
      <c r="J284" s="40" t="s">
        <v>64</v>
      </c>
      <c r="K284" s="40" t="s">
        <v>65</v>
      </c>
      <c r="L284" s="46" t="s">
        <v>66</v>
      </c>
      <c r="M284" s="46"/>
      <c r="N284" s="46"/>
      <c r="O284" s="45"/>
      <c r="P284" s="46" t="str">
        <f t="shared" si="4"/>
        <v>ONAY</v>
      </c>
      <c r="R284" s="47" t="str">
        <f>IF(AND($I284&lt;&gt;"",$I284&gt;=DATE(2026,6,23),COUNTIFS($C:$C,$C284,$I:$I,$I284)&gt;2),"⚠ "&amp;COUNTIFS($C:$C,$C284,$I:$I,$I284)&amp;" BAŞVURU!","")</f>
        <v/>
      </c>
    </row>
    <row r="285" spans="1:18" ht="63" customHeight="1" x14ac:dyDescent="0.25">
      <c r="A285" s="39" t="s">
        <v>1466</v>
      </c>
      <c r="B285" s="39" t="s">
        <v>1467</v>
      </c>
      <c r="C285" s="40" t="s">
        <v>1468</v>
      </c>
      <c r="D285" s="40" t="s">
        <v>241</v>
      </c>
      <c r="E285" s="41" t="s">
        <v>1469</v>
      </c>
      <c r="F285" s="41" t="s">
        <v>1470</v>
      </c>
      <c r="G285" s="42" t="s">
        <v>34</v>
      </c>
      <c r="H285" s="44">
        <v>46097</v>
      </c>
      <c r="I285" s="44">
        <v>46112</v>
      </c>
      <c r="J285" s="40" t="s">
        <v>64</v>
      </c>
      <c r="K285" s="40" t="s">
        <v>118</v>
      </c>
      <c r="L285" s="46" t="s">
        <v>175</v>
      </c>
      <c r="M285" s="46" t="s">
        <v>66</v>
      </c>
      <c r="N285" s="46"/>
      <c r="O285" s="45"/>
      <c r="P285" s="46" t="str">
        <f t="shared" si="4"/>
        <v>ONAY</v>
      </c>
      <c r="R285" s="47" t="str">
        <f>IF(AND($I285&lt;&gt;"",$I285&gt;=DATE(2026,6,23),COUNTIFS($C:$C,$C285,$I:$I,$I285)&gt;2),"⚠ "&amp;COUNTIFS($C:$C,$C285,$I:$I,$I285)&amp;" BAŞVURU!","")</f>
        <v/>
      </c>
    </row>
    <row r="286" spans="1:18" ht="47.25" customHeight="1" x14ac:dyDescent="0.25">
      <c r="A286" s="39" t="s">
        <v>1471</v>
      </c>
      <c r="B286" s="39" t="s">
        <v>1472</v>
      </c>
      <c r="C286" s="40" t="s">
        <v>517</v>
      </c>
      <c r="D286" s="40" t="s">
        <v>324</v>
      </c>
      <c r="E286" s="41" t="s">
        <v>1473</v>
      </c>
      <c r="F286" s="41" t="s">
        <v>1474</v>
      </c>
      <c r="G286" s="42" t="s">
        <v>34</v>
      </c>
      <c r="H286" s="44">
        <v>46097</v>
      </c>
      <c r="I286" s="44">
        <v>46112</v>
      </c>
      <c r="J286" s="40" t="s">
        <v>118</v>
      </c>
      <c r="K286" s="40" t="s">
        <v>91</v>
      </c>
      <c r="L286" s="46" t="s">
        <v>66</v>
      </c>
      <c r="M286" s="46"/>
      <c r="N286" s="46"/>
      <c r="O286" s="45"/>
      <c r="P286" s="46" t="str">
        <f t="shared" si="4"/>
        <v>ONAY</v>
      </c>
      <c r="R286" s="47" t="str">
        <f>IF(AND($I286&lt;&gt;"",$I286&gt;=DATE(2026,6,23),COUNTIFS($C:$C,$C286,$I:$I,$I286)&gt;2),"⚠ "&amp;COUNTIFS($C:$C,$C286,$I:$I,$I286)&amp;" BAŞVURU!","")</f>
        <v/>
      </c>
    </row>
    <row r="287" spans="1:18" ht="78.75" customHeight="1" x14ac:dyDescent="0.25">
      <c r="A287" s="39" t="s">
        <v>1475</v>
      </c>
      <c r="B287" s="39" t="s">
        <v>1476</v>
      </c>
      <c r="C287" s="40" t="s">
        <v>179</v>
      </c>
      <c r="D287" s="40" t="s">
        <v>172</v>
      </c>
      <c r="E287" s="41" t="s">
        <v>1477</v>
      </c>
      <c r="F287" s="41" t="s">
        <v>1478</v>
      </c>
      <c r="G287" s="42" t="s">
        <v>34</v>
      </c>
      <c r="H287" s="44">
        <v>46097</v>
      </c>
      <c r="I287" s="44">
        <v>46112</v>
      </c>
      <c r="J287" s="40" t="s">
        <v>64</v>
      </c>
      <c r="K287" s="40" t="s">
        <v>65</v>
      </c>
      <c r="L287" s="46" t="s">
        <v>66</v>
      </c>
      <c r="M287" s="46"/>
      <c r="N287" s="46"/>
      <c r="O287" s="45"/>
      <c r="P287" s="46" t="str">
        <f t="shared" si="4"/>
        <v>ONAY</v>
      </c>
      <c r="R287" s="47" t="str">
        <f>IF(AND($I287&lt;&gt;"",$I287&gt;=DATE(2026,6,23),COUNTIFS($C:$C,$C287,$I:$I,$I287)&gt;2),"⚠ "&amp;COUNTIFS($C:$C,$C287,$I:$I,$I287)&amp;" BAŞVURU!","")</f>
        <v/>
      </c>
    </row>
    <row r="288" spans="1:18" ht="129.75" customHeight="1" x14ac:dyDescent="0.25">
      <c r="A288" s="39" t="s">
        <v>1479</v>
      </c>
      <c r="B288" s="39" t="s">
        <v>1480</v>
      </c>
      <c r="C288" s="40" t="s">
        <v>1481</v>
      </c>
      <c r="D288" s="40" t="s">
        <v>234</v>
      </c>
      <c r="E288" s="41" t="s">
        <v>1482</v>
      </c>
      <c r="F288" s="41" t="s">
        <v>1483</v>
      </c>
      <c r="G288" s="42" t="s">
        <v>34</v>
      </c>
      <c r="H288" s="44">
        <v>46097</v>
      </c>
      <c r="I288" s="44">
        <v>46112</v>
      </c>
      <c r="J288" s="40" t="s">
        <v>102</v>
      </c>
      <c r="K288" s="40" t="s">
        <v>92</v>
      </c>
      <c r="L288" s="46" t="s">
        <v>93</v>
      </c>
      <c r="M288" s="46" t="s">
        <v>66</v>
      </c>
      <c r="N288" s="46"/>
      <c r="O288" s="45"/>
      <c r="P288" s="46" t="str">
        <f t="shared" si="4"/>
        <v>ONAY</v>
      </c>
      <c r="Q288" s="25" t="s">
        <v>102</v>
      </c>
      <c r="R288" s="47" t="str">
        <f>IF(AND($I288&lt;&gt;"",$I288&gt;=DATE(2026,6,23),COUNTIFS($C:$C,$C288,$I:$I,$I288)&gt;2),"⚠ "&amp;COUNTIFS($C:$C,$C288,$I:$I,$I288)&amp;" BAŞVURU!","")</f>
        <v/>
      </c>
    </row>
    <row r="289" spans="1:18" ht="63" customHeight="1" x14ac:dyDescent="0.25">
      <c r="A289" s="39" t="s">
        <v>1484</v>
      </c>
      <c r="B289" s="39" t="s">
        <v>1485</v>
      </c>
      <c r="C289" s="40" t="s">
        <v>1235</v>
      </c>
      <c r="D289" s="40" t="s">
        <v>234</v>
      </c>
      <c r="E289" s="41" t="s">
        <v>1486</v>
      </c>
      <c r="F289" s="41" t="s">
        <v>1487</v>
      </c>
      <c r="G289" s="42" t="s">
        <v>34</v>
      </c>
      <c r="H289" s="44">
        <v>46097</v>
      </c>
      <c r="I289" s="44">
        <v>46112</v>
      </c>
      <c r="J289" s="40" t="s">
        <v>83</v>
      </c>
      <c r="K289" s="40" t="s">
        <v>74</v>
      </c>
      <c r="L289" s="46" t="s">
        <v>66</v>
      </c>
      <c r="M289" s="46"/>
      <c r="N289" s="46"/>
      <c r="O289" s="45"/>
      <c r="P289" s="46" t="str">
        <f t="shared" si="4"/>
        <v>ONAY</v>
      </c>
      <c r="R289" s="47" t="str">
        <f>IF(AND($I289&lt;&gt;"",$I289&gt;=DATE(2026,6,23),COUNTIFS($C:$C,$C289,$I:$I,$I289)&gt;2),"⚠ "&amp;COUNTIFS($C:$C,$C289,$I:$I,$I289)&amp;" BAŞVURU!","")</f>
        <v/>
      </c>
    </row>
    <row r="290" spans="1:18" ht="63" customHeight="1" x14ac:dyDescent="0.25">
      <c r="A290" s="39" t="s">
        <v>1488</v>
      </c>
      <c r="B290" s="39" t="s">
        <v>1489</v>
      </c>
      <c r="C290" s="40" t="s">
        <v>576</v>
      </c>
      <c r="D290" s="40" t="s">
        <v>200</v>
      </c>
      <c r="E290" s="41" t="s">
        <v>1490</v>
      </c>
      <c r="F290" s="41" t="s">
        <v>1491</v>
      </c>
      <c r="G290" s="42" t="s">
        <v>34</v>
      </c>
      <c r="H290" s="44">
        <v>46097</v>
      </c>
      <c r="I290" s="44">
        <v>46112</v>
      </c>
      <c r="J290" s="40" t="s">
        <v>82</v>
      </c>
      <c r="K290" s="40" t="s">
        <v>110</v>
      </c>
      <c r="L290" s="46" t="s">
        <v>66</v>
      </c>
      <c r="M290" s="46"/>
      <c r="N290" s="46"/>
      <c r="O290" s="45"/>
      <c r="P290" s="46" t="str">
        <f t="shared" si="4"/>
        <v>ONAY</v>
      </c>
      <c r="R290" s="47" t="str">
        <f>IF(AND($I290&lt;&gt;"",$I290&gt;=DATE(2026,6,23),COUNTIFS($C:$C,$C290,$I:$I,$I290)&gt;2),"⚠ "&amp;COUNTIFS($C:$C,$C290,$I:$I,$I290)&amp;" BAŞVURU!","")</f>
        <v/>
      </c>
    </row>
    <row r="291" spans="1:18" ht="78.75" customHeight="1" x14ac:dyDescent="0.25">
      <c r="A291" s="39" t="s">
        <v>1492</v>
      </c>
      <c r="B291" s="39" t="s">
        <v>1493</v>
      </c>
      <c r="C291" s="40" t="s">
        <v>798</v>
      </c>
      <c r="D291" s="40" t="s">
        <v>1494</v>
      </c>
      <c r="E291" s="41" t="s">
        <v>1495</v>
      </c>
      <c r="F291" s="41" t="s">
        <v>1496</v>
      </c>
      <c r="G291" s="42" t="s">
        <v>35</v>
      </c>
      <c r="H291" s="44">
        <v>46097</v>
      </c>
      <c r="I291" s="44">
        <v>46112</v>
      </c>
      <c r="J291" s="40" t="s">
        <v>64</v>
      </c>
      <c r="K291" s="40" t="s">
        <v>82</v>
      </c>
      <c r="L291" s="46" t="s">
        <v>66</v>
      </c>
      <c r="M291" s="46"/>
      <c r="N291" s="46"/>
      <c r="O291" s="45"/>
      <c r="P291" s="46" t="str">
        <f t="shared" si="4"/>
        <v>ONAY</v>
      </c>
      <c r="R291" s="47" t="str">
        <f>IF(AND($I291&lt;&gt;"",$I291&gt;=DATE(2026,6,23),COUNTIFS($C:$C,$C291,$I:$I,$I291)&gt;2),"⚠ "&amp;COUNTIFS($C:$C,$C291,$I:$I,$I291)&amp;" BAŞVURU!","")</f>
        <v/>
      </c>
    </row>
    <row r="292" spans="1:18" ht="63" customHeight="1" x14ac:dyDescent="0.25">
      <c r="A292" s="39" t="s">
        <v>1497</v>
      </c>
      <c r="B292" s="39" t="s">
        <v>1498</v>
      </c>
      <c r="C292" s="40" t="s">
        <v>1499</v>
      </c>
      <c r="D292" s="40" t="s">
        <v>292</v>
      </c>
      <c r="E292" s="41" t="s">
        <v>1500</v>
      </c>
      <c r="F292" s="41" t="s">
        <v>1501</v>
      </c>
      <c r="G292" s="42" t="s">
        <v>34</v>
      </c>
      <c r="H292" s="44">
        <v>46097</v>
      </c>
      <c r="I292" s="44">
        <v>46112</v>
      </c>
      <c r="J292" s="40" t="s">
        <v>83</v>
      </c>
      <c r="K292" s="40" t="s">
        <v>110</v>
      </c>
      <c r="L292" s="46" t="s">
        <v>93</v>
      </c>
      <c r="M292" s="46" t="s">
        <v>66</v>
      </c>
      <c r="N292" s="46"/>
      <c r="O292" s="45"/>
      <c r="P292" s="46" t="str">
        <f t="shared" si="4"/>
        <v>ONAY</v>
      </c>
      <c r="Q292" s="25" t="s">
        <v>110</v>
      </c>
      <c r="R292" s="47" t="str">
        <f>IF(AND($I292&lt;&gt;"",$I292&gt;=DATE(2026,6,23),COUNTIFS($C:$C,$C292,$I:$I,$I292)&gt;2),"⚠ "&amp;COUNTIFS($C:$C,$C292,$I:$I,$I292)&amp;" BAŞVURU!","")</f>
        <v/>
      </c>
    </row>
    <row r="293" spans="1:18" ht="78.75" customHeight="1" x14ac:dyDescent="0.25">
      <c r="A293" s="39" t="s">
        <v>1502</v>
      </c>
      <c r="B293" s="39" t="s">
        <v>1503</v>
      </c>
      <c r="C293" s="40" t="s">
        <v>1504</v>
      </c>
      <c r="D293" s="40" t="s">
        <v>115</v>
      </c>
      <c r="E293" s="41" t="s">
        <v>1505</v>
      </c>
      <c r="F293" s="41" t="s">
        <v>1506</v>
      </c>
      <c r="G293" s="42" t="s">
        <v>34</v>
      </c>
      <c r="H293" s="44">
        <v>46097</v>
      </c>
      <c r="I293" s="44">
        <v>46112</v>
      </c>
      <c r="J293" s="40" t="s">
        <v>118</v>
      </c>
      <c r="K293" s="40" t="s">
        <v>110</v>
      </c>
      <c r="L293" s="46" t="s">
        <v>66</v>
      </c>
      <c r="M293" s="46"/>
      <c r="N293" s="46"/>
      <c r="O293" s="45"/>
      <c r="P293" s="46" t="str">
        <f t="shared" si="4"/>
        <v>ONAY</v>
      </c>
      <c r="R293" s="47" t="str">
        <f>IF(AND($I293&lt;&gt;"",$I293&gt;=DATE(2026,6,23),COUNTIFS($C:$C,$C293,$I:$I,$I293)&gt;2),"⚠ "&amp;COUNTIFS($C:$C,$C293,$I:$I,$I293)&amp;" BAŞVURU!","")</f>
        <v/>
      </c>
    </row>
    <row r="294" spans="1:18" ht="63" customHeight="1" x14ac:dyDescent="0.25">
      <c r="A294" s="39" t="s">
        <v>1507</v>
      </c>
      <c r="B294" s="39" t="s">
        <v>1508</v>
      </c>
      <c r="C294" s="40" t="s">
        <v>1509</v>
      </c>
      <c r="D294" s="40" t="s">
        <v>130</v>
      </c>
      <c r="E294" s="41" t="s">
        <v>1510</v>
      </c>
      <c r="F294" s="41" t="s">
        <v>1511</v>
      </c>
      <c r="G294" s="42" t="s">
        <v>35</v>
      </c>
      <c r="H294" s="44">
        <v>46097</v>
      </c>
      <c r="I294" s="44">
        <v>46112</v>
      </c>
      <c r="J294" s="40" t="s">
        <v>92</v>
      </c>
      <c r="K294" s="40" t="s">
        <v>110</v>
      </c>
      <c r="L294" s="46" t="s">
        <v>93</v>
      </c>
      <c r="M294" s="46" t="s">
        <v>66</v>
      </c>
      <c r="N294" s="46"/>
      <c r="O294" s="45"/>
      <c r="P294" s="46" t="str">
        <f t="shared" si="4"/>
        <v>ONAY</v>
      </c>
      <c r="Q294" s="25" t="s">
        <v>92</v>
      </c>
      <c r="R294" s="47" t="str">
        <f>IF(AND($I294&lt;&gt;"",$I294&gt;=DATE(2026,6,23),COUNTIFS($C:$C,$C294,$I:$I,$I294)&gt;2),"⚠ "&amp;COUNTIFS($C:$C,$C294,$I:$I,$I294)&amp;" BAŞVURU!","")</f>
        <v/>
      </c>
    </row>
    <row r="295" spans="1:18" ht="63" customHeight="1" x14ac:dyDescent="0.25">
      <c r="A295" s="39" t="s">
        <v>1512</v>
      </c>
      <c r="B295" s="39" t="s">
        <v>1513</v>
      </c>
      <c r="C295" s="40" t="s">
        <v>1514</v>
      </c>
      <c r="D295" s="40" t="s">
        <v>241</v>
      </c>
      <c r="E295" s="41" t="s">
        <v>1515</v>
      </c>
      <c r="F295" s="41" t="s">
        <v>1516</v>
      </c>
      <c r="G295" s="42" t="s">
        <v>35</v>
      </c>
      <c r="H295" s="44">
        <v>46097</v>
      </c>
      <c r="I295" s="44">
        <v>46112</v>
      </c>
      <c r="J295" s="40" t="s">
        <v>102</v>
      </c>
      <c r="K295" s="40" t="s">
        <v>82</v>
      </c>
      <c r="L295" s="46" t="s">
        <v>66</v>
      </c>
      <c r="M295" s="46"/>
      <c r="N295" s="46"/>
      <c r="O295" s="45"/>
      <c r="P295" s="46" t="str">
        <f t="shared" si="4"/>
        <v>ONAY</v>
      </c>
      <c r="R295" s="47" t="str">
        <f>IF(AND($I295&lt;&gt;"",$I295&gt;=DATE(2026,6,23),COUNTIFS($C:$C,$C295,$I:$I,$I295)&gt;2),"⚠ "&amp;COUNTIFS($C:$C,$C295,$I:$I,$I295)&amp;" BAŞVURU!","")</f>
        <v/>
      </c>
    </row>
    <row r="296" spans="1:18" ht="94.5" customHeight="1" x14ac:dyDescent="0.25">
      <c r="A296" s="39" t="s">
        <v>1517</v>
      </c>
      <c r="B296" s="39" t="s">
        <v>1518</v>
      </c>
      <c r="C296" s="40" t="s">
        <v>1519</v>
      </c>
      <c r="D296" s="40" t="s">
        <v>1520</v>
      </c>
      <c r="E296" s="41" t="s">
        <v>1521</v>
      </c>
      <c r="F296" s="41" t="s">
        <v>1522</v>
      </c>
      <c r="G296" s="42" t="s">
        <v>35</v>
      </c>
      <c r="H296" s="44">
        <v>46097</v>
      </c>
      <c r="I296" s="44">
        <v>46112</v>
      </c>
      <c r="J296" s="40" t="s">
        <v>110</v>
      </c>
      <c r="K296" s="40" t="s">
        <v>74</v>
      </c>
      <c r="L296" s="46" t="s">
        <v>93</v>
      </c>
      <c r="M296" s="46" t="s">
        <v>66</v>
      </c>
      <c r="N296" s="46"/>
      <c r="O296" s="45"/>
      <c r="P296" s="46" t="str">
        <f t="shared" si="4"/>
        <v>ONAY</v>
      </c>
      <c r="Q296" s="25" t="s">
        <v>110</v>
      </c>
      <c r="R296" s="47" t="str">
        <f>IF(AND($I296&lt;&gt;"",$I296&gt;=DATE(2026,6,23),COUNTIFS($C:$C,$C296,$I:$I,$I296)&gt;2),"⚠ "&amp;COUNTIFS($C:$C,$C296,$I:$I,$I296)&amp;" BAŞVURU!","")</f>
        <v/>
      </c>
    </row>
    <row r="297" spans="1:18" ht="63" customHeight="1" x14ac:dyDescent="0.25">
      <c r="A297" s="39" t="s">
        <v>1523</v>
      </c>
      <c r="B297" s="39" t="s">
        <v>1524</v>
      </c>
      <c r="C297" s="40" t="s">
        <v>1525</v>
      </c>
      <c r="D297" s="40" t="s">
        <v>107</v>
      </c>
      <c r="E297" s="41" t="s">
        <v>1526</v>
      </c>
      <c r="F297" s="41" t="s">
        <v>1527</v>
      </c>
      <c r="G297" s="42" t="s">
        <v>34</v>
      </c>
      <c r="H297" s="44">
        <v>46097</v>
      </c>
      <c r="I297" s="44">
        <v>46112</v>
      </c>
      <c r="J297" s="40" t="s">
        <v>64</v>
      </c>
      <c r="K297" s="40" t="s">
        <v>102</v>
      </c>
      <c r="L297" s="46" t="s">
        <v>93</v>
      </c>
      <c r="M297" s="46" t="s">
        <v>66</v>
      </c>
      <c r="N297" s="46"/>
      <c r="O297" s="45"/>
      <c r="P297" s="46" t="str">
        <f t="shared" si="4"/>
        <v>ONAY</v>
      </c>
      <c r="Q297" s="25" t="s">
        <v>102</v>
      </c>
      <c r="R297" s="47" t="str">
        <f>IF(AND($I297&lt;&gt;"",$I297&gt;=DATE(2026,6,23),COUNTIFS($C:$C,$C297,$I:$I,$I297)&gt;2),"⚠ "&amp;COUNTIFS($C:$C,$C297,$I:$I,$I297)&amp;" BAŞVURU!","")</f>
        <v/>
      </c>
    </row>
    <row r="298" spans="1:18" ht="110.25" customHeight="1" x14ac:dyDescent="0.25">
      <c r="A298" s="39" t="s">
        <v>1528</v>
      </c>
      <c r="B298" s="39" t="s">
        <v>1529</v>
      </c>
      <c r="C298" s="40" t="s">
        <v>1530</v>
      </c>
      <c r="D298" s="40" t="s">
        <v>234</v>
      </c>
      <c r="E298" s="41" t="s">
        <v>1531</v>
      </c>
      <c r="F298" s="41" t="s">
        <v>1532</v>
      </c>
      <c r="G298" s="42" t="s">
        <v>35</v>
      </c>
      <c r="H298" s="44">
        <v>46097</v>
      </c>
      <c r="I298" s="44">
        <v>46112</v>
      </c>
      <c r="J298" s="40" t="s">
        <v>118</v>
      </c>
      <c r="K298" s="40" t="s">
        <v>65</v>
      </c>
      <c r="L298" s="46" t="s">
        <v>66</v>
      </c>
      <c r="M298" s="46"/>
      <c r="N298" s="46"/>
      <c r="O298" s="45"/>
      <c r="P298" s="46" t="str">
        <f t="shared" si="4"/>
        <v>ONAY</v>
      </c>
      <c r="R298" s="47" t="str">
        <f>IF(AND($I298&lt;&gt;"",$I298&gt;=DATE(2026,6,23),COUNTIFS($C:$C,$C298,$I:$I,$I298)&gt;2),"⚠ "&amp;COUNTIFS($C:$C,$C298,$I:$I,$I298)&amp;" BAŞVURU!","")</f>
        <v/>
      </c>
    </row>
    <row r="299" spans="1:18" ht="94.5" customHeight="1" x14ac:dyDescent="0.25">
      <c r="A299" s="39" t="s">
        <v>1533</v>
      </c>
      <c r="B299" s="39" t="s">
        <v>1534</v>
      </c>
      <c r="C299" s="40" t="s">
        <v>1356</v>
      </c>
      <c r="D299" s="40" t="s">
        <v>234</v>
      </c>
      <c r="E299" s="41" t="s">
        <v>1535</v>
      </c>
      <c r="F299" s="41" t="s">
        <v>1536</v>
      </c>
      <c r="G299" s="42" t="s">
        <v>34</v>
      </c>
      <c r="H299" s="44">
        <v>46097</v>
      </c>
      <c r="I299" s="44">
        <v>46112</v>
      </c>
      <c r="J299" s="40" t="s">
        <v>65</v>
      </c>
      <c r="K299" s="40" t="s">
        <v>91</v>
      </c>
      <c r="L299" s="46" t="s">
        <v>66</v>
      </c>
      <c r="M299" s="46"/>
      <c r="N299" s="46"/>
      <c r="O299" s="45"/>
      <c r="P299" s="46" t="str">
        <f t="shared" si="4"/>
        <v>ONAY</v>
      </c>
      <c r="R299" s="47" t="str">
        <f>IF(AND($I299&lt;&gt;"",$I299&gt;=DATE(2026,6,23),COUNTIFS($C:$C,$C299,$I:$I,$I299)&gt;2),"⚠ "&amp;COUNTIFS($C:$C,$C299,$I:$I,$I299)&amp;" BAŞVURU!","")</f>
        <v/>
      </c>
    </row>
    <row r="300" spans="1:18" ht="63" customHeight="1" x14ac:dyDescent="0.25">
      <c r="A300" s="39" t="s">
        <v>1537</v>
      </c>
      <c r="B300" s="39" t="s">
        <v>1538</v>
      </c>
      <c r="C300" s="40" t="s">
        <v>1134</v>
      </c>
      <c r="D300" s="40" t="s">
        <v>994</v>
      </c>
      <c r="E300" s="41" t="s">
        <v>1539</v>
      </c>
      <c r="F300" s="41" t="s">
        <v>1540</v>
      </c>
      <c r="G300" s="42" t="s">
        <v>35</v>
      </c>
      <c r="H300" s="44">
        <v>46097</v>
      </c>
      <c r="I300" s="44">
        <v>46112</v>
      </c>
      <c r="J300" s="40" t="s">
        <v>110</v>
      </c>
      <c r="K300" s="40" t="s">
        <v>74</v>
      </c>
      <c r="L300" s="46" t="s">
        <v>66</v>
      </c>
      <c r="M300" s="46"/>
      <c r="N300" s="46"/>
      <c r="O300" s="45"/>
      <c r="P300" s="46" t="str">
        <f t="shared" si="4"/>
        <v>ONAY</v>
      </c>
      <c r="R300" s="47" t="str">
        <f>IF(AND($I300&lt;&gt;"",$I300&gt;=DATE(2026,6,23),COUNTIFS($C:$C,$C300,$I:$I,$I300)&gt;2),"⚠ "&amp;COUNTIFS($C:$C,$C300,$I:$I,$I300)&amp;" BAŞVURU!","")</f>
        <v/>
      </c>
    </row>
    <row r="301" spans="1:18" ht="63" customHeight="1" x14ac:dyDescent="0.25">
      <c r="A301" s="39" t="s">
        <v>1541</v>
      </c>
      <c r="B301" s="39" t="s">
        <v>1542</v>
      </c>
      <c r="C301" s="40" t="s">
        <v>106</v>
      </c>
      <c r="D301" s="40" t="s">
        <v>107</v>
      </c>
      <c r="E301" s="41" t="s">
        <v>1543</v>
      </c>
      <c r="F301" s="41" t="s">
        <v>1544</v>
      </c>
      <c r="G301" s="42" t="s">
        <v>34</v>
      </c>
      <c r="H301" s="44">
        <v>46097</v>
      </c>
      <c r="I301" s="44">
        <v>46112</v>
      </c>
      <c r="J301" s="40" t="s">
        <v>102</v>
      </c>
      <c r="K301" s="40" t="s">
        <v>83</v>
      </c>
      <c r="L301" s="46" t="s">
        <v>93</v>
      </c>
      <c r="M301" s="46"/>
      <c r="N301" s="46"/>
      <c r="O301" s="45"/>
      <c r="P301" s="46" t="str">
        <f t="shared" si="4"/>
        <v>DÜZELTME</v>
      </c>
      <c r="R301" s="47" t="str">
        <f>IF(AND($I301&lt;&gt;"",$I301&gt;=DATE(2026,6,23),COUNTIFS($C:$C,$C301,$I:$I,$I301)&gt;2),"⚠ "&amp;COUNTIFS($C:$C,$C301,$I:$I,$I301)&amp;" BAŞVURU!","")</f>
        <v/>
      </c>
    </row>
    <row r="302" spans="1:18" ht="78.75" customHeight="1" x14ac:dyDescent="0.25">
      <c r="A302" s="39" t="s">
        <v>1545</v>
      </c>
      <c r="B302" s="39" t="s">
        <v>1546</v>
      </c>
      <c r="C302" s="40" t="s">
        <v>1441</v>
      </c>
      <c r="D302" s="40" t="s">
        <v>234</v>
      </c>
      <c r="E302" s="41" t="s">
        <v>1547</v>
      </c>
      <c r="F302" s="41" t="s">
        <v>1548</v>
      </c>
      <c r="G302" s="42" t="s">
        <v>34</v>
      </c>
      <c r="H302" s="44">
        <v>46098</v>
      </c>
      <c r="I302" s="44">
        <v>46112</v>
      </c>
      <c r="J302" s="40" t="s">
        <v>91</v>
      </c>
      <c r="K302" s="40" t="s">
        <v>64</v>
      </c>
      <c r="L302" s="46" t="s">
        <v>93</v>
      </c>
      <c r="M302" s="46"/>
      <c r="N302" s="46"/>
      <c r="O302" s="45"/>
      <c r="P302" s="46" t="str">
        <f t="shared" si="4"/>
        <v>DÜZELTME</v>
      </c>
      <c r="R302" s="47" t="str">
        <f>IF(AND($I302&lt;&gt;"",$I302&gt;=DATE(2026,6,23),COUNTIFS($C:$C,$C302,$I:$I,$I302)&gt;2),"⚠ "&amp;COUNTIFS($C:$C,$C302,$I:$I,$I302)&amp;" BAŞVURU!","")</f>
        <v/>
      </c>
    </row>
    <row r="303" spans="1:18" ht="78.75" customHeight="1" x14ac:dyDescent="0.25">
      <c r="A303" s="39" t="s">
        <v>1549</v>
      </c>
      <c r="B303" s="39" t="s">
        <v>1550</v>
      </c>
      <c r="C303" s="40" t="s">
        <v>1327</v>
      </c>
      <c r="D303" s="40" t="s">
        <v>241</v>
      </c>
      <c r="E303" s="41" t="s">
        <v>1551</v>
      </c>
      <c r="F303" s="41" t="s">
        <v>1552</v>
      </c>
      <c r="G303" s="42" t="s">
        <v>34</v>
      </c>
      <c r="H303" s="44">
        <v>46098</v>
      </c>
      <c r="I303" s="44">
        <v>46112</v>
      </c>
      <c r="J303" s="40" t="s">
        <v>64</v>
      </c>
      <c r="K303" s="40" t="s">
        <v>92</v>
      </c>
      <c r="L303" s="46" t="s">
        <v>66</v>
      </c>
      <c r="M303" s="46"/>
      <c r="N303" s="46"/>
      <c r="O303" s="45"/>
      <c r="P303" s="46" t="str">
        <f t="shared" si="4"/>
        <v>ONAY</v>
      </c>
      <c r="R303" s="47" t="str">
        <f>IF(AND($I303&lt;&gt;"",$I303&gt;=DATE(2026,6,23),COUNTIFS($C:$C,$C303,$I:$I,$I303)&gt;2),"⚠ "&amp;COUNTIFS($C:$C,$C303,$I:$I,$I303)&amp;" BAŞVURU!","")</f>
        <v/>
      </c>
    </row>
    <row r="304" spans="1:18" ht="63" customHeight="1" x14ac:dyDescent="0.25">
      <c r="A304" s="39" t="s">
        <v>1553</v>
      </c>
      <c r="B304" s="39" t="s">
        <v>1554</v>
      </c>
      <c r="C304" s="40" t="s">
        <v>1555</v>
      </c>
      <c r="D304" s="40" t="s">
        <v>248</v>
      </c>
      <c r="E304" s="41" t="s">
        <v>1556</v>
      </c>
      <c r="F304" s="41" t="s">
        <v>1557</v>
      </c>
      <c r="G304" s="42" t="s">
        <v>34</v>
      </c>
      <c r="H304" s="44">
        <v>46098</v>
      </c>
      <c r="I304" s="44">
        <v>46112</v>
      </c>
      <c r="J304" s="40" t="s">
        <v>83</v>
      </c>
      <c r="K304" s="40" t="s">
        <v>118</v>
      </c>
      <c r="L304" s="46" t="s">
        <v>66</v>
      </c>
      <c r="M304" s="46"/>
      <c r="N304" s="46"/>
      <c r="O304" s="45"/>
      <c r="P304" s="46" t="str">
        <f t="shared" si="4"/>
        <v>ONAY</v>
      </c>
      <c r="R304" s="47" t="str">
        <f>IF(AND($I304&lt;&gt;"",$I304&gt;=DATE(2026,6,23),COUNTIFS($C:$C,$C304,$I:$I,$I304)&gt;2),"⚠ "&amp;COUNTIFS($C:$C,$C304,$I:$I,$I304)&amp;" BAŞVURU!","")</f>
        <v/>
      </c>
    </row>
    <row r="305" spans="1:18" ht="78.75" customHeight="1" x14ac:dyDescent="0.25">
      <c r="A305" s="39" t="s">
        <v>1558</v>
      </c>
      <c r="B305" s="39" t="s">
        <v>1559</v>
      </c>
      <c r="C305" s="40" t="s">
        <v>1560</v>
      </c>
      <c r="D305" s="40" t="s">
        <v>107</v>
      </c>
      <c r="E305" s="41" t="s">
        <v>1561</v>
      </c>
      <c r="F305" s="41" t="s">
        <v>1562</v>
      </c>
      <c r="G305" s="42" t="s">
        <v>34</v>
      </c>
      <c r="H305" s="44">
        <v>46098</v>
      </c>
      <c r="I305" s="44">
        <v>46112</v>
      </c>
      <c r="J305" s="40" t="s">
        <v>82</v>
      </c>
      <c r="K305" s="40" t="s">
        <v>110</v>
      </c>
      <c r="L305" s="46" t="s">
        <v>93</v>
      </c>
      <c r="M305" s="46" t="s">
        <v>66</v>
      </c>
      <c r="N305" s="46"/>
      <c r="O305" s="45"/>
      <c r="P305" s="46" t="str">
        <f t="shared" si="4"/>
        <v>ONAY</v>
      </c>
      <c r="Q305" s="25" t="s">
        <v>82</v>
      </c>
      <c r="R305" s="47" t="str">
        <f>IF(AND($I305&lt;&gt;"",$I305&gt;=DATE(2026,6,23),COUNTIFS($C:$C,$C305,$I:$I,$I305)&gt;2),"⚠ "&amp;COUNTIFS($C:$C,$C305,$I:$I,$I305)&amp;" BAŞVURU!","")</f>
        <v/>
      </c>
    </row>
    <row r="306" spans="1:18" ht="78.75" customHeight="1" x14ac:dyDescent="0.25">
      <c r="A306" s="39" t="s">
        <v>1563</v>
      </c>
      <c r="B306" s="39" t="s">
        <v>1564</v>
      </c>
      <c r="C306" s="40" t="s">
        <v>1565</v>
      </c>
      <c r="D306" s="40" t="s">
        <v>304</v>
      </c>
      <c r="E306" s="41" t="s">
        <v>1566</v>
      </c>
      <c r="F306" s="41" t="s">
        <v>1567</v>
      </c>
      <c r="G306" s="42" t="s">
        <v>35</v>
      </c>
      <c r="H306" s="44">
        <v>46098</v>
      </c>
      <c r="I306" s="44">
        <v>46112</v>
      </c>
      <c r="J306" s="40" t="s">
        <v>83</v>
      </c>
      <c r="K306" s="40" t="s">
        <v>65</v>
      </c>
      <c r="L306" s="46" t="s">
        <v>66</v>
      </c>
      <c r="M306" s="46"/>
      <c r="N306" s="46"/>
      <c r="O306" s="45"/>
      <c r="P306" s="46" t="str">
        <f t="shared" si="4"/>
        <v>ONAY</v>
      </c>
      <c r="R306" s="47" t="str">
        <f>IF(AND($I306&lt;&gt;"",$I306&gt;=DATE(2026,6,23),COUNTIFS($C:$C,$C306,$I:$I,$I306)&gt;2),"⚠ "&amp;COUNTIFS($C:$C,$C306,$I:$I,$I306)&amp;" BAŞVURU!","")</f>
        <v/>
      </c>
    </row>
    <row r="307" spans="1:18" ht="81" customHeight="1" x14ac:dyDescent="0.25">
      <c r="A307" s="39" t="s">
        <v>1568</v>
      </c>
      <c r="B307" s="39" t="s">
        <v>1569</v>
      </c>
      <c r="C307" s="40" t="s">
        <v>699</v>
      </c>
      <c r="D307" s="40" t="s">
        <v>375</v>
      </c>
      <c r="E307" s="41" t="s">
        <v>1570</v>
      </c>
      <c r="F307" s="41" t="s">
        <v>1571</v>
      </c>
      <c r="G307" s="42" t="s">
        <v>34</v>
      </c>
      <c r="H307" s="44">
        <v>46098</v>
      </c>
      <c r="I307" s="44">
        <v>46112</v>
      </c>
      <c r="J307" s="40" t="s">
        <v>82</v>
      </c>
      <c r="K307" s="40" t="s">
        <v>102</v>
      </c>
      <c r="L307" s="46" t="s">
        <v>175</v>
      </c>
      <c r="M307" s="46"/>
      <c r="N307" s="46"/>
      <c r="O307" s="45"/>
      <c r="P307" s="46" t="str">
        <f t="shared" si="4"/>
        <v>RET</v>
      </c>
      <c r="R307" s="47" t="str">
        <f>IF(AND($I307&lt;&gt;"",$I307&gt;=DATE(2026,6,23),COUNTIFS($C:$C,$C307,$I:$I,$I307)&gt;2),"⚠ "&amp;COUNTIFS($C:$C,$C307,$I:$I,$I307)&amp;" BAŞVURU!","")</f>
        <v/>
      </c>
    </row>
    <row r="308" spans="1:18" ht="81" customHeight="1" x14ac:dyDescent="0.25">
      <c r="A308" s="39" t="s">
        <v>1572</v>
      </c>
      <c r="B308" s="39" t="s">
        <v>1573</v>
      </c>
      <c r="C308" s="40" t="s">
        <v>699</v>
      </c>
      <c r="D308" s="40" t="s">
        <v>375</v>
      </c>
      <c r="E308" s="41" t="s">
        <v>1570</v>
      </c>
      <c r="F308" s="41" t="s">
        <v>1574</v>
      </c>
      <c r="G308" s="42" t="s">
        <v>34</v>
      </c>
      <c r="H308" s="44">
        <v>46098</v>
      </c>
      <c r="I308" s="44">
        <v>46112</v>
      </c>
      <c r="J308" s="40" t="s">
        <v>82</v>
      </c>
      <c r="K308" s="40" t="s">
        <v>102</v>
      </c>
      <c r="L308" s="46" t="s">
        <v>175</v>
      </c>
      <c r="M308" s="46"/>
      <c r="N308" s="46"/>
      <c r="O308" s="45"/>
      <c r="P308" s="46" t="str">
        <f t="shared" si="4"/>
        <v>RET</v>
      </c>
      <c r="R308" s="47" t="str">
        <f>IF(AND($I308&lt;&gt;"",$I308&gt;=DATE(2026,6,23),COUNTIFS($C:$C,$C308,$I:$I,$I308)&gt;2),"⚠ "&amp;COUNTIFS($C:$C,$C308,$I:$I,$I308)&amp;" BAŞVURU!","")</f>
        <v/>
      </c>
    </row>
    <row r="309" spans="1:18" ht="63" customHeight="1" x14ac:dyDescent="0.25">
      <c r="A309" s="39" t="s">
        <v>1575</v>
      </c>
      <c r="B309" s="39" t="s">
        <v>1576</v>
      </c>
      <c r="C309" s="40" t="s">
        <v>1577</v>
      </c>
      <c r="D309" s="40" t="s">
        <v>1019</v>
      </c>
      <c r="E309" s="41" t="s">
        <v>1578</v>
      </c>
      <c r="F309" s="41" t="s">
        <v>1579</v>
      </c>
      <c r="G309" s="42" t="s">
        <v>34</v>
      </c>
      <c r="H309" s="44">
        <v>46099</v>
      </c>
      <c r="I309" s="44">
        <v>46112</v>
      </c>
      <c r="J309" s="40" t="s">
        <v>118</v>
      </c>
      <c r="K309" s="40" t="s">
        <v>83</v>
      </c>
      <c r="L309" s="46" t="s">
        <v>93</v>
      </c>
      <c r="M309" s="46" t="s">
        <v>215</v>
      </c>
      <c r="N309" s="46"/>
      <c r="O309" s="45"/>
      <c r="P309" s="46" t="str">
        <f t="shared" si="4"/>
        <v>GÖRÜŞ</v>
      </c>
      <c r="R309" s="47" t="str">
        <f>IF(AND($I309&lt;&gt;"",$I309&gt;=DATE(2026,6,23),COUNTIFS($C:$C,$C309,$I:$I,$I309)&gt;2),"⚠ "&amp;COUNTIFS($C:$C,$C309,$I:$I,$I309)&amp;" BAŞVURU!","")</f>
        <v/>
      </c>
    </row>
    <row r="310" spans="1:18" ht="63" customHeight="1" x14ac:dyDescent="0.25">
      <c r="A310" s="39" t="s">
        <v>1580</v>
      </c>
      <c r="B310" s="39" t="s">
        <v>1581</v>
      </c>
      <c r="C310" s="40" t="s">
        <v>1459</v>
      </c>
      <c r="D310" s="40" t="s">
        <v>107</v>
      </c>
      <c r="E310" s="41" t="s">
        <v>1582</v>
      </c>
      <c r="F310" s="41" t="s">
        <v>1583</v>
      </c>
      <c r="G310" s="42" t="s">
        <v>34</v>
      </c>
      <c r="H310" s="44">
        <v>46099</v>
      </c>
      <c r="I310" s="44">
        <v>46112</v>
      </c>
      <c r="J310" s="40" t="s">
        <v>91</v>
      </c>
      <c r="K310" s="40" t="s">
        <v>92</v>
      </c>
      <c r="L310" s="46" t="s">
        <v>66</v>
      </c>
      <c r="M310" s="46"/>
      <c r="N310" s="46"/>
      <c r="O310" s="45"/>
      <c r="P310" s="46" t="str">
        <f t="shared" si="4"/>
        <v>ONAY</v>
      </c>
      <c r="R310" s="47" t="str">
        <f>IF(AND($I310&lt;&gt;"",$I310&gt;=DATE(2026,6,23),COUNTIFS($C:$C,$C310,$I:$I,$I310)&gt;2),"⚠ "&amp;COUNTIFS($C:$C,$C310,$I:$I,$I310)&amp;" BAŞVURU!","")</f>
        <v/>
      </c>
    </row>
    <row r="311" spans="1:18" ht="78.75" customHeight="1" x14ac:dyDescent="0.25">
      <c r="A311" s="39" t="s">
        <v>1584</v>
      </c>
      <c r="B311" s="39" t="s">
        <v>1585</v>
      </c>
      <c r="C311" s="40" t="s">
        <v>1459</v>
      </c>
      <c r="D311" s="40" t="s">
        <v>107</v>
      </c>
      <c r="E311" s="41" t="s">
        <v>1586</v>
      </c>
      <c r="F311" s="41" t="s">
        <v>1587</v>
      </c>
      <c r="G311" s="42" t="s">
        <v>34</v>
      </c>
      <c r="H311" s="44">
        <v>46099</v>
      </c>
      <c r="I311" s="44">
        <v>46112</v>
      </c>
      <c r="J311" s="40" t="s">
        <v>91</v>
      </c>
      <c r="K311" s="40" t="s">
        <v>92</v>
      </c>
      <c r="L311" s="46" t="s">
        <v>66</v>
      </c>
      <c r="M311" s="46"/>
      <c r="N311" s="46"/>
      <c r="O311" s="45"/>
      <c r="P311" s="46" t="str">
        <f t="shared" si="4"/>
        <v>ONAY</v>
      </c>
      <c r="R311" s="47" t="str">
        <f>IF(AND($I311&lt;&gt;"",$I311&gt;=DATE(2026,6,23),COUNTIFS($C:$C,$C311,$I:$I,$I311)&gt;2),"⚠ "&amp;COUNTIFS($C:$C,$C311,$I:$I,$I311)&amp;" BAŞVURU!","")</f>
        <v/>
      </c>
    </row>
    <row r="312" spans="1:18" ht="66" customHeight="1" x14ac:dyDescent="0.25">
      <c r="A312" s="39" t="s">
        <v>1588</v>
      </c>
      <c r="B312" s="39" t="s">
        <v>1589</v>
      </c>
      <c r="C312" s="40" t="s">
        <v>1590</v>
      </c>
      <c r="D312" s="40" t="s">
        <v>353</v>
      </c>
      <c r="E312" s="41" t="s">
        <v>1591</v>
      </c>
      <c r="F312" s="41" t="s">
        <v>1592</v>
      </c>
      <c r="G312" s="42" t="s">
        <v>34</v>
      </c>
      <c r="H312" s="44">
        <v>46099</v>
      </c>
      <c r="I312" s="44">
        <v>46112</v>
      </c>
      <c r="J312" s="40" t="s">
        <v>92</v>
      </c>
      <c r="K312" s="40" t="s">
        <v>74</v>
      </c>
      <c r="L312" s="46" t="s">
        <v>66</v>
      </c>
      <c r="M312" s="46"/>
      <c r="N312" s="46"/>
      <c r="O312" s="45"/>
      <c r="P312" s="46" t="str">
        <f t="shared" si="4"/>
        <v>ONAY</v>
      </c>
      <c r="R312" s="47" t="str">
        <f>IF(AND($I312&lt;&gt;"",$I312&gt;=DATE(2026,6,23),COUNTIFS($C:$C,$C312,$I:$I,$I312)&gt;2),"⚠ "&amp;COUNTIFS($C:$C,$C312,$I:$I,$I312)&amp;" BAŞVURU!","")</f>
        <v/>
      </c>
    </row>
    <row r="313" spans="1:18" ht="63" customHeight="1" x14ac:dyDescent="0.25">
      <c r="A313" s="39" t="s">
        <v>1593</v>
      </c>
      <c r="B313" s="39" t="s">
        <v>1594</v>
      </c>
      <c r="C313" s="40" t="s">
        <v>1595</v>
      </c>
      <c r="D313" s="40" t="s">
        <v>1101</v>
      </c>
      <c r="E313" s="41" t="s">
        <v>1596</v>
      </c>
      <c r="F313" s="54" t="s">
        <v>1597</v>
      </c>
      <c r="G313" s="42" t="s">
        <v>36</v>
      </c>
      <c r="H313" s="44">
        <v>46099</v>
      </c>
      <c r="I313" s="44">
        <v>46112</v>
      </c>
      <c r="J313" s="40" t="s">
        <v>64</v>
      </c>
      <c r="K313" s="40" t="s">
        <v>65</v>
      </c>
      <c r="L313" s="46" t="s">
        <v>93</v>
      </c>
      <c r="M313" s="46" t="s">
        <v>215</v>
      </c>
      <c r="N313" s="46" t="s">
        <v>93</v>
      </c>
      <c r="O313" s="45" t="s">
        <v>66</v>
      </c>
      <c r="P313" s="46" t="str">
        <f t="shared" si="4"/>
        <v>ONAY</v>
      </c>
      <c r="Q313" s="25" t="s">
        <v>102</v>
      </c>
      <c r="R313" s="47" t="str">
        <f>IF(AND($I313&lt;&gt;"",$I313&gt;=DATE(2026,6,23),COUNTIFS($C:$C,$C313,$I:$I,$I313)&gt;2),"⚠ "&amp;COUNTIFS($C:$C,$C313,$I:$I,$I313)&amp;" BAŞVURU!","")</f>
        <v/>
      </c>
    </row>
    <row r="314" spans="1:18" ht="94.5" customHeight="1" x14ac:dyDescent="0.25">
      <c r="A314" s="39" t="s">
        <v>1598</v>
      </c>
      <c r="B314" s="39" t="s">
        <v>1599</v>
      </c>
      <c r="C314" s="40" t="s">
        <v>1459</v>
      </c>
      <c r="D314" s="40" t="s">
        <v>107</v>
      </c>
      <c r="E314" s="41" t="s">
        <v>1600</v>
      </c>
      <c r="F314" s="41" t="s">
        <v>1601</v>
      </c>
      <c r="G314" s="42" t="s">
        <v>34</v>
      </c>
      <c r="H314" s="44">
        <v>46107</v>
      </c>
      <c r="I314" s="44">
        <v>46126</v>
      </c>
      <c r="J314" s="40" t="s">
        <v>110</v>
      </c>
      <c r="K314" s="40" t="s">
        <v>74</v>
      </c>
      <c r="L314" s="46" t="s">
        <v>93</v>
      </c>
      <c r="M314" s="46" t="s">
        <v>66</v>
      </c>
      <c r="N314" s="46"/>
      <c r="O314" s="45"/>
      <c r="P314" s="46" t="str">
        <f t="shared" si="4"/>
        <v>ONAY</v>
      </c>
      <c r="Q314" s="25" t="s">
        <v>74</v>
      </c>
      <c r="R314" s="47" t="str">
        <f>IF(AND($I314&lt;&gt;"",$I314&gt;=DATE(2026,6,23),COUNTIFS($C:$C,$C314,$I:$I,$I314)&gt;2),"⚠ "&amp;COUNTIFS($C:$C,$C314,$I:$I,$I314)&amp;" BAŞVURU!","")</f>
        <v/>
      </c>
    </row>
    <row r="315" spans="1:18" ht="78.75" customHeight="1" x14ac:dyDescent="0.25">
      <c r="A315" s="39" t="s">
        <v>1602</v>
      </c>
      <c r="B315" s="39" t="s">
        <v>1603</v>
      </c>
      <c r="C315" s="40" t="s">
        <v>1459</v>
      </c>
      <c r="D315" s="40" t="s">
        <v>107</v>
      </c>
      <c r="E315" s="41" t="s">
        <v>1604</v>
      </c>
      <c r="F315" s="41" t="s">
        <v>1605</v>
      </c>
      <c r="G315" s="42" t="s">
        <v>34</v>
      </c>
      <c r="H315" s="44">
        <v>46107</v>
      </c>
      <c r="I315" s="44">
        <v>46126</v>
      </c>
      <c r="J315" s="40" t="s">
        <v>110</v>
      </c>
      <c r="K315" s="40" t="s">
        <v>74</v>
      </c>
      <c r="L315" s="46" t="s">
        <v>93</v>
      </c>
      <c r="M315" s="46" t="s">
        <v>66</v>
      </c>
      <c r="N315" s="46"/>
      <c r="O315" s="45"/>
      <c r="P315" s="46" t="str">
        <f t="shared" si="4"/>
        <v>ONAY</v>
      </c>
      <c r="Q315" s="25" t="s">
        <v>110</v>
      </c>
      <c r="R315" s="47" t="str">
        <f>IF(AND($I315&lt;&gt;"",$I315&gt;=DATE(2026,6,23),COUNTIFS($C:$C,$C315,$I:$I,$I315)&gt;2),"⚠ "&amp;COUNTIFS($C:$C,$C315,$I:$I,$I315)&amp;" BAŞVURU!","")</f>
        <v/>
      </c>
    </row>
    <row r="316" spans="1:18" ht="78.75" customHeight="1" x14ac:dyDescent="0.25">
      <c r="A316" s="39" t="s">
        <v>1606</v>
      </c>
      <c r="B316" s="39" t="s">
        <v>1607</v>
      </c>
      <c r="C316" s="40" t="s">
        <v>1225</v>
      </c>
      <c r="D316" s="40" t="s">
        <v>392</v>
      </c>
      <c r="E316" s="41" t="s">
        <v>1608</v>
      </c>
      <c r="F316" s="41" t="s">
        <v>1609</v>
      </c>
      <c r="G316" s="42" t="s">
        <v>35</v>
      </c>
      <c r="H316" s="44">
        <v>46107</v>
      </c>
      <c r="I316" s="44">
        <v>46126</v>
      </c>
      <c r="J316" s="40" t="s">
        <v>101</v>
      </c>
      <c r="K316" s="40" t="s">
        <v>125</v>
      </c>
      <c r="L316" s="46" t="s">
        <v>66</v>
      </c>
      <c r="M316" s="46"/>
      <c r="N316" s="46"/>
      <c r="O316" s="45"/>
      <c r="P316" s="46" t="str">
        <f t="shared" si="4"/>
        <v>ONAY</v>
      </c>
      <c r="R316" s="47" t="str">
        <f>IF(AND($I316&lt;&gt;"",$I316&gt;=DATE(2026,6,23),COUNTIFS($C:$C,$C316,$I:$I,$I316)&gt;2),"⚠ "&amp;COUNTIFS($C:$C,$C316,$I:$I,$I316)&amp;" BAŞVURU!","")</f>
        <v/>
      </c>
    </row>
    <row r="317" spans="1:18" ht="63" customHeight="1" x14ac:dyDescent="0.25">
      <c r="A317" s="39" t="s">
        <v>1610</v>
      </c>
      <c r="B317" s="39" t="s">
        <v>1611</v>
      </c>
      <c r="C317" s="40" t="s">
        <v>1612</v>
      </c>
      <c r="D317" s="40" t="s">
        <v>107</v>
      </c>
      <c r="E317" s="41" t="s">
        <v>1613</v>
      </c>
      <c r="F317" s="41" t="s">
        <v>1614</v>
      </c>
      <c r="G317" s="42" t="s">
        <v>34</v>
      </c>
      <c r="H317" s="44">
        <v>46107</v>
      </c>
      <c r="I317" s="44">
        <v>46126</v>
      </c>
      <c r="J317" s="40" t="s">
        <v>64</v>
      </c>
      <c r="K317" s="40" t="s">
        <v>125</v>
      </c>
      <c r="L317" s="46" t="s">
        <v>215</v>
      </c>
      <c r="M317" s="46" t="s">
        <v>93</v>
      </c>
      <c r="N317" s="46" t="s">
        <v>66</v>
      </c>
      <c r="O317" s="45"/>
      <c r="P317" s="46" t="str">
        <f t="shared" si="4"/>
        <v>ONAY</v>
      </c>
      <c r="Q317" s="25" t="s">
        <v>82</v>
      </c>
      <c r="R317" s="47" t="str">
        <f>IF(AND($I317&lt;&gt;"",$I317&gt;=DATE(2026,6,23),COUNTIFS($C:$C,$C317,$I:$I,$I317)&gt;2),"⚠ "&amp;COUNTIFS($C:$C,$C317,$I:$I,$I317)&amp;" BAŞVURU!","")</f>
        <v/>
      </c>
    </row>
    <row r="318" spans="1:18" ht="78.75" customHeight="1" x14ac:dyDescent="0.25">
      <c r="A318" s="39" t="s">
        <v>1615</v>
      </c>
      <c r="B318" s="39" t="s">
        <v>1616</v>
      </c>
      <c r="C318" s="40" t="s">
        <v>1617</v>
      </c>
      <c r="D318" s="40" t="s">
        <v>369</v>
      </c>
      <c r="E318" s="41" t="s">
        <v>1618</v>
      </c>
      <c r="F318" s="41" t="s">
        <v>1619</v>
      </c>
      <c r="G318" s="42" t="s">
        <v>34</v>
      </c>
      <c r="H318" s="44">
        <v>46107</v>
      </c>
      <c r="I318" s="44">
        <v>46126</v>
      </c>
      <c r="J318" s="40" t="s">
        <v>102</v>
      </c>
      <c r="K318" s="40" t="s">
        <v>118</v>
      </c>
      <c r="L318" s="46" t="s">
        <v>66</v>
      </c>
      <c r="M318" s="46"/>
      <c r="N318" s="46"/>
      <c r="O318" s="45"/>
      <c r="P318" s="46" t="str">
        <f t="shared" si="4"/>
        <v>ONAY</v>
      </c>
      <c r="R318" s="47" t="str">
        <f>IF(AND($I318&lt;&gt;"",$I318&gt;=DATE(2026,6,23),COUNTIFS($C:$C,$C318,$I:$I,$I318)&gt;2),"⚠ "&amp;COUNTIFS($C:$C,$C318,$I:$I,$I318)&amp;" BAŞVURU!","")</f>
        <v/>
      </c>
    </row>
    <row r="319" spans="1:18" ht="78.75" customHeight="1" x14ac:dyDescent="0.25">
      <c r="A319" s="39" t="s">
        <v>1620</v>
      </c>
      <c r="B319" s="39" t="s">
        <v>1621</v>
      </c>
      <c r="C319" s="40" t="s">
        <v>1622</v>
      </c>
      <c r="D319" s="40" t="s">
        <v>1623</v>
      </c>
      <c r="E319" s="41" t="s">
        <v>1624</v>
      </c>
      <c r="F319" s="41" t="s">
        <v>1625</v>
      </c>
      <c r="G319" s="42" t="s">
        <v>35</v>
      </c>
      <c r="H319" s="44">
        <v>46107</v>
      </c>
      <c r="I319" s="44">
        <v>46126</v>
      </c>
      <c r="J319" s="40" t="s">
        <v>118</v>
      </c>
      <c r="K319" s="40" t="s">
        <v>65</v>
      </c>
      <c r="L319" s="46" t="s">
        <v>66</v>
      </c>
      <c r="M319" s="46"/>
      <c r="N319" s="46"/>
      <c r="O319" s="45"/>
      <c r="P319" s="46" t="str">
        <f t="shared" si="4"/>
        <v>ONAY</v>
      </c>
      <c r="R319" s="47" t="str">
        <f>IF(AND($I319&lt;&gt;"",$I319&gt;=DATE(2026,6,23),COUNTIFS($C:$C,$C319,$I:$I,$I319)&gt;2),"⚠ "&amp;COUNTIFS($C:$C,$C319,$I:$I,$I319)&amp;" BAŞVURU!","")</f>
        <v/>
      </c>
    </row>
    <row r="320" spans="1:18" ht="78.75" customHeight="1" x14ac:dyDescent="0.25">
      <c r="A320" s="39" t="s">
        <v>1626</v>
      </c>
      <c r="B320" s="39" t="s">
        <v>1627</v>
      </c>
      <c r="C320" s="40" t="s">
        <v>661</v>
      </c>
      <c r="D320" s="40" t="s">
        <v>241</v>
      </c>
      <c r="E320" s="41" t="s">
        <v>1628</v>
      </c>
      <c r="F320" s="41" t="s">
        <v>1629</v>
      </c>
      <c r="G320" s="42" t="s">
        <v>34</v>
      </c>
      <c r="H320" s="44">
        <v>46107</v>
      </c>
      <c r="I320" s="44">
        <v>46126</v>
      </c>
      <c r="J320" s="40" t="s">
        <v>91</v>
      </c>
      <c r="K320" s="40" t="s">
        <v>92</v>
      </c>
      <c r="L320" s="46" t="s">
        <v>175</v>
      </c>
      <c r="M320" s="46"/>
      <c r="N320" s="46"/>
      <c r="O320" s="45"/>
      <c r="P320" s="46" t="str">
        <f t="shared" si="4"/>
        <v>RET</v>
      </c>
      <c r="R320" s="47" t="str">
        <f>IF(AND($I320&lt;&gt;"",$I320&gt;=DATE(2026,6,23),COUNTIFS($C:$C,$C320,$I:$I,$I320)&gt;2),"⚠ "&amp;COUNTIFS($C:$C,$C320,$I:$I,$I320)&amp;" BAŞVURU!","")</f>
        <v/>
      </c>
    </row>
    <row r="321" spans="1:18" ht="110.25" customHeight="1" x14ac:dyDescent="0.25">
      <c r="A321" s="39" t="s">
        <v>1630</v>
      </c>
      <c r="B321" s="39" t="s">
        <v>1631</v>
      </c>
      <c r="C321" s="40" t="s">
        <v>452</v>
      </c>
      <c r="D321" s="40" t="s">
        <v>392</v>
      </c>
      <c r="E321" s="41" t="s">
        <v>1632</v>
      </c>
      <c r="F321" s="41" t="s">
        <v>1633</v>
      </c>
      <c r="G321" s="42" t="s">
        <v>34</v>
      </c>
      <c r="H321" s="44">
        <v>46107</v>
      </c>
      <c r="I321" s="44">
        <v>46126</v>
      </c>
      <c r="J321" s="40" t="s">
        <v>101</v>
      </c>
      <c r="K321" s="40" t="s">
        <v>83</v>
      </c>
      <c r="L321" s="46" t="s">
        <v>66</v>
      </c>
      <c r="M321" s="46"/>
      <c r="N321" s="46"/>
      <c r="O321" s="45"/>
      <c r="P321" s="46" t="str">
        <f t="shared" si="4"/>
        <v>ONAY</v>
      </c>
      <c r="R321" s="47" t="str">
        <f>IF(AND($I321&lt;&gt;"",$I321&gt;=DATE(2026,6,23),COUNTIFS($C:$C,$C321,$I:$I,$I321)&gt;2),"⚠ "&amp;COUNTIFS($C:$C,$C321,$I:$I,$I321)&amp;" BAŞVURU!","")</f>
        <v/>
      </c>
    </row>
    <row r="322" spans="1:18" ht="110.25" customHeight="1" x14ac:dyDescent="0.25">
      <c r="A322" s="39" t="s">
        <v>1634</v>
      </c>
      <c r="B322" s="39" t="s">
        <v>1635</v>
      </c>
      <c r="C322" s="40" t="s">
        <v>240</v>
      </c>
      <c r="D322" s="40" t="s">
        <v>241</v>
      </c>
      <c r="E322" s="41" t="s">
        <v>1636</v>
      </c>
      <c r="F322" s="41" t="s">
        <v>1637</v>
      </c>
      <c r="G322" s="42" t="s">
        <v>34</v>
      </c>
      <c r="H322" s="44">
        <v>46107</v>
      </c>
      <c r="I322" s="44">
        <v>46126</v>
      </c>
      <c r="J322" s="40" t="s">
        <v>82</v>
      </c>
      <c r="K322" s="40" t="s">
        <v>83</v>
      </c>
      <c r="L322" s="46" t="s">
        <v>66</v>
      </c>
      <c r="M322" s="46"/>
      <c r="N322" s="46"/>
      <c r="O322" s="45"/>
      <c r="P322" s="46" t="str">
        <f t="shared" ref="P322:P385" si="5">IF(O322&lt;&gt;"",O322, IF(N322&lt;&gt;"",N322, IF(M322&lt;&gt;"",M322, L322)))</f>
        <v>ONAY</v>
      </c>
      <c r="R322" s="47" t="str">
        <f>IF(AND($I322&lt;&gt;"",$I322&gt;=DATE(2026,6,23),COUNTIFS($C:$C,$C322,$I:$I,$I322)&gt;2),"⚠ "&amp;COUNTIFS($C:$C,$C322,$I:$I,$I322)&amp;" BAŞVURU!","")</f>
        <v/>
      </c>
    </row>
    <row r="323" spans="1:18" ht="78.75" customHeight="1" x14ac:dyDescent="0.25">
      <c r="A323" s="39" t="s">
        <v>1638</v>
      </c>
      <c r="B323" s="39" t="s">
        <v>1639</v>
      </c>
      <c r="C323" s="40" t="s">
        <v>780</v>
      </c>
      <c r="D323" s="40" t="s">
        <v>107</v>
      </c>
      <c r="E323" s="41" t="s">
        <v>1640</v>
      </c>
      <c r="F323" s="41" t="s">
        <v>1641</v>
      </c>
      <c r="G323" s="42" t="s">
        <v>34</v>
      </c>
      <c r="H323" s="44">
        <v>46107</v>
      </c>
      <c r="I323" s="44">
        <v>46126</v>
      </c>
      <c r="J323" s="40" t="s">
        <v>91</v>
      </c>
      <c r="K323" s="40" t="s">
        <v>102</v>
      </c>
      <c r="L323" s="46" t="s">
        <v>66</v>
      </c>
      <c r="M323" s="46"/>
      <c r="N323" s="46"/>
      <c r="O323" s="45"/>
      <c r="P323" s="46" t="str">
        <f t="shared" si="5"/>
        <v>ONAY</v>
      </c>
      <c r="R323" s="47" t="str">
        <f>IF(AND($I323&lt;&gt;"",$I323&gt;=DATE(2026,6,23),COUNTIFS($C:$C,$C323,$I:$I,$I323)&gt;2),"⚠ "&amp;COUNTIFS($C:$C,$C323,$I:$I,$I323)&amp;" BAŞVURU!","")</f>
        <v/>
      </c>
    </row>
    <row r="324" spans="1:18" ht="63" customHeight="1" x14ac:dyDescent="0.25">
      <c r="A324" s="39" t="s">
        <v>1642</v>
      </c>
      <c r="B324" s="39" t="s">
        <v>1643</v>
      </c>
      <c r="C324" s="40" t="s">
        <v>1134</v>
      </c>
      <c r="D324" s="40" t="s">
        <v>994</v>
      </c>
      <c r="E324" s="41" t="s">
        <v>1644</v>
      </c>
      <c r="F324" s="41" t="s">
        <v>1645</v>
      </c>
      <c r="G324" s="42" t="s">
        <v>34</v>
      </c>
      <c r="H324" s="44">
        <v>46107</v>
      </c>
      <c r="I324" s="44">
        <v>46126</v>
      </c>
      <c r="J324" s="40" t="s">
        <v>102</v>
      </c>
      <c r="K324" s="40" t="s">
        <v>65</v>
      </c>
      <c r="L324" s="46" t="s">
        <v>93</v>
      </c>
      <c r="M324" s="46"/>
      <c r="N324" s="46"/>
      <c r="O324" s="45"/>
      <c r="P324" s="46" t="str">
        <f t="shared" si="5"/>
        <v>DÜZELTME</v>
      </c>
      <c r="R324" s="47" t="str">
        <f>IF(AND($I324&lt;&gt;"",$I324&gt;=DATE(2026,6,23),COUNTIFS($C:$C,$C324,$I:$I,$I324)&gt;2),"⚠ "&amp;COUNTIFS($C:$C,$C324,$I:$I,$I324)&amp;" BAŞVURU!","")</f>
        <v/>
      </c>
    </row>
    <row r="325" spans="1:18" ht="47.25" customHeight="1" x14ac:dyDescent="0.25">
      <c r="A325" s="39" t="s">
        <v>1646</v>
      </c>
      <c r="B325" s="39" t="s">
        <v>1647</v>
      </c>
      <c r="C325" s="40" t="s">
        <v>1612</v>
      </c>
      <c r="D325" s="40" t="s">
        <v>107</v>
      </c>
      <c r="E325" s="41" t="s">
        <v>1648</v>
      </c>
      <c r="F325" s="41" t="s">
        <v>1649</v>
      </c>
      <c r="G325" s="42" t="s">
        <v>34</v>
      </c>
      <c r="H325" s="44">
        <v>46107</v>
      </c>
      <c r="I325" s="44">
        <v>46126</v>
      </c>
      <c r="J325" s="40" t="s">
        <v>92</v>
      </c>
      <c r="K325" s="40" t="s">
        <v>82</v>
      </c>
      <c r="L325" s="46" t="s">
        <v>66</v>
      </c>
      <c r="M325" s="46"/>
      <c r="N325" s="46"/>
      <c r="O325" s="45"/>
      <c r="P325" s="46" t="str">
        <f t="shared" si="5"/>
        <v>ONAY</v>
      </c>
      <c r="R325" s="47" t="str">
        <f>IF(AND($I325&lt;&gt;"",$I325&gt;=DATE(2026,6,23),COUNTIFS($C:$C,$C325,$I:$I,$I325)&gt;2),"⚠ "&amp;COUNTIFS($C:$C,$C325,$I:$I,$I325)&amp;" BAŞVURU!","")</f>
        <v/>
      </c>
    </row>
    <row r="326" spans="1:18" ht="47.25" customHeight="1" x14ac:dyDescent="0.25">
      <c r="A326" s="39" t="s">
        <v>1650</v>
      </c>
      <c r="B326" s="39" t="s">
        <v>1651</v>
      </c>
      <c r="C326" s="40" t="s">
        <v>1652</v>
      </c>
      <c r="D326" s="40" t="s">
        <v>292</v>
      </c>
      <c r="E326" s="41" t="s">
        <v>1653</v>
      </c>
      <c r="F326" s="41" t="s">
        <v>1654</v>
      </c>
      <c r="G326" s="42" t="s">
        <v>34</v>
      </c>
      <c r="H326" s="44">
        <v>46107</v>
      </c>
      <c r="I326" s="44">
        <v>46126</v>
      </c>
      <c r="J326" s="40" t="s">
        <v>91</v>
      </c>
      <c r="K326" s="40" t="s">
        <v>74</v>
      </c>
      <c r="L326" s="46" t="s">
        <v>66</v>
      </c>
      <c r="M326" s="46"/>
      <c r="N326" s="46"/>
      <c r="O326" s="45"/>
      <c r="P326" s="46" t="str">
        <f t="shared" si="5"/>
        <v>ONAY</v>
      </c>
      <c r="R326" s="47" t="str">
        <f>IF(AND($I326&lt;&gt;"",$I326&gt;=DATE(2026,6,23),COUNTIFS($C:$C,$C326,$I:$I,$I326)&gt;2),"⚠ "&amp;COUNTIFS($C:$C,$C326,$I:$I,$I326)&amp;" BAŞVURU!","")</f>
        <v/>
      </c>
    </row>
    <row r="327" spans="1:18" ht="63" customHeight="1" x14ac:dyDescent="0.25">
      <c r="A327" s="39" t="s">
        <v>1655</v>
      </c>
      <c r="B327" s="39" t="s">
        <v>1656</v>
      </c>
      <c r="C327" s="40" t="s">
        <v>418</v>
      </c>
      <c r="D327" s="40" t="s">
        <v>419</v>
      </c>
      <c r="E327" s="41" t="s">
        <v>1657</v>
      </c>
      <c r="F327" s="41" t="s">
        <v>1658</v>
      </c>
      <c r="G327" s="42" t="s">
        <v>34</v>
      </c>
      <c r="H327" s="44">
        <v>46107</v>
      </c>
      <c r="I327" s="44">
        <v>46126</v>
      </c>
      <c r="J327" s="40" t="s">
        <v>82</v>
      </c>
      <c r="K327" s="40" t="s">
        <v>91</v>
      </c>
      <c r="L327" s="46" t="s">
        <v>93</v>
      </c>
      <c r="M327" s="46"/>
      <c r="N327" s="46"/>
      <c r="O327" s="45"/>
      <c r="P327" s="46" t="str">
        <f t="shared" si="5"/>
        <v>DÜZELTME</v>
      </c>
      <c r="R327" s="47" t="str">
        <f>IF(AND($I327&lt;&gt;"",$I327&gt;=DATE(2026,6,23),COUNTIFS($C:$C,$C327,$I:$I,$I327)&gt;2),"⚠ "&amp;COUNTIFS($C:$C,$C327,$I:$I,$I327)&amp;" BAŞVURU!","")</f>
        <v/>
      </c>
    </row>
    <row r="328" spans="1:18" ht="80.25" customHeight="1" x14ac:dyDescent="0.25">
      <c r="A328" s="39" t="s">
        <v>1659</v>
      </c>
      <c r="B328" s="39" t="s">
        <v>1660</v>
      </c>
      <c r="C328" s="40" t="s">
        <v>310</v>
      </c>
      <c r="D328" s="40" t="s">
        <v>234</v>
      </c>
      <c r="E328" s="41" t="s">
        <v>1661</v>
      </c>
      <c r="F328" s="41" t="s">
        <v>1662</v>
      </c>
      <c r="G328" s="42" t="s">
        <v>34</v>
      </c>
      <c r="H328" s="44">
        <v>46107</v>
      </c>
      <c r="I328" s="44">
        <v>46126</v>
      </c>
      <c r="J328" s="40" t="s">
        <v>65</v>
      </c>
      <c r="K328" s="40" t="s">
        <v>92</v>
      </c>
      <c r="L328" s="46" t="s">
        <v>66</v>
      </c>
      <c r="M328" s="46"/>
      <c r="N328" s="46"/>
      <c r="O328" s="45"/>
      <c r="P328" s="46" t="str">
        <f t="shared" si="5"/>
        <v>ONAY</v>
      </c>
      <c r="R328" s="47" t="str">
        <f>IF(AND($I328&lt;&gt;"",$I328&gt;=DATE(2026,6,23),COUNTIFS($C:$C,$C328,$I:$I,$I328)&gt;2),"⚠ "&amp;COUNTIFS($C:$C,$C328,$I:$I,$I328)&amp;" BAŞVURU!","")</f>
        <v/>
      </c>
    </row>
    <row r="329" spans="1:18" ht="63" customHeight="1" x14ac:dyDescent="0.25">
      <c r="A329" s="39" t="s">
        <v>1663</v>
      </c>
      <c r="B329" s="39" t="s">
        <v>1664</v>
      </c>
      <c r="C329" s="40" t="s">
        <v>1665</v>
      </c>
      <c r="D329" s="40" t="s">
        <v>79</v>
      </c>
      <c r="E329" s="41" t="s">
        <v>1666</v>
      </c>
      <c r="F329" s="41" t="s">
        <v>1667</v>
      </c>
      <c r="G329" s="42" t="s">
        <v>34</v>
      </c>
      <c r="H329" s="44">
        <v>46108</v>
      </c>
      <c r="I329" s="44">
        <v>46126</v>
      </c>
      <c r="J329" s="40" t="s">
        <v>83</v>
      </c>
      <c r="K329" s="40" t="s">
        <v>64</v>
      </c>
      <c r="L329" s="46" t="s">
        <v>66</v>
      </c>
      <c r="M329" s="46"/>
      <c r="N329" s="46"/>
      <c r="O329" s="45"/>
      <c r="P329" s="46" t="str">
        <f t="shared" si="5"/>
        <v>ONAY</v>
      </c>
      <c r="R329" s="47" t="str">
        <f>IF(AND($I329&lt;&gt;"",$I329&gt;=DATE(2026,6,23),COUNTIFS($C:$C,$C329,$I:$I,$I329)&gt;2),"⚠ "&amp;COUNTIFS($C:$C,$C329,$I:$I,$I329)&amp;" BAŞVURU!","")</f>
        <v/>
      </c>
    </row>
    <row r="330" spans="1:18" ht="63" customHeight="1" x14ac:dyDescent="0.25">
      <c r="A330" s="39" t="s">
        <v>1668</v>
      </c>
      <c r="B330" s="39" t="s">
        <v>1669</v>
      </c>
      <c r="C330" s="40" t="s">
        <v>1080</v>
      </c>
      <c r="D330" s="40" t="s">
        <v>107</v>
      </c>
      <c r="E330" s="41" t="s">
        <v>1670</v>
      </c>
      <c r="F330" s="41" t="s">
        <v>1671</v>
      </c>
      <c r="G330" s="42" t="s">
        <v>34</v>
      </c>
      <c r="H330" s="44">
        <v>46108</v>
      </c>
      <c r="I330" s="44">
        <v>46126</v>
      </c>
      <c r="J330" s="40" t="s">
        <v>110</v>
      </c>
      <c r="K330" s="40" t="s">
        <v>125</v>
      </c>
      <c r="L330" s="46" t="s">
        <v>66</v>
      </c>
      <c r="M330" s="46"/>
      <c r="N330" s="46"/>
      <c r="O330" s="45"/>
      <c r="P330" s="46" t="str">
        <f t="shared" si="5"/>
        <v>ONAY</v>
      </c>
      <c r="R330" s="47" t="str">
        <f>IF(AND($I330&lt;&gt;"",$I330&gt;=DATE(2026,6,23),COUNTIFS($C:$C,$C330,$I:$I,$I330)&gt;2),"⚠ "&amp;COUNTIFS($C:$C,$C330,$I:$I,$I330)&amp;" BAŞVURU!","")</f>
        <v/>
      </c>
    </row>
    <row r="331" spans="1:18" ht="111" customHeight="1" x14ac:dyDescent="0.25">
      <c r="A331" s="39" t="s">
        <v>1672</v>
      </c>
      <c r="B331" s="39" t="s">
        <v>1673</v>
      </c>
      <c r="C331" s="40" t="s">
        <v>1327</v>
      </c>
      <c r="D331" s="40" t="s">
        <v>241</v>
      </c>
      <c r="E331" s="41" t="s">
        <v>1674</v>
      </c>
      <c r="F331" s="41" t="s">
        <v>1675</v>
      </c>
      <c r="G331" s="42" t="s">
        <v>34</v>
      </c>
      <c r="H331" s="44">
        <v>46108</v>
      </c>
      <c r="I331" s="44">
        <v>46126</v>
      </c>
      <c r="J331" s="40" t="s">
        <v>118</v>
      </c>
      <c r="K331" s="40" t="s">
        <v>74</v>
      </c>
      <c r="L331" s="46" t="s">
        <v>215</v>
      </c>
      <c r="M331" s="46" t="s">
        <v>93</v>
      </c>
      <c r="N331" s="46"/>
      <c r="O331" s="45"/>
      <c r="P331" s="46" t="str">
        <f t="shared" si="5"/>
        <v>DÜZELTME</v>
      </c>
      <c r="R331" s="47" t="str">
        <f>IF(AND($I331&lt;&gt;"",$I331&gt;=DATE(2026,6,23),COUNTIFS($C:$C,$C331,$I:$I,$I331)&gt;2),"⚠ "&amp;COUNTIFS($C:$C,$C331,$I:$I,$I331)&amp;" BAŞVURU!","")</f>
        <v/>
      </c>
    </row>
    <row r="332" spans="1:18" ht="78.75" customHeight="1" x14ac:dyDescent="0.25">
      <c r="A332" s="39" t="s">
        <v>1676</v>
      </c>
      <c r="B332" s="39" t="s">
        <v>1677</v>
      </c>
      <c r="C332" s="40" t="s">
        <v>129</v>
      </c>
      <c r="D332" s="40" t="s">
        <v>130</v>
      </c>
      <c r="E332" s="41" t="s">
        <v>1678</v>
      </c>
      <c r="F332" s="41" t="s">
        <v>1679</v>
      </c>
      <c r="G332" s="42" t="s">
        <v>34</v>
      </c>
      <c r="H332" s="44">
        <v>46108</v>
      </c>
      <c r="I332" s="44">
        <v>46126</v>
      </c>
      <c r="J332" s="40" t="s">
        <v>64</v>
      </c>
      <c r="K332" s="40" t="s">
        <v>92</v>
      </c>
      <c r="L332" s="46" t="s">
        <v>66</v>
      </c>
      <c r="M332" s="46"/>
      <c r="N332" s="46"/>
      <c r="O332" s="45"/>
      <c r="P332" s="46" t="str">
        <f t="shared" si="5"/>
        <v>ONAY</v>
      </c>
      <c r="R332" s="47" t="str">
        <f>IF(AND($I332&lt;&gt;"",$I332&gt;=DATE(2026,6,23),COUNTIFS($C:$C,$C332,$I:$I,$I332)&gt;2),"⚠ "&amp;COUNTIFS($C:$C,$C332,$I:$I,$I332)&amp;" BAŞVURU!","")</f>
        <v/>
      </c>
    </row>
    <row r="333" spans="1:18" ht="63" customHeight="1" x14ac:dyDescent="0.25">
      <c r="A333" s="39" t="s">
        <v>1680</v>
      </c>
      <c r="B333" s="39" t="s">
        <v>1681</v>
      </c>
      <c r="C333" s="40" t="s">
        <v>87</v>
      </c>
      <c r="D333" s="51" t="s">
        <v>88</v>
      </c>
      <c r="E333" s="41" t="s">
        <v>1682</v>
      </c>
      <c r="F333" s="41" t="s">
        <v>1683</v>
      </c>
      <c r="G333" s="42" t="s">
        <v>36</v>
      </c>
      <c r="H333" s="44">
        <v>46108</v>
      </c>
      <c r="I333" s="44">
        <v>46126</v>
      </c>
      <c r="J333" s="40" t="s">
        <v>91</v>
      </c>
      <c r="K333" s="40" t="s">
        <v>65</v>
      </c>
      <c r="L333" s="46" t="s">
        <v>175</v>
      </c>
      <c r="M333" s="46"/>
      <c r="N333" s="46"/>
      <c r="O333" s="45"/>
      <c r="P333" s="46" t="str">
        <f t="shared" si="5"/>
        <v>RET</v>
      </c>
      <c r="R333" s="47" t="str">
        <f>IF(AND($I333&lt;&gt;"",$I333&gt;=DATE(2026,6,23),COUNTIFS($C:$C,$C333,$I:$I,$I333)&gt;2),"⚠ "&amp;COUNTIFS($C:$C,$C333,$I:$I,$I333)&amp;" BAŞVURU!","")</f>
        <v/>
      </c>
    </row>
    <row r="334" spans="1:18" ht="141.75" customHeight="1" x14ac:dyDescent="0.25">
      <c r="A334" s="39" t="s">
        <v>1684</v>
      </c>
      <c r="B334" s="39" t="s">
        <v>1685</v>
      </c>
      <c r="C334" s="40" t="s">
        <v>1686</v>
      </c>
      <c r="D334" s="40" t="s">
        <v>392</v>
      </c>
      <c r="E334" s="41" t="s">
        <v>1687</v>
      </c>
      <c r="F334" s="41" t="s">
        <v>1688</v>
      </c>
      <c r="G334" s="42" t="s">
        <v>35</v>
      </c>
      <c r="H334" s="44">
        <v>46108</v>
      </c>
      <c r="I334" s="44">
        <v>46126</v>
      </c>
      <c r="J334" s="40" t="s">
        <v>125</v>
      </c>
      <c r="K334" s="40" t="s">
        <v>101</v>
      </c>
      <c r="L334" s="46" t="s">
        <v>93</v>
      </c>
      <c r="M334" s="46" t="s">
        <v>66</v>
      </c>
      <c r="N334" s="46"/>
      <c r="O334" s="45"/>
      <c r="P334" s="46" t="str">
        <f t="shared" si="5"/>
        <v>ONAY</v>
      </c>
      <c r="Q334" s="25" t="s">
        <v>125</v>
      </c>
      <c r="R334" s="47" t="str">
        <f>IF(AND($I334&lt;&gt;"",$I334&gt;=DATE(2026,6,23),COUNTIFS($C:$C,$C334,$I:$I,$I334)&gt;2),"⚠ "&amp;COUNTIFS($C:$C,$C334,$I:$I,$I334)&amp;" BAŞVURU!","")</f>
        <v/>
      </c>
    </row>
    <row r="335" spans="1:18" ht="94.5" customHeight="1" x14ac:dyDescent="0.25">
      <c r="A335" s="39" t="s">
        <v>1689</v>
      </c>
      <c r="B335" s="39" t="s">
        <v>1690</v>
      </c>
      <c r="C335" s="40" t="s">
        <v>1691</v>
      </c>
      <c r="D335" s="40" t="s">
        <v>1692</v>
      </c>
      <c r="E335" s="41" t="s">
        <v>1693</v>
      </c>
      <c r="F335" s="41" t="s">
        <v>1694</v>
      </c>
      <c r="G335" s="42" t="s">
        <v>35</v>
      </c>
      <c r="H335" s="44">
        <v>46108</v>
      </c>
      <c r="I335" s="44">
        <v>46126</v>
      </c>
      <c r="J335" s="40" t="s">
        <v>102</v>
      </c>
      <c r="K335" s="40" t="s">
        <v>82</v>
      </c>
      <c r="L335" s="46" t="s">
        <v>175</v>
      </c>
      <c r="M335" s="46"/>
      <c r="N335" s="46"/>
      <c r="O335" s="45"/>
      <c r="P335" s="46" t="str">
        <f t="shared" si="5"/>
        <v>RET</v>
      </c>
      <c r="R335" s="47" t="str">
        <f>IF(AND($I335&lt;&gt;"",$I335&gt;=DATE(2026,6,23),COUNTIFS($C:$C,$C335,$I:$I,$I335)&gt;2),"⚠ "&amp;COUNTIFS($C:$C,$C335,$I:$I,$I335)&amp;" BAŞVURU!","")</f>
        <v/>
      </c>
    </row>
    <row r="336" spans="1:18" ht="94.5" customHeight="1" x14ac:dyDescent="0.25">
      <c r="A336" s="39" t="s">
        <v>1695</v>
      </c>
      <c r="B336" s="39" t="s">
        <v>1696</v>
      </c>
      <c r="C336" s="40" t="s">
        <v>265</v>
      </c>
      <c r="D336" s="40" t="s">
        <v>248</v>
      </c>
      <c r="E336" s="41" t="s">
        <v>1697</v>
      </c>
      <c r="F336" s="41" t="s">
        <v>1698</v>
      </c>
      <c r="G336" s="42" t="s">
        <v>35</v>
      </c>
      <c r="H336" s="44">
        <v>46108</v>
      </c>
      <c r="I336" s="44">
        <v>46126</v>
      </c>
      <c r="J336" s="40" t="s">
        <v>83</v>
      </c>
      <c r="K336" s="40" t="s">
        <v>125</v>
      </c>
      <c r="L336" s="46" t="s">
        <v>66</v>
      </c>
      <c r="M336" s="46"/>
      <c r="N336" s="46"/>
      <c r="O336" s="45"/>
      <c r="P336" s="46" t="str">
        <f t="shared" si="5"/>
        <v>ONAY</v>
      </c>
      <c r="R336" s="47" t="str">
        <f>IF(AND($I336&lt;&gt;"",$I336&gt;=DATE(2026,6,23),COUNTIFS($C:$C,$C336,$I:$I,$I336)&gt;2),"⚠ "&amp;COUNTIFS($C:$C,$C336,$I:$I,$I336)&amp;" BAŞVURU!","")</f>
        <v/>
      </c>
    </row>
    <row r="337" spans="1:18" ht="63" customHeight="1" x14ac:dyDescent="0.25">
      <c r="A337" s="39" t="s">
        <v>1699</v>
      </c>
      <c r="B337" s="39" t="s">
        <v>1700</v>
      </c>
      <c r="C337" s="40" t="s">
        <v>1701</v>
      </c>
      <c r="D337" s="40" t="s">
        <v>567</v>
      </c>
      <c r="E337" s="41" t="s">
        <v>1702</v>
      </c>
      <c r="F337" s="41" t="s">
        <v>1703</v>
      </c>
      <c r="G337" s="42" t="s">
        <v>34</v>
      </c>
      <c r="H337" s="44">
        <v>46108</v>
      </c>
      <c r="I337" s="44">
        <v>46126</v>
      </c>
      <c r="J337" s="40" t="s">
        <v>118</v>
      </c>
      <c r="K337" s="40" t="s">
        <v>92</v>
      </c>
      <c r="L337" s="46" t="s">
        <v>66</v>
      </c>
      <c r="M337" s="46"/>
      <c r="N337" s="46"/>
      <c r="O337" s="45"/>
      <c r="P337" s="46" t="str">
        <f t="shared" si="5"/>
        <v>ONAY</v>
      </c>
      <c r="R337" s="47" t="str">
        <f>IF(AND($I337&lt;&gt;"",$I337&gt;=DATE(2026,6,23),COUNTIFS($C:$C,$C337,$I:$I,$I337)&gt;2),"⚠ "&amp;COUNTIFS($C:$C,$C337,$I:$I,$I337)&amp;" BAŞVURU!","")</f>
        <v/>
      </c>
    </row>
    <row r="338" spans="1:18" ht="63" customHeight="1" x14ac:dyDescent="0.25">
      <c r="A338" s="39" t="s">
        <v>1704</v>
      </c>
      <c r="B338" s="39" t="s">
        <v>1705</v>
      </c>
      <c r="C338" s="40" t="s">
        <v>1706</v>
      </c>
      <c r="D338" s="40" t="s">
        <v>612</v>
      </c>
      <c r="E338" s="41" t="s">
        <v>1707</v>
      </c>
      <c r="F338" s="41" t="s">
        <v>1708</v>
      </c>
      <c r="G338" s="42" t="s">
        <v>34</v>
      </c>
      <c r="H338" s="44">
        <v>46108</v>
      </c>
      <c r="I338" s="44">
        <v>46126</v>
      </c>
      <c r="J338" s="40" t="s">
        <v>92</v>
      </c>
      <c r="K338" s="40" t="s">
        <v>91</v>
      </c>
      <c r="L338" s="46" t="s">
        <v>93</v>
      </c>
      <c r="M338" s="46" t="s">
        <v>66</v>
      </c>
      <c r="N338" s="46"/>
      <c r="O338" s="45"/>
      <c r="P338" s="46" t="str">
        <f t="shared" si="5"/>
        <v>ONAY</v>
      </c>
      <c r="Q338" s="25" t="s">
        <v>92</v>
      </c>
      <c r="R338" s="47" t="str">
        <f>IF(AND($I338&lt;&gt;"",$I338&gt;=DATE(2026,6,23),COUNTIFS($C:$C,$C338,$I:$I,$I338)&gt;2),"⚠ "&amp;COUNTIFS($C:$C,$C338,$I:$I,$I338)&amp;" BAŞVURU!","")</f>
        <v/>
      </c>
    </row>
    <row r="339" spans="1:18" ht="63" customHeight="1" x14ac:dyDescent="0.25">
      <c r="A339" s="39" t="s">
        <v>1709</v>
      </c>
      <c r="B339" s="39" t="s">
        <v>1710</v>
      </c>
      <c r="C339" s="40" t="s">
        <v>1711</v>
      </c>
      <c r="D339" s="40" t="s">
        <v>458</v>
      </c>
      <c r="E339" s="41" t="s">
        <v>1712</v>
      </c>
      <c r="F339" s="41" t="s">
        <v>1713</v>
      </c>
      <c r="G339" s="42" t="s">
        <v>34</v>
      </c>
      <c r="H339" s="44">
        <v>46108</v>
      </c>
      <c r="I339" s="44">
        <v>46126</v>
      </c>
      <c r="J339" s="40" t="s">
        <v>101</v>
      </c>
      <c r="K339" s="40" t="s">
        <v>74</v>
      </c>
      <c r="L339" s="46" t="s">
        <v>93</v>
      </c>
      <c r="M339" s="46" t="s">
        <v>93</v>
      </c>
      <c r="N339" s="46" t="s">
        <v>66</v>
      </c>
      <c r="O339" s="45"/>
      <c r="P339" s="46" t="str">
        <f t="shared" si="5"/>
        <v>ONAY</v>
      </c>
      <c r="Q339" s="25" t="s">
        <v>101</v>
      </c>
      <c r="R339" s="47" t="str">
        <f>IF(AND($I339&lt;&gt;"",$I339&gt;=DATE(2026,6,23),COUNTIFS($C:$C,$C339,$I:$I,$I339)&gt;2),"⚠ "&amp;COUNTIFS($C:$C,$C339,$I:$I,$I339)&amp;" BAŞVURU!","")</f>
        <v/>
      </c>
    </row>
    <row r="340" spans="1:18" ht="78.75" customHeight="1" x14ac:dyDescent="0.25">
      <c r="A340" s="39" t="s">
        <v>1714</v>
      </c>
      <c r="B340" s="39" t="s">
        <v>1715</v>
      </c>
      <c r="C340" s="40" t="s">
        <v>1711</v>
      </c>
      <c r="D340" s="40" t="s">
        <v>458</v>
      </c>
      <c r="E340" s="41" t="s">
        <v>1716</v>
      </c>
      <c r="F340" s="41" t="s">
        <v>1717</v>
      </c>
      <c r="G340" s="42" t="s">
        <v>34</v>
      </c>
      <c r="H340" s="44">
        <v>46108</v>
      </c>
      <c r="I340" s="44">
        <v>46126</v>
      </c>
      <c r="J340" s="40" t="s">
        <v>102</v>
      </c>
      <c r="K340" s="40" t="s">
        <v>101</v>
      </c>
      <c r="L340" s="46" t="s">
        <v>93</v>
      </c>
      <c r="M340" s="46" t="s">
        <v>66</v>
      </c>
      <c r="N340" s="46"/>
      <c r="O340" s="45"/>
      <c r="P340" s="46" t="str">
        <f t="shared" si="5"/>
        <v>ONAY</v>
      </c>
      <c r="Q340" s="25" t="s">
        <v>102</v>
      </c>
      <c r="R340" s="47" t="str">
        <f>IF(AND($I340&lt;&gt;"",$I340&gt;=DATE(2026,6,23),COUNTIFS($C:$C,$C340,$I:$I,$I340)&gt;2),"⚠ "&amp;COUNTIFS($C:$C,$C340,$I:$I,$I340)&amp;" BAŞVURU!","")</f>
        <v/>
      </c>
    </row>
    <row r="341" spans="1:18" ht="63" customHeight="1" x14ac:dyDescent="0.25">
      <c r="A341" s="39" t="s">
        <v>1718</v>
      </c>
      <c r="B341" s="39" t="s">
        <v>1719</v>
      </c>
      <c r="C341" s="40" t="s">
        <v>1720</v>
      </c>
      <c r="D341" s="40" t="s">
        <v>1520</v>
      </c>
      <c r="E341" s="41" t="s">
        <v>1721</v>
      </c>
      <c r="F341" s="41" t="s">
        <v>1722</v>
      </c>
      <c r="G341" s="42" t="s">
        <v>34</v>
      </c>
      <c r="H341" s="44">
        <v>46108</v>
      </c>
      <c r="I341" s="44">
        <v>46126</v>
      </c>
      <c r="J341" s="40" t="s">
        <v>125</v>
      </c>
      <c r="K341" s="40" t="s">
        <v>65</v>
      </c>
      <c r="L341" s="46" t="s">
        <v>66</v>
      </c>
      <c r="M341" s="46"/>
      <c r="N341" s="46"/>
      <c r="O341" s="45"/>
      <c r="P341" s="46" t="str">
        <f t="shared" si="5"/>
        <v>ONAY</v>
      </c>
      <c r="R341" s="47" t="str">
        <f>IF(AND($I341&lt;&gt;"",$I341&gt;=DATE(2026,6,23),COUNTIFS($C:$C,$C341,$I:$I,$I341)&gt;2),"⚠ "&amp;COUNTIFS($C:$C,$C341,$I:$I,$I341)&amp;" BAŞVURU!","")</f>
        <v/>
      </c>
    </row>
    <row r="342" spans="1:18" ht="94.5" customHeight="1" x14ac:dyDescent="0.25">
      <c r="A342" s="39" t="s">
        <v>1723</v>
      </c>
      <c r="B342" s="39" t="s">
        <v>1724</v>
      </c>
      <c r="C342" s="40" t="s">
        <v>1725</v>
      </c>
      <c r="D342" s="40" t="s">
        <v>1171</v>
      </c>
      <c r="E342" s="41" t="s">
        <v>1726</v>
      </c>
      <c r="F342" s="41" t="s">
        <v>1727</v>
      </c>
      <c r="G342" s="42" t="s">
        <v>34</v>
      </c>
      <c r="H342" s="44">
        <v>46108</v>
      </c>
      <c r="I342" s="44">
        <v>46126</v>
      </c>
      <c r="J342" s="40" t="s">
        <v>82</v>
      </c>
      <c r="K342" s="40" t="s">
        <v>110</v>
      </c>
      <c r="L342" s="46" t="s">
        <v>229</v>
      </c>
      <c r="M342" s="46"/>
      <c r="N342" s="46"/>
      <c r="O342" s="45"/>
      <c r="P342" s="46" t="str">
        <f t="shared" si="5"/>
        <v>KAEK</v>
      </c>
      <c r="R342" s="47" t="str">
        <f>IF(AND($I342&lt;&gt;"",$I342&gt;=DATE(2026,6,23),COUNTIFS($C:$C,$C342,$I:$I,$I342)&gt;2),"⚠ "&amp;COUNTIFS($C:$C,$C342,$I:$I,$I342)&amp;" BAŞVURU!","")</f>
        <v/>
      </c>
    </row>
    <row r="343" spans="1:18" ht="63" customHeight="1" x14ac:dyDescent="0.25">
      <c r="A343" s="39" t="s">
        <v>1728</v>
      </c>
      <c r="B343" s="39" t="s">
        <v>1729</v>
      </c>
      <c r="C343" s="40" t="s">
        <v>1730</v>
      </c>
      <c r="D343" s="40" t="s">
        <v>690</v>
      </c>
      <c r="E343" s="41" t="s">
        <v>1731</v>
      </c>
      <c r="F343" s="41" t="s">
        <v>1732</v>
      </c>
      <c r="G343" s="42" t="s">
        <v>34</v>
      </c>
      <c r="H343" s="44">
        <v>46108</v>
      </c>
      <c r="I343" s="44">
        <v>46126</v>
      </c>
      <c r="J343" s="40" t="s">
        <v>110</v>
      </c>
      <c r="K343" s="40" t="s">
        <v>83</v>
      </c>
      <c r="L343" s="46" t="s">
        <v>66</v>
      </c>
      <c r="M343" s="46"/>
      <c r="N343" s="46"/>
      <c r="O343" s="45"/>
      <c r="P343" s="46" t="str">
        <f t="shared" si="5"/>
        <v>ONAY</v>
      </c>
      <c r="R343" s="47" t="str">
        <f>IF(AND($I343&lt;&gt;"",$I343&gt;=DATE(2026,6,23),COUNTIFS($C:$C,$C343,$I:$I,$I343)&gt;2),"⚠ "&amp;COUNTIFS($C:$C,$C343,$I:$I,$I343)&amp;" BAŞVURU!","")</f>
        <v/>
      </c>
    </row>
    <row r="344" spans="1:18" ht="96" customHeight="1" x14ac:dyDescent="0.25">
      <c r="A344" s="39" t="s">
        <v>1733</v>
      </c>
      <c r="B344" s="39" t="s">
        <v>1734</v>
      </c>
      <c r="C344" s="40" t="s">
        <v>1735</v>
      </c>
      <c r="D344" s="40" t="s">
        <v>107</v>
      </c>
      <c r="E344" s="41" t="s">
        <v>1736</v>
      </c>
      <c r="F344" s="41" t="s">
        <v>1737</v>
      </c>
      <c r="G344" s="42" t="s">
        <v>34</v>
      </c>
      <c r="H344" s="44">
        <v>46108</v>
      </c>
      <c r="I344" s="44">
        <v>46126</v>
      </c>
      <c r="J344" s="40" t="s">
        <v>82</v>
      </c>
      <c r="K344" s="40" t="s">
        <v>83</v>
      </c>
      <c r="L344" s="46" t="s">
        <v>93</v>
      </c>
      <c r="M344" s="46" t="s">
        <v>66</v>
      </c>
      <c r="N344" s="46"/>
      <c r="O344" s="45"/>
      <c r="P344" s="46" t="str">
        <f t="shared" si="5"/>
        <v>ONAY</v>
      </c>
      <c r="Q344" s="25" t="s">
        <v>83</v>
      </c>
      <c r="R344" s="47" t="str">
        <f>IF(AND($I344&lt;&gt;"",$I344&gt;=DATE(2026,6,23),COUNTIFS($C:$C,$C344,$I:$I,$I344)&gt;2),"⚠ "&amp;COUNTIFS($C:$C,$C344,$I:$I,$I344)&amp;" BAŞVURU!","")</f>
        <v/>
      </c>
    </row>
    <row r="345" spans="1:18" ht="63" customHeight="1" x14ac:dyDescent="0.25">
      <c r="A345" s="39" t="s">
        <v>1738</v>
      </c>
      <c r="B345" s="39" t="s">
        <v>1739</v>
      </c>
      <c r="C345" s="40" t="s">
        <v>1380</v>
      </c>
      <c r="D345" s="40" t="s">
        <v>107</v>
      </c>
      <c r="E345" s="41" t="s">
        <v>1740</v>
      </c>
      <c r="F345" s="41" t="s">
        <v>1741</v>
      </c>
      <c r="G345" s="42" t="s">
        <v>34</v>
      </c>
      <c r="H345" s="44">
        <v>46108</v>
      </c>
      <c r="I345" s="44">
        <v>46126</v>
      </c>
      <c r="J345" s="40" t="s">
        <v>74</v>
      </c>
      <c r="K345" s="40" t="s">
        <v>65</v>
      </c>
      <c r="L345" s="46" t="s">
        <v>66</v>
      </c>
      <c r="M345" s="46"/>
      <c r="N345" s="46"/>
      <c r="O345" s="45"/>
      <c r="P345" s="46" t="str">
        <f t="shared" si="5"/>
        <v>ONAY</v>
      </c>
      <c r="R345" s="47" t="str">
        <f>IF(AND($I345&lt;&gt;"",$I345&gt;=DATE(2026,6,23),COUNTIFS($C:$C,$C345,$I:$I,$I345)&gt;2),"⚠ "&amp;COUNTIFS($C:$C,$C345,$I:$I,$I345)&amp;" BAŞVURU!","")</f>
        <v/>
      </c>
    </row>
    <row r="346" spans="1:18" ht="79.5" customHeight="1" x14ac:dyDescent="0.25">
      <c r="A346" s="39" t="s">
        <v>1742</v>
      </c>
      <c r="B346" s="39" t="s">
        <v>1743</v>
      </c>
      <c r="C346" s="40" t="s">
        <v>1720</v>
      </c>
      <c r="D346" s="40" t="s">
        <v>1520</v>
      </c>
      <c r="E346" s="41" t="s">
        <v>1744</v>
      </c>
      <c r="F346" s="41" t="s">
        <v>1745</v>
      </c>
      <c r="G346" s="42" t="s">
        <v>34</v>
      </c>
      <c r="H346" s="44">
        <v>46108</v>
      </c>
      <c r="I346" s="44">
        <v>46126</v>
      </c>
      <c r="J346" s="40" t="s">
        <v>110</v>
      </c>
      <c r="K346" s="40" t="s">
        <v>125</v>
      </c>
      <c r="L346" s="46" t="s">
        <v>66</v>
      </c>
      <c r="M346" s="46"/>
      <c r="N346" s="46"/>
      <c r="O346" s="45"/>
      <c r="P346" s="46" t="str">
        <f t="shared" si="5"/>
        <v>ONAY</v>
      </c>
      <c r="R346" s="47" t="str">
        <f>IF(AND($I346&lt;&gt;"",$I346&gt;=DATE(2026,6,23),COUNTIFS($C:$C,$C346,$I:$I,$I346)&gt;2),"⚠ "&amp;COUNTIFS($C:$C,$C346,$I:$I,$I346)&amp;" BAŞVURU!","")</f>
        <v/>
      </c>
    </row>
    <row r="347" spans="1:18" ht="110.25" customHeight="1" x14ac:dyDescent="0.25">
      <c r="A347" s="39" t="s">
        <v>1746</v>
      </c>
      <c r="B347" s="39" t="s">
        <v>1747</v>
      </c>
      <c r="C347" s="40" t="s">
        <v>179</v>
      </c>
      <c r="D347" s="40" t="s">
        <v>172</v>
      </c>
      <c r="E347" s="41" t="s">
        <v>1748</v>
      </c>
      <c r="F347" s="41" t="s">
        <v>1749</v>
      </c>
      <c r="G347" s="42" t="s">
        <v>34</v>
      </c>
      <c r="H347" s="44">
        <v>46112</v>
      </c>
      <c r="I347" s="44">
        <v>46126</v>
      </c>
      <c r="J347" s="40" t="s">
        <v>82</v>
      </c>
      <c r="K347" s="40" t="s">
        <v>91</v>
      </c>
      <c r="L347" s="46" t="s">
        <v>93</v>
      </c>
      <c r="M347" s="46"/>
      <c r="N347" s="46"/>
      <c r="O347" s="45"/>
      <c r="P347" s="46" t="str">
        <f t="shared" si="5"/>
        <v>DÜZELTME</v>
      </c>
      <c r="R347" s="47" t="str">
        <f>IF(AND($I347&lt;&gt;"",$I347&gt;=DATE(2026,6,23),COUNTIFS($C:$C,$C347,$I:$I,$I347)&gt;2),"⚠ "&amp;COUNTIFS($C:$C,$C347,$I:$I,$I347)&amp;" BAŞVURU!","")</f>
        <v/>
      </c>
    </row>
    <row r="348" spans="1:18" ht="111.75" customHeight="1" x14ac:dyDescent="0.25">
      <c r="A348" s="39" t="s">
        <v>1750</v>
      </c>
      <c r="B348" s="39" t="s">
        <v>1751</v>
      </c>
      <c r="C348" s="40" t="s">
        <v>1134</v>
      </c>
      <c r="D348" s="40" t="s">
        <v>994</v>
      </c>
      <c r="E348" s="41" t="s">
        <v>1752</v>
      </c>
      <c r="F348" s="41" t="s">
        <v>1753</v>
      </c>
      <c r="G348" s="42" t="s">
        <v>34</v>
      </c>
      <c r="H348" s="44">
        <v>46112</v>
      </c>
      <c r="I348" s="44">
        <v>46126</v>
      </c>
      <c r="J348" s="40" t="s">
        <v>102</v>
      </c>
      <c r="K348" s="40" t="s">
        <v>74</v>
      </c>
      <c r="L348" s="46" t="s">
        <v>175</v>
      </c>
      <c r="M348" s="46"/>
      <c r="N348" s="46"/>
      <c r="O348" s="45"/>
      <c r="P348" s="46" t="str">
        <f t="shared" si="5"/>
        <v>RET</v>
      </c>
      <c r="R348" s="47" t="str">
        <f>IF(AND($I348&lt;&gt;"",$I348&gt;=DATE(2026,6,23),COUNTIFS($C:$C,$C348,$I:$I,$I348)&gt;2),"⚠ "&amp;COUNTIFS($C:$C,$C348,$I:$I,$I348)&amp;" BAŞVURU!","")</f>
        <v/>
      </c>
    </row>
    <row r="349" spans="1:18" ht="63" customHeight="1" x14ac:dyDescent="0.25">
      <c r="A349" s="39" t="s">
        <v>1754</v>
      </c>
      <c r="B349" s="39" t="s">
        <v>1755</v>
      </c>
      <c r="C349" s="40" t="s">
        <v>106</v>
      </c>
      <c r="D349" s="40" t="s">
        <v>107</v>
      </c>
      <c r="E349" s="41" t="s">
        <v>1756</v>
      </c>
      <c r="F349" s="41" t="s">
        <v>1757</v>
      </c>
      <c r="G349" s="42" t="s">
        <v>34</v>
      </c>
      <c r="H349" s="44">
        <v>46112</v>
      </c>
      <c r="I349" s="44">
        <v>46126</v>
      </c>
      <c r="J349" s="40" t="s">
        <v>64</v>
      </c>
      <c r="K349" s="40" t="s">
        <v>110</v>
      </c>
      <c r="L349" s="46" t="s">
        <v>93</v>
      </c>
      <c r="M349" s="46" t="s">
        <v>66</v>
      </c>
      <c r="N349" s="46"/>
      <c r="O349" s="45"/>
      <c r="P349" s="46" t="str">
        <f t="shared" si="5"/>
        <v>ONAY</v>
      </c>
      <c r="Q349" s="25" t="s">
        <v>64</v>
      </c>
      <c r="R349" s="47" t="str">
        <f>IF(AND($I349&lt;&gt;"",$I349&gt;=DATE(2026,6,23),COUNTIFS($C:$C,$C349,$I:$I,$I349)&gt;2),"⚠ "&amp;COUNTIFS($C:$C,$C349,$I:$I,$I349)&amp;" BAŞVURU!","")</f>
        <v/>
      </c>
    </row>
    <row r="350" spans="1:18" ht="79.5" customHeight="1" x14ac:dyDescent="0.25">
      <c r="A350" s="39" t="s">
        <v>1758</v>
      </c>
      <c r="B350" s="39" t="s">
        <v>1759</v>
      </c>
      <c r="C350" s="40" t="s">
        <v>1760</v>
      </c>
      <c r="D350" s="40" t="s">
        <v>200</v>
      </c>
      <c r="E350" s="41" t="s">
        <v>1761</v>
      </c>
      <c r="F350" s="41" t="s">
        <v>1762</v>
      </c>
      <c r="G350" s="42" t="s">
        <v>34</v>
      </c>
      <c r="H350" s="44">
        <v>46112</v>
      </c>
      <c r="I350" s="44">
        <v>46126</v>
      </c>
      <c r="J350" s="40" t="s">
        <v>118</v>
      </c>
      <c r="K350" s="40" t="s">
        <v>83</v>
      </c>
      <c r="L350" s="46" t="s">
        <v>66</v>
      </c>
      <c r="M350" s="46"/>
      <c r="N350" s="46"/>
      <c r="O350" s="45"/>
      <c r="P350" s="46" t="str">
        <f t="shared" si="5"/>
        <v>ONAY</v>
      </c>
      <c r="R350" s="47" t="str">
        <f>IF(AND($I350&lt;&gt;"",$I350&gt;=DATE(2026,6,23),COUNTIFS($C:$C,$C350,$I:$I,$I350)&gt;2),"⚠ "&amp;COUNTIFS($C:$C,$C350,$I:$I,$I350)&amp;" BAŞVURU!","")</f>
        <v/>
      </c>
    </row>
    <row r="351" spans="1:18" ht="63" customHeight="1" x14ac:dyDescent="0.25">
      <c r="A351" s="39" t="s">
        <v>1763</v>
      </c>
      <c r="B351" s="39" t="s">
        <v>1764</v>
      </c>
      <c r="C351" s="40" t="s">
        <v>561</v>
      </c>
      <c r="D351" s="40" t="s">
        <v>107</v>
      </c>
      <c r="E351" s="41" t="s">
        <v>1765</v>
      </c>
      <c r="F351" s="41" t="s">
        <v>1766</v>
      </c>
      <c r="G351" s="42" t="s">
        <v>34</v>
      </c>
      <c r="H351" s="44">
        <v>46112</v>
      </c>
      <c r="I351" s="44">
        <v>46126</v>
      </c>
      <c r="J351" s="40" t="s">
        <v>65</v>
      </c>
      <c r="K351" s="40" t="s">
        <v>102</v>
      </c>
      <c r="L351" s="46" t="s">
        <v>66</v>
      </c>
      <c r="M351" s="46"/>
      <c r="N351" s="46"/>
      <c r="O351" s="45"/>
      <c r="P351" s="46" t="str">
        <f t="shared" si="5"/>
        <v>ONAY</v>
      </c>
      <c r="R351" s="47" t="str">
        <f>IF(AND($I351&lt;&gt;"",$I351&gt;=DATE(2026,6,23),COUNTIFS($C:$C,$C351,$I:$I,$I351)&gt;2),"⚠ "&amp;COUNTIFS($C:$C,$C351,$I:$I,$I351)&amp;" BAŞVURU!","")</f>
        <v/>
      </c>
    </row>
    <row r="352" spans="1:18" ht="63" customHeight="1" x14ac:dyDescent="0.25">
      <c r="A352" s="39" t="s">
        <v>1767</v>
      </c>
      <c r="B352" s="39" t="s">
        <v>1768</v>
      </c>
      <c r="C352" s="40" t="s">
        <v>762</v>
      </c>
      <c r="D352" s="40" t="s">
        <v>234</v>
      </c>
      <c r="E352" s="41" t="s">
        <v>1769</v>
      </c>
      <c r="F352" s="41" t="s">
        <v>1770</v>
      </c>
      <c r="G352" s="42" t="s">
        <v>34</v>
      </c>
      <c r="H352" s="44">
        <v>46112</v>
      </c>
      <c r="I352" s="44">
        <v>46126</v>
      </c>
      <c r="J352" s="40" t="s">
        <v>92</v>
      </c>
      <c r="K352" s="40" t="s">
        <v>118</v>
      </c>
      <c r="L352" s="46" t="s">
        <v>93</v>
      </c>
      <c r="M352" s="46" t="s">
        <v>66</v>
      </c>
      <c r="N352" s="46"/>
      <c r="O352" s="45"/>
      <c r="P352" s="46" t="str">
        <f t="shared" si="5"/>
        <v>ONAY</v>
      </c>
      <c r="Q352" s="25" t="s">
        <v>92</v>
      </c>
      <c r="R352" s="47" t="str">
        <f>IF(AND($I352&lt;&gt;"",$I352&gt;=DATE(2026,6,23),COUNTIFS($C:$C,$C352,$I:$I,$I352)&gt;2),"⚠ "&amp;COUNTIFS($C:$C,$C352,$I:$I,$I352)&amp;" BAŞVURU!","")</f>
        <v/>
      </c>
    </row>
    <row r="353" spans="1:18" ht="141.75" customHeight="1" x14ac:dyDescent="0.25">
      <c r="A353" s="39" t="s">
        <v>1771</v>
      </c>
      <c r="B353" s="39" t="s">
        <v>1772</v>
      </c>
      <c r="C353" s="40" t="s">
        <v>407</v>
      </c>
      <c r="D353" s="40" t="s">
        <v>234</v>
      </c>
      <c r="E353" s="41" t="s">
        <v>1773</v>
      </c>
      <c r="F353" s="41" t="s">
        <v>1774</v>
      </c>
      <c r="G353" s="42" t="s">
        <v>34</v>
      </c>
      <c r="H353" s="44">
        <v>46112</v>
      </c>
      <c r="I353" s="44">
        <v>46126</v>
      </c>
      <c r="J353" s="40" t="s">
        <v>64</v>
      </c>
      <c r="K353" s="40" t="s">
        <v>118</v>
      </c>
      <c r="L353" s="46" t="s">
        <v>93</v>
      </c>
      <c r="M353" s="46"/>
      <c r="N353" s="46"/>
      <c r="O353" s="45"/>
      <c r="P353" s="46" t="str">
        <f t="shared" si="5"/>
        <v>DÜZELTME</v>
      </c>
      <c r="R353" s="47" t="str">
        <f>IF(AND($I353&lt;&gt;"",$I353&gt;=DATE(2026,6,23),COUNTIFS($C:$C,$C353,$I:$I,$I353)&gt;2),"⚠ "&amp;COUNTIFS($C:$C,$C353,$I:$I,$I353)&amp;" BAŞVURU!","")</f>
        <v/>
      </c>
    </row>
    <row r="354" spans="1:18" ht="63" customHeight="1" x14ac:dyDescent="0.25">
      <c r="A354" s="39" t="s">
        <v>1775</v>
      </c>
      <c r="B354" s="39" t="s">
        <v>1776</v>
      </c>
      <c r="C354" s="40" t="s">
        <v>1612</v>
      </c>
      <c r="D354" s="40" t="s">
        <v>107</v>
      </c>
      <c r="E354" s="41" t="s">
        <v>1648</v>
      </c>
      <c r="F354" s="41" t="s">
        <v>1777</v>
      </c>
      <c r="G354" s="42" t="s">
        <v>34</v>
      </c>
      <c r="H354" s="44">
        <v>46118</v>
      </c>
      <c r="I354" s="44">
        <v>46140</v>
      </c>
      <c r="J354" s="40" t="s">
        <v>110</v>
      </c>
      <c r="K354" s="40" t="s">
        <v>74</v>
      </c>
      <c r="L354" s="46" t="s">
        <v>66</v>
      </c>
      <c r="M354" s="46"/>
      <c r="N354" s="46"/>
      <c r="O354" s="45"/>
      <c r="P354" s="46" t="str">
        <f t="shared" si="5"/>
        <v>ONAY</v>
      </c>
      <c r="R354" s="47" t="str">
        <f>IF(AND($I354&lt;&gt;"",$I354&gt;=DATE(2026,6,23),COUNTIFS($C:$C,$C354,$I:$I,$I354)&gt;2),"⚠ "&amp;COUNTIFS($C:$C,$C354,$I:$I,$I354)&amp;" BAŞVURU!","")</f>
        <v/>
      </c>
    </row>
    <row r="355" spans="1:18" ht="94.5" customHeight="1" x14ac:dyDescent="0.25">
      <c r="A355" s="39" t="s">
        <v>1778</v>
      </c>
      <c r="B355" s="39" t="s">
        <v>1779</v>
      </c>
      <c r="C355" s="40" t="s">
        <v>1134</v>
      </c>
      <c r="D355" s="40" t="s">
        <v>994</v>
      </c>
      <c r="E355" s="41" t="s">
        <v>1780</v>
      </c>
      <c r="F355" s="41" t="s">
        <v>1781</v>
      </c>
      <c r="G355" s="42" t="s">
        <v>34</v>
      </c>
      <c r="H355" s="44">
        <v>46118</v>
      </c>
      <c r="I355" s="44">
        <v>46140</v>
      </c>
      <c r="J355" s="40" t="s">
        <v>102</v>
      </c>
      <c r="K355" s="40" t="s">
        <v>118</v>
      </c>
      <c r="L355" s="46" t="s">
        <v>175</v>
      </c>
      <c r="M355" s="46"/>
      <c r="N355" s="46"/>
      <c r="O355" s="45"/>
      <c r="P355" s="46" t="str">
        <f t="shared" si="5"/>
        <v>RET</v>
      </c>
      <c r="R355" s="47" t="str">
        <f>IF(AND($I355&lt;&gt;"",$I355&gt;=DATE(2026,6,23),COUNTIFS($C:$C,$C355,$I:$I,$I355)&gt;2),"⚠ "&amp;COUNTIFS($C:$C,$C355,$I:$I,$I355)&amp;" BAŞVURU!","")</f>
        <v/>
      </c>
    </row>
    <row r="356" spans="1:18" ht="98.25" customHeight="1" x14ac:dyDescent="0.25">
      <c r="A356" s="39" t="s">
        <v>1782</v>
      </c>
      <c r="B356" s="39" t="s">
        <v>1783</v>
      </c>
      <c r="C356" s="40" t="s">
        <v>1784</v>
      </c>
      <c r="D356" s="40" t="s">
        <v>1171</v>
      </c>
      <c r="E356" s="41" t="s">
        <v>1785</v>
      </c>
      <c r="F356" s="41" t="s">
        <v>1786</v>
      </c>
      <c r="G356" s="42" t="s">
        <v>34</v>
      </c>
      <c r="H356" s="44">
        <v>46118</v>
      </c>
      <c r="I356" s="44">
        <v>46140</v>
      </c>
      <c r="J356" s="40" t="s">
        <v>82</v>
      </c>
      <c r="K356" s="40" t="s">
        <v>92</v>
      </c>
      <c r="L356" s="46" t="s">
        <v>66</v>
      </c>
      <c r="M356" s="46"/>
      <c r="N356" s="46"/>
      <c r="O356" s="45"/>
      <c r="P356" s="46" t="str">
        <f t="shared" si="5"/>
        <v>ONAY</v>
      </c>
      <c r="R356" s="47" t="str">
        <f>IF(AND($I356&lt;&gt;"",$I356&gt;=DATE(2026,6,23),COUNTIFS($C:$C,$C356,$I:$I,$I356)&gt;2),"⚠ "&amp;COUNTIFS($C:$C,$C356,$I:$I,$I356)&amp;" BAŞVURU!","")</f>
        <v/>
      </c>
    </row>
    <row r="357" spans="1:18" ht="78.75" customHeight="1" x14ac:dyDescent="0.25">
      <c r="A357" s="39" t="s">
        <v>1787</v>
      </c>
      <c r="B357" s="39" t="s">
        <v>1788</v>
      </c>
      <c r="C357" s="51" t="s">
        <v>1789</v>
      </c>
      <c r="D357" s="51" t="s">
        <v>847</v>
      </c>
      <c r="E357" s="41" t="s">
        <v>1790</v>
      </c>
      <c r="F357" s="41" t="s">
        <v>1791</v>
      </c>
      <c r="G357" s="42" t="s">
        <v>34</v>
      </c>
      <c r="H357" s="44">
        <v>46118</v>
      </c>
      <c r="I357" s="44">
        <v>46140</v>
      </c>
      <c r="J357" s="40" t="s">
        <v>92</v>
      </c>
      <c r="K357" s="40" t="s">
        <v>91</v>
      </c>
      <c r="L357" s="46" t="s">
        <v>93</v>
      </c>
      <c r="M357" s="46"/>
      <c r="N357" s="46"/>
      <c r="O357" s="45"/>
      <c r="P357" s="46" t="str">
        <f t="shared" si="5"/>
        <v>DÜZELTME</v>
      </c>
      <c r="R357" s="47" t="str">
        <f>IF(AND($I357&lt;&gt;"",$I357&gt;=DATE(2026,6,23),COUNTIFS($C:$C,$C357,$I:$I,$I357)&gt;2),"⚠ "&amp;COUNTIFS($C:$C,$C357,$I:$I,$I357)&amp;" BAŞVURU!","")</f>
        <v/>
      </c>
    </row>
    <row r="358" spans="1:18" ht="78.75" customHeight="1" x14ac:dyDescent="0.25">
      <c r="A358" s="39" t="s">
        <v>1792</v>
      </c>
      <c r="B358" s="39" t="s">
        <v>1793</v>
      </c>
      <c r="C358" s="40" t="s">
        <v>1235</v>
      </c>
      <c r="D358" s="40" t="s">
        <v>234</v>
      </c>
      <c r="E358" s="41" t="s">
        <v>1794</v>
      </c>
      <c r="F358" s="41" t="s">
        <v>1795</v>
      </c>
      <c r="G358" s="42" t="s">
        <v>34</v>
      </c>
      <c r="H358" s="44">
        <v>46118</v>
      </c>
      <c r="I358" s="44">
        <v>46140</v>
      </c>
      <c r="J358" s="40" t="s">
        <v>110</v>
      </c>
      <c r="K358" s="40" t="s">
        <v>125</v>
      </c>
      <c r="L358" s="46" t="s">
        <v>66</v>
      </c>
      <c r="M358" s="46"/>
      <c r="N358" s="46"/>
      <c r="O358" s="45"/>
      <c r="P358" s="46" t="str">
        <f t="shared" si="5"/>
        <v>ONAY</v>
      </c>
      <c r="R358" s="47" t="str">
        <f>IF(AND($I358&lt;&gt;"",$I358&gt;=DATE(2026,6,23),COUNTIFS($C:$C,$C358,$I:$I,$I358)&gt;2),"⚠ "&amp;COUNTIFS($C:$C,$C358,$I:$I,$I358)&amp;" BAŞVURU!","")</f>
        <v/>
      </c>
    </row>
    <row r="359" spans="1:18" ht="63" customHeight="1" x14ac:dyDescent="0.25">
      <c r="A359" s="39" t="s">
        <v>1796</v>
      </c>
      <c r="B359" s="39" t="s">
        <v>1797</v>
      </c>
      <c r="C359" s="40" t="s">
        <v>412</v>
      </c>
      <c r="D359" s="40" t="s">
        <v>413</v>
      </c>
      <c r="E359" s="41" t="s">
        <v>1798</v>
      </c>
      <c r="F359" s="41" t="s">
        <v>1799</v>
      </c>
      <c r="G359" s="42" t="s">
        <v>34</v>
      </c>
      <c r="H359" s="44">
        <v>46118</v>
      </c>
      <c r="I359" s="44">
        <v>46140</v>
      </c>
      <c r="J359" s="40" t="s">
        <v>64</v>
      </c>
      <c r="K359" s="40" t="s">
        <v>118</v>
      </c>
      <c r="L359" s="46" t="s">
        <v>93</v>
      </c>
      <c r="M359" s="46" t="s">
        <v>66</v>
      </c>
      <c r="N359" s="46"/>
      <c r="O359" s="45"/>
      <c r="P359" s="46" t="str">
        <f t="shared" si="5"/>
        <v>ONAY</v>
      </c>
      <c r="R359" s="47" t="str">
        <f>IF(AND($I359&lt;&gt;"",$I359&gt;=DATE(2026,6,23),COUNTIFS($C:$C,$C359,$I:$I,$I359)&gt;2),"⚠ "&amp;COUNTIFS($C:$C,$C359,$I:$I,$I359)&amp;" BAŞVURU!","")</f>
        <v/>
      </c>
    </row>
    <row r="360" spans="1:18" ht="63" customHeight="1" x14ac:dyDescent="0.25">
      <c r="A360" s="39" t="s">
        <v>1800</v>
      </c>
      <c r="B360" s="39" t="s">
        <v>1801</v>
      </c>
      <c r="C360" s="40" t="s">
        <v>219</v>
      </c>
      <c r="D360" s="40" t="s">
        <v>130</v>
      </c>
      <c r="E360" s="41" t="s">
        <v>1802</v>
      </c>
      <c r="F360" s="41" t="s">
        <v>1803</v>
      </c>
      <c r="G360" s="42" t="s">
        <v>35</v>
      </c>
      <c r="H360" s="44">
        <v>46118</v>
      </c>
      <c r="I360" s="44">
        <v>46140</v>
      </c>
      <c r="J360" s="40" t="s">
        <v>101</v>
      </c>
      <c r="K360" s="40" t="s">
        <v>83</v>
      </c>
      <c r="L360" s="46" t="s">
        <v>93</v>
      </c>
      <c r="M360" s="46" t="s">
        <v>66</v>
      </c>
      <c r="N360" s="46"/>
      <c r="O360" s="45"/>
      <c r="P360" s="46" t="str">
        <f t="shared" si="5"/>
        <v>ONAY</v>
      </c>
      <c r="Q360" s="25" t="s">
        <v>101</v>
      </c>
      <c r="R360" s="47" t="str">
        <f>IF(AND($I360&lt;&gt;"",$I360&gt;=DATE(2026,6,23),COUNTIFS($C:$C,$C360,$I:$I,$I360)&gt;2),"⚠ "&amp;COUNTIFS($C:$C,$C360,$I:$I,$I360)&amp;" BAŞVURU!","")</f>
        <v/>
      </c>
    </row>
    <row r="361" spans="1:18" ht="78.75" customHeight="1" x14ac:dyDescent="0.25">
      <c r="A361" s="39" t="s">
        <v>1804</v>
      </c>
      <c r="B361" s="39" t="s">
        <v>1805</v>
      </c>
      <c r="C361" s="40" t="s">
        <v>576</v>
      </c>
      <c r="D361" s="40" t="s">
        <v>200</v>
      </c>
      <c r="E361" s="41" t="s">
        <v>1806</v>
      </c>
      <c r="F361" s="41" t="s">
        <v>1807</v>
      </c>
      <c r="G361" s="42" t="s">
        <v>34</v>
      </c>
      <c r="H361" s="44">
        <v>46118</v>
      </c>
      <c r="I361" s="44">
        <v>46140</v>
      </c>
      <c r="J361" s="40" t="s">
        <v>82</v>
      </c>
      <c r="K361" s="40" t="s">
        <v>91</v>
      </c>
      <c r="L361" s="46" t="s">
        <v>93</v>
      </c>
      <c r="M361" s="46"/>
      <c r="N361" s="46"/>
      <c r="O361" s="45"/>
      <c r="P361" s="46" t="str">
        <f t="shared" si="5"/>
        <v>DÜZELTME</v>
      </c>
      <c r="R361" s="47" t="str">
        <f>IF(AND($I361&lt;&gt;"",$I361&gt;=DATE(2026,6,23),COUNTIFS($C:$C,$C361,$I:$I,$I361)&gt;2),"⚠ "&amp;COUNTIFS($C:$C,$C361,$I:$I,$I361)&amp;" BAŞVURU!","")</f>
        <v/>
      </c>
    </row>
    <row r="362" spans="1:18" ht="47.25" customHeight="1" x14ac:dyDescent="0.25">
      <c r="A362" s="39" t="s">
        <v>1808</v>
      </c>
      <c r="B362" s="39" t="s">
        <v>1809</v>
      </c>
      <c r="C362" s="40" t="s">
        <v>1380</v>
      </c>
      <c r="D362" s="40" t="s">
        <v>107</v>
      </c>
      <c r="E362" s="41" t="s">
        <v>1810</v>
      </c>
      <c r="F362" s="41" t="s">
        <v>1811</v>
      </c>
      <c r="G362" s="42" t="s">
        <v>34</v>
      </c>
      <c r="H362" s="44">
        <v>46119</v>
      </c>
      <c r="I362" s="44">
        <v>46140</v>
      </c>
      <c r="J362" s="40" t="s">
        <v>91</v>
      </c>
      <c r="K362" s="40" t="s">
        <v>74</v>
      </c>
      <c r="L362" s="46" t="s">
        <v>66</v>
      </c>
      <c r="M362" s="46"/>
      <c r="N362" s="46"/>
      <c r="O362" s="45"/>
      <c r="P362" s="46" t="str">
        <f t="shared" si="5"/>
        <v>ONAY</v>
      </c>
      <c r="R362" s="47" t="str">
        <f>IF(AND($I362&lt;&gt;"",$I362&gt;=DATE(2026,6,23),COUNTIFS($C:$C,$C362,$I:$I,$I362)&gt;2),"⚠ "&amp;COUNTIFS($C:$C,$C362,$I:$I,$I362)&amp;" BAŞVURU!","")</f>
        <v/>
      </c>
    </row>
    <row r="363" spans="1:18" ht="81" customHeight="1" x14ac:dyDescent="0.25">
      <c r="A363" s="39" t="s">
        <v>1812</v>
      </c>
      <c r="B363" s="39" t="s">
        <v>1813</v>
      </c>
      <c r="C363" s="40" t="s">
        <v>310</v>
      </c>
      <c r="D363" s="40" t="s">
        <v>234</v>
      </c>
      <c r="E363" s="41" t="s">
        <v>1814</v>
      </c>
      <c r="F363" s="41" t="s">
        <v>1815</v>
      </c>
      <c r="G363" s="42" t="s">
        <v>34</v>
      </c>
      <c r="H363" s="44">
        <v>46119</v>
      </c>
      <c r="I363" s="44">
        <v>46140</v>
      </c>
      <c r="J363" s="40" t="s">
        <v>102</v>
      </c>
      <c r="K363" s="40" t="s">
        <v>110</v>
      </c>
      <c r="L363" s="46" t="s">
        <v>215</v>
      </c>
      <c r="M363" s="46" t="s">
        <v>175</v>
      </c>
      <c r="N363" s="46"/>
      <c r="O363" s="45"/>
      <c r="P363" s="46" t="str">
        <f t="shared" si="5"/>
        <v>RET</v>
      </c>
      <c r="R363" s="47" t="str">
        <f>IF(AND($I363&lt;&gt;"",$I363&gt;=DATE(2026,6,23),COUNTIFS($C:$C,$C363,$I:$I,$I363)&gt;2),"⚠ "&amp;COUNTIFS($C:$C,$C363,$I:$I,$I363)&amp;" BAŞVURU!","")</f>
        <v/>
      </c>
    </row>
    <row r="364" spans="1:18" ht="78.75" customHeight="1" x14ac:dyDescent="0.25">
      <c r="A364" s="39" t="s">
        <v>1816</v>
      </c>
      <c r="B364" s="39" t="s">
        <v>1817</v>
      </c>
      <c r="C364" s="40" t="s">
        <v>1818</v>
      </c>
      <c r="D364" s="40" t="s">
        <v>234</v>
      </c>
      <c r="E364" s="41" t="s">
        <v>1819</v>
      </c>
      <c r="F364" s="41" t="s">
        <v>1820</v>
      </c>
      <c r="G364" s="42" t="s">
        <v>35</v>
      </c>
      <c r="H364" s="44">
        <v>46119</v>
      </c>
      <c r="I364" s="44">
        <v>46140</v>
      </c>
      <c r="J364" s="40" t="s">
        <v>125</v>
      </c>
      <c r="K364" s="40" t="s">
        <v>64</v>
      </c>
      <c r="L364" s="46" t="s">
        <v>66</v>
      </c>
      <c r="M364" s="46"/>
      <c r="N364" s="46"/>
      <c r="O364" s="45"/>
      <c r="P364" s="46" t="str">
        <f t="shared" si="5"/>
        <v>ONAY</v>
      </c>
      <c r="R364" s="47" t="str">
        <f>IF(AND($I364&lt;&gt;"",$I364&gt;=DATE(2026,6,23),COUNTIFS($C:$C,$C364,$I:$I,$I364)&gt;2),"⚠ "&amp;COUNTIFS($C:$C,$C364,$I:$I,$I364)&amp;" BAŞVURU!","")</f>
        <v/>
      </c>
    </row>
    <row r="365" spans="1:18" ht="47.25" customHeight="1" x14ac:dyDescent="0.25">
      <c r="A365" s="39" t="s">
        <v>1821</v>
      </c>
      <c r="B365" s="39" t="s">
        <v>1822</v>
      </c>
      <c r="C365" s="40" t="s">
        <v>1823</v>
      </c>
      <c r="D365" s="40" t="s">
        <v>107</v>
      </c>
      <c r="E365" s="41" t="s">
        <v>1824</v>
      </c>
      <c r="F365" s="41" t="s">
        <v>1825</v>
      </c>
      <c r="G365" s="42" t="s">
        <v>34</v>
      </c>
      <c r="H365" s="44">
        <v>46119</v>
      </c>
      <c r="I365" s="44">
        <v>46140</v>
      </c>
      <c r="J365" s="40" t="s">
        <v>92</v>
      </c>
      <c r="K365" s="40" t="s">
        <v>74</v>
      </c>
      <c r="L365" s="46" t="s">
        <v>66</v>
      </c>
      <c r="M365" s="46"/>
      <c r="N365" s="46"/>
      <c r="O365" s="45"/>
      <c r="P365" s="46" t="str">
        <f t="shared" si="5"/>
        <v>ONAY</v>
      </c>
      <c r="R365" s="47" t="str">
        <f>IF(AND($I365&lt;&gt;"",$I365&gt;=DATE(2026,6,23),COUNTIFS($C:$C,$C365,$I:$I,$I365)&gt;2),"⚠ "&amp;COUNTIFS($C:$C,$C365,$I:$I,$I365)&amp;" BAŞVURU!","")</f>
        <v/>
      </c>
    </row>
    <row r="366" spans="1:18" ht="47.25" customHeight="1" x14ac:dyDescent="0.25">
      <c r="A366" s="39" t="s">
        <v>1826</v>
      </c>
      <c r="B366" s="39" t="s">
        <v>1827</v>
      </c>
      <c r="C366" s="40" t="s">
        <v>1823</v>
      </c>
      <c r="D366" s="40" t="s">
        <v>107</v>
      </c>
      <c r="E366" s="41" t="s">
        <v>1824</v>
      </c>
      <c r="F366" s="41" t="s">
        <v>1828</v>
      </c>
      <c r="G366" s="42" t="s">
        <v>34</v>
      </c>
      <c r="H366" s="44">
        <v>46119</v>
      </c>
      <c r="I366" s="44">
        <v>46140</v>
      </c>
      <c r="J366" s="40" t="s">
        <v>91</v>
      </c>
      <c r="K366" s="40" t="s">
        <v>125</v>
      </c>
      <c r="L366" s="46" t="s">
        <v>175</v>
      </c>
      <c r="M366" s="46"/>
      <c r="N366" s="46"/>
      <c r="O366" s="45"/>
      <c r="P366" s="46" t="str">
        <f t="shared" si="5"/>
        <v>RET</v>
      </c>
      <c r="R366" s="47" t="str">
        <f>IF(AND($I366&lt;&gt;"",$I366&gt;=DATE(2026,6,23),COUNTIFS($C:$C,$C366,$I:$I,$I366)&gt;2),"⚠ "&amp;COUNTIFS($C:$C,$C366,$I:$I,$I366)&amp;" BAŞVURU!","")</f>
        <v/>
      </c>
    </row>
    <row r="367" spans="1:18" ht="63" customHeight="1" x14ac:dyDescent="0.25">
      <c r="A367" s="39" t="s">
        <v>1829</v>
      </c>
      <c r="B367" s="39" t="s">
        <v>1830</v>
      </c>
      <c r="C367" s="40" t="s">
        <v>985</v>
      </c>
      <c r="D367" s="40" t="s">
        <v>432</v>
      </c>
      <c r="E367" s="41" t="s">
        <v>1831</v>
      </c>
      <c r="F367" s="41" t="s">
        <v>1832</v>
      </c>
      <c r="G367" s="42" t="s">
        <v>34</v>
      </c>
      <c r="H367" s="44">
        <v>46119</v>
      </c>
      <c r="I367" s="44">
        <v>46140</v>
      </c>
      <c r="J367" s="40" t="s">
        <v>82</v>
      </c>
      <c r="K367" s="40" t="s">
        <v>118</v>
      </c>
      <c r="L367" s="46" t="s">
        <v>66</v>
      </c>
      <c r="M367" s="46"/>
      <c r="N367" s="46"/>
      <c r="O367" s="45"/>
      <c r="P367" s="46" t="str">
        <f t="shared" si="5"/>
        <v>ONAY</v>
      </c>
      <c r="R367" s="47" t="str">
        <f>IF(AND($I367&lt;&gt;"",$I367&gt;=DATE(2026,6,23),COUNTIFS($C:$C,$C367,$I:$I,$I367)&gt;2),"⚠ "&amp;COUNTIFS($C:$C,$C367,$I:$I,$I367)&amp;" BAŞVURU!","")</f>
        <v/>
      </c>
    </row>
    <row r="368" spans="1:18" ht="66" customHeight="1" x14ac:dyDescent="0.25">
      <c r="A368" s="39" t="s">
        <v>1833</v>
      </c>
      <c r="B368" s="39" t="s">
        <v>1834</v>
      </c>
      <c r="C368" s="40" t="s">
        <v>1835</v>
      </c>
      <c r="D368" s="40" t="s">
        <v>1066</v>
      </c>
      <c r="E368" s="41" t="s">
        <v>1836</v>
      </c>
      <c r="F368" s="41" t="s">
        <v>1837</v>
      </c>
      <c r="G368" s="42" t="s">
        <v>37</v>
      </c>
      <c r="H368" s="44">
        <v>46119</v>
      </c>
      <c r="I368" s="44">
        <v>46140</v>
      </c>
      <c r="J368" s="40" t="s">
        <v>64</v>
      </c>
      <c r="K368" s="40" t="s">
        <v>83</v>
      </c>
      <c r="L368" s="46" t="s">
        <v>66</v>
      </c>
      <c r="M368" s="46"/>
      <c r="N368" s="46"/>
      <c r="O368" s="45"/>
      <c r="P368" s="46" t="str">
        <f t="shared" si="5"/>
        <v>ONAY</v>
      </c>
      <c r="R368" s="47" t="str">
        <f>IF(AND($I368&lt;&gt;"",$I368&gt;=DATE(2026,6,23),COUNTIFS($C:$C,$C368,$I:$I,$I368)&gt;2),"⚠ "&amp;COUNTIFS($C:$C,$C368,$I:$I,$I368)&amp;" BAŞVURU!","")</f>
        <v/>
      </c>
    </row>
    <row r="369" spans="1:18" ht="63" customHeight="1" x14ac:dyDescent="0.25">
      <c r="A369" s="39" t="s">
        <v>1838</v>
      </c>
      <c r="B369" s="39" t="s">
        <v>1839</v>
      </c>
      <c r="C369" s="40" t="s">
        <v>407</v>
      </c>
      <c r="D369" s="40" t="s">
        <v>234</v>
      </c>
      <c r="E369" s="41" t="s">
        <v>1840</v>
      </c>
      <c r="F369" s="41" t="s">
        <v>1841</v>
      </c>
      <c r="G369" s="42" t="s">
        <v>34</v>
      </c>
      <c r="H369" s="44">
        <v>46119</v>
      </c>
      <c r="I369" s="44">
        <v>46140</v>
      </c>
      <c r="J369" s="40" t="s">
        <v>102</v>
      </c>
      <c r="K369" s="40" t="s">
        <v>74</v>
      </c>
      <c r="L369" s="46" t="s">
        <v>93</v>
      </c>
      <c r="M369" s="46" t="s">
        <v>66</v>
      </c>
      <c r="N369" s="46"/>
      <c r="O369" s="45"/>
      <c r="P369" s="46" t="str">
        <f t="shared" si="5"/>
        <v>ONAY</v>
      </c>
      <c r="Q369" s="25" t="s">
        <v>102</v>
      </c>
      <c r="R369" s="47" t="str">
        <f>IF(AND($I369&lt;&gt;"",$I369&gt;=DATE(2026,6,23),COUNTIFS($C:$C,$C369,$I:$I,$I369)&gt;2),"⚠ "&amp;COUNTIFS($C:$C,$C369,$I:$I,$I369)&amp;" BAŞVURU!","")</f>
        <v/>
      </c>
    </row>
    <row r="370" spans="1:18" ht="78.75" customHeight="1" x14ac:dyDescent="0.25">
      <c r="A370" s="39" t="s">
        <v>1842</v>
      </c>
      <c r="B370" s="39" t="s">
        <v>1843</v>
      </c>
      <c r="C370" s="40" t="s">
        <v>606</v>
      </c>
      <c r="D370" s="40" t="s">
        <v>107</v>
      </c>
      <c r="E370" s="41" t="s">
        <v>1844</v>
      </c>
      <c r="F370" s="41" t="s">
        <v>1845</v>
      </c>
      <c r="G370" s="42" t="s">
        <v>34</v>
      </c>
      <c r="H370" s="44">
        <v>46119</v>
      </c>
      <c r="I370" s="44">
        <v>46140</v>
      </c>
      <c r="J370" s="40" t="s">
        <v>101</v>
      </c>
      <c r="K370" s="40" t="s">
        <v>118</v>
      </c>
      <c r="L370" s="46" t="s">
        <v>66</v>
      </c>
      <c r="M370" s="46"/>
      <c r="N370" s="46"/>
      <c r="O370" s="45"/>
      <c r="P370" s="46" t="str">
        <f t="shared" si="5"/>
        <v>ONAY</v>
      </c>
      <c r="R370" s="47" t="str">
        <f>IF(AND($I370&lt;&gt;"",$I370&gt;=DATE(2026,6,23),COUNTIFS($C:$C,$C370,$I:$I,$I370)&gt;2),"⚠ "&amp;COUNTIFS($C:$C,$C370,$I:$I,$I370)&amp;" BAŞVURU!","")</f>
        <v/>
      </c>
    </row>
    <row r="371" spans="1:18" ht="63" customHeight="1" x14ac:dyDescent="0.25">
      <c r="A371" s="39" t="s">
        <v>1846</v>
      </c>
      <c r="B371" s="39" t="s">
        <v>1847</v>
      </c>
      <c r="C371" s="40" t="s">
        <v>1848</v>
      </c>
      <c r="D371" s="40" t="s">
        <v>1849</v>
      </c>
      <c r="E371" s="41" t="s">
        <v>1850</v>
      </c>
      <c r="F371" s="41" t="s">
        <v>1851</v>
      </c>
      <c r="G371" s="42" t="s">
        <v>34</v>
      </c>
      <c r="H371" s="44">
        <v>46119</v>
      </c>
      <c r="I371" s="44">
        <v>46140</v>
      </c>
      <c r="J371" s="40" t="s">
        <v>82</v>
      </c>
      <c r="K371" s="40" t="s">
        <v>83</v>
      </c>
      <c r="L371" s="46" t="s">
        <v>66</v>
      </c>
      <c r="M371" s="46"/>
      <c r="N371" s="46"/>
      <c r="O371" s="45"/>
      <c r="P371" s="46" t="str">
        <f t="shared" si="5"/>
        <v>ONAY</v>
      </c>
      <c r="R371" s="47" t="str">
        <f>IF(AND($I371&lt;&gt;"",$I371&gt;=DATE(2026,6,23),COUNTIFS($C:$C,$C371,$I:$I,$I371)&gt;2),"⚠ "&amp;COUNTIFS($C:$C,$C371,$I:$I,$I371)&amp;" BAŞVURU!","")</f>
        <v/>
      </c>
    </row>
    <row r="372" spans="1:18" ht="63" customHeight="1" x14ac:dyDescent="0.25">
      <c r="A372" s="39" t="s">
        <v>1852</v>
      </c>
      <c r="B372" s="39" t="s">
        <v>1853</v>
      </c>
      <c r="C372" s="40" t="s">
        <v>352</v>
      </c>
      <c r="D372" s="40" t="s">
        <v>353</v>
      </c>
      <c r="E372" s="41" t="s">
        <v>1854</v>
      </c>
      <c r="F372" s="41" t="s">
        <v>1855</v>
      </c>
      <c r="G372" s="42" t="s">
        <v>35</v>
      </c>
      <c r="H372" s="44">
        <v>46119</v>
      </c>
      <c r="I372" s="44">
        <v>46140</v>
      </c>
      <c r="J372" s="40" t="s">
        <v>101</v>
      </c>
      <c r="K372" s="40" t="s">
        <v>110</v>
      </c>
      <c r="L372" s="46" t="s">
        <v>66</v>
      </c>
      <c r="M372" s="46"/>
      <c r="N372" s="46"/>
      <c r="O372" s="45"/>
      <c r="P372" s="46" t="str">
        <f t="shared" si="5"/>
        <v>ONAY</v>
      </c>
      <c r="R372" s="47" t="str">
        <f>IF(AND($I372&lt;&gt;"",$I372&gt;=DATE(2026,6,23),COUNTIFS($C:$C,$C372,$I:$I,$I372)&gt;2),"⚠ "&amp;COUNTIFS($C:$C,$C372,$I:$I,$I372)&amp;" BAŞVURU!","")</f>
        <v/>
      </c>
    </row>
    <row r="373" spans="1:18" ht="78.75" customHeight="1" x14ac:dyDescent="0.25">
      <c r="A373" s="39" t="s">
        <v>1856</v>
      </c>
      <c r="B373" s="39" t="s">
        <v>1857</v>
      </c>
      <c r="C373" s="40" t="s">
        <v>199</v>
      </c>
      <c r="D373" s="40" t="s">
        <v>200</v>
      </c>
      <c r="E373" s="41" t="s">
        <v>1858</v>
      </c>
      <c r="F373" s="41" t="s">
        <v>1859</v>
      </c>
      <c r="G373" s="42" t="s">
        <v>34</v>
      </c>
      <c r="H373" s="44">
        <v>46119</v>
      </c>
      <c r="I373" s="44">
        <v>46140</v>
      </c>
      <c r="J373" s="40" t="s">
        <v>82</v>
      </c>
      <c r="K373" s="40" t="s">
        <v>92</v>
      </c>
      <c r="L373" s="46" t="s">
        <v>93</v>
      </c>
      <c r="M373" s="46"/>
      <c r="N373" s="46"/>
      <c r="O373" s="45"/>
      <c r="P373" s="46" t="str">
        <f t="shared" si="5"/>
        <v>DÜZELTME</v>
      </c>
      <c r="R373" s="47" t="str">
        <f>IF(AND($I373&lt;&gt;"",$I373&gt;=DATE(2026,6,23),COUNTIFS($C:$C,$C373,$I:$I,$I373)&gt;2),"⚠ "&amp;COUNTIFS($C:$C,$C373,$I:$I,$I373)&amp;" BAŞVURU!","")</f>
        <v/>
      </c>
    </row>
    <row r="374" spans="1:18" ht="78.75" customHeight="1" x14ac:dyDescent="0.25">
      <c r="A374" s="39" t="s">
        <v>1860</v>
      </c>
      <c r="B374" s="39" t="s">
        <v>1861</v>
      </c>
      <c r="C374" s="40" t="s">
        <v>1862</v>
      </c>
      <c r="D374" s="40" t="s">
        <v>79</v>
      </c>
      <c r="E374" s="41" t="s">
        <v>1863</v>
      </c>
      <c r="F374" s="41" t="s">
        <v>1864</v>
      </c>
      <c r="G374" s="42" t="s">
        <v>35</v>
      </c>
      <c r="H374" s="44">
        <v>46119</v>
      </c>
      <c r="I374" s="44">
        <v>46140</v>
      </c>
      <c r="J374" s="40" t="s">
        <v>83</v>
      </c>
      <c r="K374" s="40" t="s">
        <v>101</v>
      </c>
      <c r="L374" s="46" t="s">
        <v>93</v>
      </c>
      <c r="M374" s="46" t="s">
        <v>66</v>
      </c>
      <c r="N374" s="46"/>
      <c r="O374" s="45"/>
      <c r="P374" s="46" t="str">
        <f t="shared" si="5"/>
        <v>ONAY</v>
      </c>
      <c r="Q374" s="25" t="s">
        <v>101</v>
      </c>
      <c r="R374" s="47" t="str">
        <f>IF(AND($I374&lt;&gt;"",$I374&gt;=DATE(2026,6,23),COUNTIFS($C:$C,$C374,$I:$I,$I374)&gt;2),"⚠ "&amp;COUNTIFS($C:$C,$C374,$I:$I,$I374)&amp;" BAŞVURU!","")</f>
        <v/>
      </c>
    </row>
    <row r="375" spans="1:18" ht="63" customHeight="1" x14ac:dyDescent="0.25">
      <c r="A375" s="39" t="s">
        <v>1865</v>
      </c>
      <c r="B375" s="39" t="s">
        <v>1866</v>
      </c>
      <c r="C375" s="40" t="s">
        <v>1235</v>
      </c>
      <c r="D375" s="40" t="s">
        <v>234</v>
      </c>
      <c r="E375" s="41" t="s">
        <v>1867</v>
      </c>
      <c r="F375" s="41" t="s">
        <v>1868</v>
      </c>
      <c r="G375" s="42" t="s">
        <v>35</v>
      </c>
      <c r="H375" s="44">
        <v>46119</v>
      </c>
      <c r="I375" s="44">
        <v>46140</v>
      </c>
      <c r="J375" s="40" t="s">
        <v>64</v>
      </c>
      <c r="K375" s="40" t="s">
        <v>91</v>
      </c>
      <c r="L375" s="46" t="s">
        <v>66</v>
      </c>
      <c r="M375" s="46"/>
      <c r="N375" s="46"/>
      <c r="O375" s="45"/>
      <c r="P375" s="46" t="str">
        <f t="shared" si="5"/>
        <v>ONAY</v>
      </c>
      <c r="R375" s="47" t="str">
        <f>IF(AND($I375&lt;&gt;"",$I375&gt;=DATE(2026,6,23),COUNTIFS($C:$C,$C375,$I:$I,$I375)&gt;2),"⚠ "&amp;COUNTIFS($C:$C,$C375,$I:$I,$I375)&amp;" BAŞVURU!","")</f>
        <v/>
      </c>
    </row>
    <row r="376" spans="1:18" ht="78.75" customHeight="1" x14ac:dyDescent="0.25">
      <c r="A376" s="39" t="s">
        <v>1869</v>
      </c>
      <c r="B376" s="39" t="s">
        <v>1870</v>
      </c>
      <c r="C376" s="40" t="s">
        <v>1871</v>
      </c>
      <c r="D376" s="40" t="s">
        <v>130</v>
      </c>
      <c r="E376" s="41" t="s">
        <v>1872</v>
      </c>
      <c r="F376" s="41" t="s">
        <v>1873</v>
      </c>
      <c r="G376" s="42" t="s">
        <v>34</v>
      </c>
      <c r="H376" s="44">
        <v>46119</v>
      </c>
      <c r="I376" s="44">
        <v>46140</v>
      </c>
      <c r="J376" s="40" t="s">
        <v>101</v>
      </c>
      <c r="K376" s="40" t="s">
        <v>125</v>
      </c>
      <c r="L376" s="46" t="s">
        <v>66</v>
      </c>
      <c r="M376" s="46"/>
      <c r="N376" s="46"/>
      <c r="O376" s="45"/>
      <c r="P376" s="46" t="str">
        <f t="shared" si="5"/>
        <v>ONAY</v>
      </c>
      <c r="R376" s="47" t="str">
        <f>IF(AND($I376&lt;&gt;"",$I376&gt;=DATE(2026,6,23),COUNTIFS($C:$C,$C376,$I:$I,$I376)&gt;2),"⚠ "&amp;COUNTIFS($C:$C,$C376,$I:$I,$I376)&amp;" BAŞVURU!","")</f>
        <v/>
      </c>
    </row>
    <row r="377" spans="1:18" ht="63" customHeight="1" x14ac:dyDescent="0.25">
      <c r="A377" s="39" t="s">
        <v>1874</v>
      </c>
      <c r="B377" s="39" t="s">
        <v>1875</v>
      </c>
      <c r="C377" s="40" t="s">
        <v>199</v>
      </c>
      <c r="D377" s="40" t="s">
        <v>200</v>
      </c>
      <c r="E377" s="41" t="s">
        <v>1876</v>
      </c>
      <c r="F377" s="41" t="s">
        <v>1877</v>
      </c>
      <c r="G377" s="42" t="s">
        <v>34</v>
      </c>
      <c r="H377" s="44">
        <v>46119</v>
      </c>
      <c r="I377" s="44">
        <v>46140</v>
      </c>
      <c r="J377" s="40" t="s">
        <v>82</v>
      </c>
      <c r="K377" s="40" t="s">
        <v>92</v>
      </c>
      <c r="L377" s="46" t="s">
        <v>93</v>
      </c>
      <c r="M377" s="46"/>
      <c r="N377" s="46"/>
      <c r="O377" s="45"/>
      <c r="P377" s="46" t="str">
        <f t="shared" si="5"/>
        <v>DÜZELTME</v>
      </c>
      <c r="R377" s="47" t="str">
        <f>IF(AND($I377&lt;&gt;"",$I377&gt;=DATE(2026,6,23),COUNTIFS($C:$C,$C377,$I:$I,$I377)&gt;2),"⚠ "&amp;COUNTIFS($C:$C,$C377,$I:$I,$I377)&amp;" BAŞVURU!","")</f>
        <v/>
      </c>
    </row>
    <row r="378" spans="1:18" ht="94.5" customHeight="1" x14ac:dyDescent="0.25">
      <c r="A378" s="39" t="s">
        <v>1878</v>
      </c>
      <c r="B378" s="39" t="s">
        <v>1879</v>
      </c>
      <c r="C378" s="40" t="s">
        <v>330</v>
      </c>
      <c r="D378" s="40" t="s">
        <v>234</v>
      </c>
      <c r="E378" s="41" t="s">
        <v>1880</v>
      </c>
      <c r="F378" s="41" t="s">
        <v>1881</v>
      </c>
      <c r="G378" s="42" t="s">
        <v>34</v>
      </c>
      <c r="H378" s="44">
        <v>46119</v>
      </c>
      <c r="I378" s="44">
        <v>46140</v>
      </c>
      <c r="J378" s="40" t="s">
        <v>110</v>
      </c>
      <c r="K378" s="40" t="s">
        <v>102</v>
      </c>
      <c r="L378" s="46" t="s">
        <v>93</v>
      </c>
      <c r="M378" s="46"/>
      <c r="N378" s="46"/>
      <c r="O378" s="45"/>
      <c r="P378" s="46" t="str">
        <f t="shared" si="5"/>
        <v>DÜZELTME</v>
      </c>
      <c r="R378" s="47" t="str">
        <f>IF(AND($I378&lt;&gt;"",$I378&gt;=DATE(2026,6,23),COUNTIFS($C:$C,$C378,$I:$I,$I378)&gt;2),"⚠ "&amp;COUNTIFS($C:$C,$C378,$I:$I,$I378)&amp;" BAŞVURU!","")</f>
        <v/>
      </c>
    </row>
    <row r="379" spans="1:18" ht="63" customHeight="1" x14ac:dyDescent="0.25">
      <c r="A379" s="39" t="s">
        <v>1882</v>
      </c>
      <c r="B379" s="39" t="s">
        <v>1883</v>
      </c>
      <c r="C379" s="40" t="s">
        <v>661</v>
      </c>
      <c r="D379" s="40" t="s">
        <v>241</v>
      </c>
      <c r="E379" s="41" t="s">
        <v>1884</v>
      </c>
      <c r="F379" s="41" t="s">
        <v>1885</v>
      </c>
      <c r="G379" s="42" t="s">
        <v>34</v>
      </c>
      <c r="H379" s="44">
        <v>46119</v>
      </c>
      <c r="I379" s="44">
        <v>46140</v>
      </c>
      <c r="J379" s="40" t="s">
        <v>74</v>
      </c>
      <c r="K379" s="40" t="s">
        <v>125</v>
      </c>
      <c r="L379" s="46" t="s">
        <v>66</v>
      </c>
      <c r="M379" s="46"/>
      <c r="N379" s="46"/>
      <c r="O379" s="45"/>
      <c r="P379" s="46" t="str">
        <f t="shared" si="5"/>
        <v>ONAY</v>
      </c>
      <c r="R379" s="47" t="str">
        <f>IF(AND($I379&lt;&gt;"",$I379&gt;=DATE(2026,6,23),COUNTIFS($C:$C,$C379,$I:$I,$I379)&gt;2),"⚠ "&amp;COUNTIFS($C:$C,$C379,$I:$I,$I379)&amp;" BAŞVURU!","")</f>
        <v/>
      </c>
    </row>
    <row r="380" spans="1:18" ht="63" customHeight="1" x14ac:dyDescent="0.25">
      <c r="A380" s="39" t="s">
        <v>1886</v>
      </c>
      <c r="B380" s="39" t="s">
        <v>1887</v>
      </c>
      <c r="C380" s="40" t="s">
        <v>259</v>
      </c>
      <c r="D380" s="40" t="s">
        <v>107</v>
      </c>
      <c r="E380" s="41" t="s">
        <v>1888</v>
      </c>
      <c r="F380" s="41" t="s">
        <v>1889</v>
      </c>
      <c r="G380" s="42" t="s">
        <v>34</v>
      </c>
      <c r="H380" s="44">
        <v>46120</v>
      </c>
      <c r="I380" s="44">
        <v>46140</v>
      </c>
      <c r="J380" s="40" t="s">
        <v>102</v>
      </c>
      <c r="K380" s="40" t="s">
        <v>91</v>
      </c>
      <c r="L380" s="46" t="s">
        <v>215</v>
      </c>
      <c r="M380" s="46" t="s">
        <v>93</v>
      </c>
      <c r="N380" s="46" t="s">
        <v>66</v>
      </c>
      <c r="O380" s="45"/>
      <c r="P380" s="46" t="str">
        <f t="shared" si="5"/>
        <v>ONAY</v>
      </c>
      <c r="Q380" s="25" t="s">
        <v>102</v>
      </c>
      <c r="R380" s="47" t="str">
        <f>IF(AND($I380&lt;&gt;"",$I380&gt;=DATE(2026,6,23),COUNTIFS($C:$C,$C380,$I:$I,$I380)&gt;2),"⚠ "&amp;COUNTIFS($C:$C,$C380,$I:$I,$I380)&amp;" BAŞVURU!","")</f>
        <v/>
      </c>
    </row>
    <row r="381" spans="1:18" ht="78.75" customHeight="1" x14ac:dyDescent="0.25">
      <c r="A381" s="39" t="s">
        <v>1890</v>
      </c>
      <c r="B381" s="39" t="s">
        <v>1891</v>
      </c>
      <c r="C381" s="40" t="s">
        <v>1892</v>
      </c>
      <c r="D381" s="40" t="s">
        <v>1196</v>
      </c>
      <c r="E381" s="41" t="s">
        <v>1893</v>
      </c>
      <c r="F381" s="41" t="s">
        <v>1894</v>
      </c>
      <c r="G381" s="42" t="s">
        <v>34</v>
      </c>
      <c r="H381" s="44">
        <v>46120</v>
      </c>
      <c r="I381" s="44">
        <v>46140</v>
      </c>
      <c r="J381" s="40" t="s">
        <v>64</v>
      </c>
      <c r="K381" s="40" t="s">
        <v>110</v>
      </c>
      <c r="L381" s="46" t="s">
        <v>66</v>
      </c>
      <c r="M381" s="46"/>
      <c r="N381" s="46"/>
      <c r="O381" s="45"/>
      <c r="P381" s="46" t="str">
        <f t="shared" si="5"/>
        <v>ONAY</v>
      </c>
      <c r="R381" s="47" t="str">
        <f>IF(AND($I381&lt;&gt;"",$I381&gt;=DATE(2026,6,23),COUNTIFS($C:$C,$C381,$I:$I,$I381)&gt;2),"⚠ "&amp;COUNTIFS($C:$C,$C381,$I:$I,$I381)&amp;" BAŞVURU!","")</f>
        <v/>
      </c>
    </row>
    <row r="382" spans="1:18" ht="63" customHeight="1" x14ac:dyDescent="0.25">
      <c r="A382" s="39" t="s">
        <v>1895</v>
      </c>
      <c r="B382" s="39" t="s">
        <v>1896</v>
      </c>
      <c r="C382" s="40" t="s">
        <v>1454</v>
      </c>
      <c r="D382" s="40" t="s">
        <v>994</v>
      </c>
      <c r="E382" s="41" t="s">
        <v>1897</v>
      </c>
      <c r="F382" s="41" t="s">
        <v>1898</v>
      </c>
      <c r="G382" s="42" t="s">
        <v>35</v>
      </c>
      <c r="H382" s="44">
        <v>46121</v>
      </c>
      <c r="I382" s="44">
        <v>46140</v>
      </c>
      <c r="J382" s="40" t="s">
        <v>102</v>
      </c>
      <c r="K382" s="40" t="s">
        <v>92</v>
      </c>
      <c r="L382" s="46" t="s">
        <v>215</v>
      </c>
      <c r="M382" s="46" t="s">
        <v>93</v>
      </c>
      <c r="N382" s="46" t="s">
        <v>93</v>
      </c>
      <c r="O382" s="45"/>
      <c r="P382" s="46" t="str">
        <f t="shared" si="5"/>
        <v>DÜZELTME</v>
      </c>
      <c r="R382" s="47" t="str">
        <f>IF(AND($I382&lt;&gt;"",$I382&gt;=DATE(2026,6,23),COUNTIFS($C:$C,$C382,$I:$I,$I382)&gt;2),"⚠ "&amp;COUNTIFS($C:$C,$C382,$I:$I,$I382)&amp;" BAŞVURU!","")</f>
        <v/>
      </c>
    </row>
    <row r="383" spans="1:18" ht="63" customHeight="1" x14ac:dyDescent="0.25">
      <c r="A383" s="39" t="s">
        <v>1899</v>
      </c>
      <c r="B383" s="39" t="s">
        <v>1900</v>
      </c>
      <c r="C383" s="40" t="s">
        <v>1901</v>
      </c>
      <c r="D383" s="40" t="s">
        <v>512</v>
      </c>
      <c r="E383" s="41" t="s">
        <v>1902</v>
      </c>
      <c r="F383" s="41" t="s">
        <v>1903</v>
      </c>
      <c r="G383" s="42" t="s">
        <v>35</v>
      </c>
      <c r="H383" s="44">
        <v>46121</v>
      </c>
      <c r="I383" s="44">
        <v>46140</v>
      </c>
      <c r="J383" s="40" t="s">
        <v>118</v>
      </c>
      <c r="K383" s="40" t="s">
        <v>74</v>
      </c>
      <c r="L383" s="46" t="s">
        <v>66</v>
      </c>
      <c r="M383" s="46"/>
      <c r="N383" s="46"/>
      <c r="O383" s="45"/>
      <c r="P383" s="46" t="str">
        <f t="shared" si="5"/>
        <v>ONAY</v>
      </c>
      <c r="R383" s="47" t="str">
        <f>IF(AND($I383&lt;&gt;"",$I383&gt;=DATE(2026,6,23),COUNTIFS($C:$C,$C383,$I:$I,$I383)&gt;2),"⚠ "&amp;COUNTIFS($C:$C,$C383,$I:$I,$I383)&amp;" BAŞVURU!","")</f>
        <v/>
      </c>
    </row>
    <row r="384" spans="1:18" ht="78.75" customHeight="1" x14ac:dyDescent="0.25">
      <c r="A384" s="39" t="s">
        <v>1904</v>
      </c>
      <c r="B384" s="39" t="s">
        <v>1905</v>
      </c>
      <c r="C384" s="40" t="s">
        <v>1459</v>
      </c>
      <c r="D384" s="40" t="s">
        <v>107</v>
      </c>
      <c r="E384" s="41" t="s">
        <v>1906</v>
      </c>
      <c r="F384" s="41" t="s">
        <v>1907</v>
      </c>
      <c r="G384" s="42" t="s">
        <v>34</v>
      </c>
      <c r="H384" s="44">
        <v>46121</v>
      </c>
      <c r="I384" s="44">
        <v>46140</v>
      </c>
      <c r="J384" s="40" t="s">
        <v>110</v>
      </c>
      <c r="K384" s="40" t="s">
        <v>83</v>
      </c>
      <c r="L384" s="46" t="s">
        <v>66</v>
      </c>
      <c r="M384" s="46"/>
      <c r="N384" s="46"/>
      <c r="O384" s="45"/>
      <c r="P384" s="46" t="str">
        <f t="shared" si="5"/>
        <v>ONAY</v>
      </c>
      <c r="R384" s="47" t="str">
        <f>IF(AND($I384&lt;&gt;"",$I384&gt;=DATE(2026,6,23),COUNTIFS($C:$C,$C384,$I:$I,$I384)&gt;2),"⚠ "&amp;COUNTIFS($C:$C,$C384,$I:$I,$I384)&amp;" BAŞVURU!","")</f>
        <v/>
      </c>
    </row>
    <row r="385" spans="1:18" ht="80.25" customHeight="1" x14ac:dyDescent="0.25">
      <c r="A385" s="39" t="s">
        <v>1908</v>
      </c>
      <c r="B385" s="39" t="s">
        <v>1909</v>
      </c>
      <c r="C385" s="40" t="s">
        <v>1735</v>
      </c>
      <c r="D385" s="40" t="s">
        <v>107</v>
      </c>
      <c r="E385" s="41" t="s">
        <v>1910</v>
      </c>
      <c r="F385" s="41" t="s">
        <v>1911</v>
      </c>
      <c r="G385" s="42" t="s">
        <v>34</v>
      </c>
      <c r="H385" s="44">
        <v>46121</v>
      </c>
      <c r="I385" s="44">
        <v>46140</v>
      </c>
      <c r="J385" s="40" t="s">
        <v>125</v>
      </c>
      <c r="K385" s="40" t="s">
        <v>64</v>
      </c>
      <c r="L385" s="46" t="s">
        <v>93</v>
      </c>
      <c r="M385" s="46"/>
      <c r="N385" s="46"/>
      <c r="O385" s="45"/>
      <c r="P385" s="46" t="str">
        <f t="shared" si="5"/>
        <v>DÜZELTME</v>
      </c>
      <c r="R385" s="47" t="str">
        <f>IF(AND($I385&lt;&gt;"",$I385&gt;=DATE(2026,6,23),COUNTIFS($C:$C,$C385,$I:$I,$I385)&gt;2),"⚠ "&amp;COUNTIFS($C:$C,$C385,$I:$I,$I385)&amp;" BAŞVURU!","")</f>
        <v/>
      </c>
    </row>
    <row r="386" spans="1:18" ht="63" customHeight="1" x14ac:dyDescent="0.25">
      <c r="A386" s="39" t="s">
        <v>1912</v>
      </c>
      <c r="B386" s="39" t="s">
        <v>1913</v>
      </c>
      <c r="C386" s="40" t="s">
        <v>547</v>
      </c>
      <c r="D386" s="40" t="s">
        <v>392</v>
      </c>
      <c r="E386" s="41" t="s">
        <v>1914</v>
      </c>
      <c r="F386" s="41" t="s">
        <v>1915</v>
      </c>
      <c r="G386" s="42" t="s">
        <v>34</v>
      </c>
      <c r="H386" s="44">
        <v>46121</v>
      </c>
      <c r="I386" s="44">
        <v>46140</v>
      </c>
      <c r="J386" s="40" t="s">
        <v>101</v>
      </c>
      <c r="K386" s="40" t="s">
        <v>125</v>
      </c>
      <c r="L386" s="46" t="s">
        <v>66</v>
      </c>
      <c r="M386" s="46"/>
      <c r="N386" s="46"/>
      <c r="O386" s="45"/>
      <c r="P386" s="46" t="str">
        <f t="shared" ref="P386:P449" si="6">IF(O386&lt;&gt;"",O386, IF(N386&lt;&gt;"",N386, IF(M386&lt;&gt;"",M386, L386)))</f>
        <v>ONAY</v>
      </c>
      <c r="R386" s="47" t="str">
        <f>IF(AND($I386&lt;&gt;"",$I386&gt;=DATE(2026,6,23),COUNTIFS($C:$C,$C386,$I:$I,$I386)&gt;2),"⚠ "&amp;COUNTIFS($C:$C,$C386,$I:$I,$I386)&amp;" BAŞVURU!","")</f>
        <v/>
      </c>
    </row>
    <row r="387" spans="1:18" ht="63" customHeight="1" x14ac:dyDescent="0.25">
      <c r="A387" s="39" t="s">
        <v>1916</v>
      </c>
      <c r="B387" s="39" t="s">
        <v>1917</v>
      </c>
      <c r="C387" s="40" t="s">
        <v>352</v>
      </c>
      <c r="D387" s="40" t="s">
        <v>353</v>
      </c>
      <c r="E387" s="41" t="s">
        <v>1918</v>
      </c>
      <c r="F387" s="41" t="s">
        <v>1919</v>
      </c>
      <c r="G387" s="42" t="s">
        <v>35</v>
      </c>
      <c r="H387" s="44">
        <v>46122</v>
      </c>
      <c r="I387" s="44">
        <v>46140</v>
      </c>
      <c r="J387" s="40" t="s">
        <v>91</v>
      </c>
      <c r="K387" s="40" t="s">
        <v>118</v>
      </c>
      <c r="L387" s="46" t="s">
        <v>66</v>
      </c>
      <c r="M387" s="46"/>
      <c r="N387" s="46"/>
      <c r="O387" s="45"/>
      <c r="P387" s="46" t="str">
        <f t="shared" si="6"/>
        <v>ONAY</v>
      </c>
      <c r="R387" s="47" t="str">
        <f>IF(AND($I387&lt;&gt;"",$I387&gt;=DATE(2026,6,23),COUNTIFS($C:$C,$C387,$I:$I,$I387)&gt;2),"⚠ "&amp;COUNTIFS($C:$C,$C387,$I:$I,$I387)&amp;" BAŞVURU!","")</f>
        <v/>
      </c>
    </row>
    <row r="388" spans="1:18" ht="94.5" customHeight="1" x14ac:dyDescent="0.25">
      <c r="A388" s="39" t="s">
        <v>1920</v>
      </c>
      <c r="B388" s="39" t="s">
        <v>1921</v>
      </c>
      <c r="C388" s="40" t="s">
        <v>1922</v>
      </c>
      <c r="D388" s="40" t="s">
        <v>1923</v>
      </c>
      <c r="E388" s="41" t="s">
        <v>1924</v>
      </c>
      <c r="F388" s="41" t="s">
        <v>1925</v>
      </c>
      <c r="G388" s="42" t="s">
        <v>36</v>
      </c>
      <c r="H388" s="44">
        <v>46125</v>
      </c>
      <c r="I388" s="44">
        <v>46140</v>
      </c>
      <c r="J388" s="40" t="s">
        <v>110</v>
      </c>
      <c r="K388" s="40" t="s">
        <v>74</v>
      </c>
      <c r="L388" s="46" t="s">
        <v>93</v>
      </c>
      <c r="M388" s="46" t="s">
        <v>66</v>
      </c>
      <c r="N388" s="46"/>
      <c r="O388" s="45"/>
      <c r="P388" s="46" t="str">
        <f t="shared" si="6"/>
        <v>ONAY</v>
      </c>
      <c r="Q388" s="25" t="s">
        <v>74</v>
      </c>
      <c r="R388" s="47" t="str">
        <f>IF(AND($I388&lt;&gt;"",$I388&gt;=DATE(2026,6,23),COUNTIFS($C:$C,$C388,$I:$I,$I388)&gt;2),"⚠ "&amp;COUNTIFS($C:$C,$C388,$I:$I,$I388)&amp;" BAŞVURU!","")</f>
        <v/>
      </c>
    </row>
    <row r="389" spans="1:18" ht="78.75" customHeight="1" x14ac:dyDescent="0.25">
      <c r="A389" s="39" t="s">
        <v>1926</v>
      </c>
      <c r="B389" s="39" t="s">
        <v>1927</v>
      </c>
      <c r="C389" s="40" t="s">
        <v>1275</v>
      </c>
      <c r="D389" s="40" t="s">
        <v>234</v>
      </c>
      <c r="E389" s="41" t="s">
        <v>1928</v>
      </c>
      <c r="F389" s="41" t="s">
        <v>1929</v>
      </c>
      <c r="G389" s="42" t="s">
        <v>34</v>
      </c>
      <c r="H389" s="44">
        <v>46125</v>
      </c>
      <c r="I389" s="44">
        <v>46140</v>
      </c>
      <c r="J389" s="40" t="s">
        <v>82</v>
      </c>
      <c r="K389" s="40" t="s">
        <v>118</v>
      </c>
      <c r="L389" s="46" t="s">
        <v>66</v>
      </c>
      <c r="M389" s="46"/>
      <c r="N389" s="46"/>
      <c r="O389" s="45"/>
      <c r="P389" s="46" t="str">
        <f t="shared" si="6"/>
        <v>ONAY</v>
      </c>
      <c r="R389" s="47" t="str">
        <f>IF(AND($I389&lt;&gt;"",$I389&gt;=DATE(2026,6,23),COUNTIFS($C:$C,$C389,$I:$I,$I389)&gt;2),"⚠ "&amp;COUNTIFS($C:$C,$C389,$I:$I,$I389)&amp;" BAŞVURU!","")</f>
        <v/>
      </c>
    </row>
    <row r="390" spans="1:18" ht="78.75" customHeight="1" x14ac:dyDescent="0.25">
      <c r="A390" s="39" t="s">
        <v>1930</v>
      </c>
      <c r="B390" s="39" t="s">
        <v>1931</v>
      </c>
      <c r="C390" s="40" t="s">
        <v>1275</v>
      </c>
      <c r="D390" s="40" t="s">
        <v>234</v>
      </c>
      <c r="E390" s="41" t="s">
        <v>1932</v>
      </c>
      <c r="F390" s="41" t="s">
        <v>1933</v>
      </c>
      <c r="G390" s="42" t="s">
        <v>34</v>
      </c>
      <c r="H390" s="44">
        <v>46125</v>
      </c>
      <c r="I390" s="44">
        <v>46140</v>
      </c>
      <c r="J390" s="40" t="s">
        <v>82</v>
      </c>
      <c r="K390" s="40" t="s">
        <v>118</v>
      </c>
      <c r="L390" s="46" t="s">
        <v>93</v>
      </c>
      <c r="M390" s="46" t="s">
        <v>66</v>
      </c>
      <c r="N390" s="46"/>
      <c r="O390" s="45"/>
      <c r="P390" s="46" t="str">
        <f t="shared" si="6"/>
        <v>ONAY</v>
      </c>
      <c r="Q390" s="25" t="s">
        <v>118</v>
      </c>
      <c r="R390" s="47" t="str">
        <f>IF(AND($I390&lt;&gt;"",$I390&gt;=DATE(2026,6,23),COUNTIFS($C:$C,$C390,$I:$I,$I390)&gt;2),"⚠ "&amp;COUNTIFS($C:$C,$C390,$I:$I,$I390)&amp;" BAŞVURU!","")</f>
        <v/>
      </c>
    </row>
    <row r="391" spans="1:18" ht="96" customHeight="1" x14ac:dyDescent="0.25">
      <c r="A391" s="39" t="s">
        <v>1934</v>
      </c>
      <c r="B391" s="39" t="s">
        <v>1935</v>
      </c>
      <c r="C391" s="40" t="s">
        <v>1617</v>
      </c>
      <c r="D391" s="40" t="s">
        <v>369</v>
      </c>
      <c r="E391" s="41" t="s">
        <v>1936</v>
      </c>
      <c r="F391" s="41" t="s">
        <v>1937</v>
      </c>
      <c r="G391" s="42" t="s">
        <v>35</v>
      </c>
      <c r="H391" s="44">
        <v>46125</v>
      </c>
      <c r="I391" s="44">
        <v>46140</v>
      </c>
      <c r="J391" s="40" t="s">
        <v>125</v>
      </c>
      <c r="K391" s="40" t="s">
        <v>74</v>
      </c>
      <c r="L391" s="46" t="s">
        <v>93</v>
      </c>
      <c r="M391" s="46" t="s">
        <v>66</v>
      </c>
      <c r="N391" s="46"/>
      <c r="O391" s="45"/>
      <c r="P391" s="46" t="str">
        <f t="shared" si="6"/>
        <v>ONAY</v>
      </c>
      <c r="Q391" s="25" t="s">
        <v>74</v>
      </c>
      <c r="R391" s="47" t="str">
        <f>IF(AND($I391&lt;&gt;"",$I391&gt;=DATE(2026,6,23),COUNTIFS($C:$C,$C391,$I:$I,$I391)&gt;2),"⚠ "&amp;COUNTIFS($C:$C,$C391,$I:$I,$I391)&amp;" BAŞVURU!","")</f>
        <v/>
      </c>
    </row>
    <row r="392" spans="1:18" ht="63" customHeight="1" x14ac:dyDescent="0.25">
      <c r="A392" s="39" t="s">
        <v>1938</v>
      </c>
      <c r="B392" s="39" t="s">
        <v>1939</v>
      </c>
      <c r="C392" s="40" t="s">
        <v>280</v>
      </c>
      <c r="D392" s="40" t="s">
        <v>172</v>
      </c>
      <c r="E392" s="41" t="s">
        <v>1940</v>
      </c>
      <c r="F392" s="41" t="s">
        <v>1941</v>
      </c>
      <c r="G392" s="42" t="s">
        <v>34</v>
      </c>
      <c r="H392" s="44">
        <v>46126</v>
      </c>
      <c r="I392" s="44">
        <v>46140</v>
      </c>
      <c r="J392" s="40" t="s">
        <v>64</v>
      </c>
      <c r="K392" s="40" t="s">
        <v>92</v>
      </c>
      <c r="L392" s="46" t="s">
        <v>66</v>
      </c>
      <c r="M392" s="46"/>
      <c r="N392" s="46"/>
      <c r="O392" s="45"/>
      <c r="P392" s="46" t="str">
        <f t="shared" si="6"/>
        <v>ONAY</v>
      </c>
      <c r="R392" s="47" t="str">
        <f>IF(AND($I392&lt;&gt;"",$I392&gt;=DATE(2026,6,23),COUNTIFS($C:$C,$C392,$I:$I,$I392)&gt;2),"⚠ "&amp;COUNTIFS($C:$C,$C392,$I:$I,$I392)&amp;" BAŞVURU!","")</f>
        <v/>
      </c>
    </row>
    <row r="393" spans="1:18" ht="63" customHeight="1" x14ac:dyDescent="0.25">
      <c r="A393" s="39" t="s">
        <v>1942</v>
      </c>
      <c r="B393" s="39" t="s">
        <v>1943</v>
      </c>
      <c r="C393" s="40" t="s">
        <v>828</v>
      </c>
      <c r="D393" s="40" t="s">
        <v>425</v>
      </c>
      <c r="E393" s="41" t="s">
        <v>1944</v>
      </c>
      <c r="F393" s="41" t="s">
        <v>1945</v>
      </c>
      <c r="G393" s="42" t="s">
        <v>34</v>
      </c>
      <c r="H393" s="44">
        <v>46127</v>
      </c>
      <c r="I393" s="44">
        <v>46140</v>
      </c>
      <c r="J393" s="40" t="s">
        <v>102</v>
      </c>
      <c r="K393" s="40" t="s">
        <v>83</v>
      </c>
      <c r="L393" s="46" t="s">
        <v>93</v>
      </c>
      <c r="M393" s="46" t="s">
        <v>66</v>
      </c>
      <c r="N393" s="46"/>
      <c r="O393" s="45"/>
      <c r="P393" s="46" t="str">
        <f t="shared" si="6"/>
        <v>ONAY</v>
      </c>
      <c r="Q393" s="25" t="s">
        <v>102</v>
      </c>
      <c r="R393" s="47" t="str">
        <f>IF(AND($I393&lt;&gt;"",$I393&gt;=DATE(2026,6,23),COUNTIFS($C:$C,$C393,$I:$I,$I393)&gt;2),"⚠ "&amp;COUNTIFS($C:$C,$C393,$I:$I,$I393)&amp;" BAŞVURU!","")</f>
        <v/>
      </c>
    </row>
    <row r="394" spans="1:18" ht="47.25" customHeight="1" x14ac:dyDescent="0.25">
      <c r="A394" s="39" t="s">
        <v>1946</v>
      </c>
      <c r="B394" s="39" t="s">
        <v>1947</v>
      </c>
      <c r="C394" s="40" t="s">
        <v>1948</v>
      </c>
      <c r="D394" s="40" t="s">
        <v>79</v>
      </c>
      <c r="E394" s="41" t="s">
        <v>1949</v>
      </c>
      <c r="F394" s="41" t="s">
        <v>1950</v>
      </c>
      <c r="G394" s="42" t="s">
        <v>34</v>
      </c>
      <c r="H394" s="44">
        <v>46127</v>
      </c>
      <c r="I394" s="44">
        <v>46140</v>
      </c>
      <c r="J394" s="40" t="s">
        <v>83</v>
      </c>
      <c r="K394" s="40" t="s">
        <v>92</v>
      </c>
      <c r="L394" s="46" t="s">
        <v>66</v>
      </c>
      <c r="M394" s="46"/>
      <c r="N394" s="46"/>
      <c r="O394" s="45"/>
      <c r="P394" s="46" t="str">
        <f t="shared" si="6"/>
        <v>ONAY</v>
      </c>
      <c r="R394" s="47" t="str">
        <f>IF(AND($I394&lt;&gt;"",$I394&gt;=DATE(2026,6,23),COUNTIFS($C:$C,$C394,$I:$I,$I394)&gt;2),"⚠ "&amp;COUNTIFS($C:$C,$C394,$I:$I,$I394)&amp;" BAŞVURU!","")</f>
        <v/>
      </c>
    </row>
    <row r="395" spans="1:18" ht="63" customHeight="1" x14ac:dyDescent="0.25">
      <c r="A395" s="39" t="s">
        <v>1951</v>
      </c>
      <c r="B395" s="39" t="s">
        <v>1952</v>
      </c>
      <c r="C395" s="40" t="s">
        <v>1953</v>
      </c>
      <c r="D395" s="40" t="s">
        <v>79</v>
      </c>
      <c r="E395" s="41" t="s">
        <v>1954</v>
      </c>
      <c r="F395" s="41" t="s">
        <v>1955</v>
      </c>
      <c r="G395" s="42" t="s">
        <v>34</v>
      </c>
      <c r="H395" s="44">
        <v>46127</v>
      </c>
      <c r="I395" s="44">
        <v>46140</v>
      </c>
      <c r="J395" s="40" t="s">
        <v>83</v>
      </c>
      <c r="K395" s="40" t="s">
        <v>125</v>
      </c>
      <c r="L395" s="46" t="s">
        <v>66</v>
      </c>
      <c r="M395" s="46"/>
      <c r="N395" s="46"/>
      <c r="O395" s="45"/>
      <c r="P395" s="46" t="str">
        <f t="shared" si="6"/>
        <v>ONAY</v>
      </c>
      <c r="R395" s="47" t="str">
        <f>IF(AND($I395&lt;&gt;"",$I395&gt;=DATE(2026,6,23),COUNTIFS($C:$C,$C395,$I:$I,$I395)&gt;2),"⚠ "&amp;COUNTIFS($C:$C,$C395,$I:$I,$I395)&amp;" BAŞVURU!","")</f>
        <v/>
      </c>
    </row>
    <row r="396" spans="1:18" ht="63" customHeight="1" x14ac:dyDescent="0.25">
      <c r="A396" s="39" t="s">
        <v>1956</v>
      </c>
      <c r="B396" s="39" t="s">
        <v>1957</v>
      </c>
      <c r="C396" s="40" t="s">
        <v>92</v>
      </c>
      <c r="D396" s="40" t="s">
        <v>130</v>
      </c>
      <c r="E396" s="41" t="s">
        <v>1958</v>
      </c>
      <c r="F396" s="41" t="s">
        <v>1959</v>
      </c>
      <c r="G396" s="42" t="s">
        <v>35</v>
      </c>
      <c r="H396" s="44">
        <v>46127</v>
      </c>
      <c r="I396" s="44">
        <v>46140</v>
      </c>
      <c r="J396" s="40" t="s">
        <v>101</v>
      </c>
      <c r="K396" s="40" t="s">
        <v>91</v>
      </c>
      <c r="L396" s="46" t="s">
        <v>66</v>
      </c>
      <c r="M396" s="46"/>
      <c r="N396" s="46"/>
      <c r="O396" s="45"/>
      <c r="P396" s="46" t="str">
        <f t="shared" si="6"/>
        <v>ONAY</v>
      </c>
      <c r="R396" s="47" t="str">
        <f>IF(AND($I396&lt;&gt;"",$I396&gt;=DATE(2026,6,23),COUNTIFS($C:$C,$C396,$I:$I,$I396)&gt;2),"⚠ "&amp;COUNTIFS($C:$C,$C396,$I:$I,$I396)&amp;" BAŞVURU!","")</f>
        <v/>
      </c>
    </row>
    <row r="397" spans="1:18" ht="79.5" customHeight="1" x14ac:dyDescent="0.25">
      <c r="A397" s="39" t="s">
        <v>1960</v>
      </c>
      <c r="B397" s="39" t="s">
        <v>1961</v>
      </c>
      <c r="C397" s="40" t="s">
        <v>1080</v>
      </c>
      <c r="D397" s="40" t="s">
        <v>107</v>
      </c>
      <c r="E397" s="41" t="s">
        <v>1670</v>
      </c>
      <c r="F397" s="41" t="s">
        <v>1962</v>
      </c>
      <c r="G397" s="42" t="s">
        <v>34</v>
      </c>
      <c r="H397" s="44">
        <v>46127</v>
      </c>
      <c r="I397" s="44">
        <v>46140</v>
      </c>
      <c r="J397" s="40" t="s">
        <v>82</v>
      </c>
      <c r="K397" s="40" t="s">
        <v>110</v>
      </c>
      <c r="L397" s="46" t="s">
        <v>93</v>
      </c>
      <c r="M397" s="46" t="s">
        <v>66</v>
      </c>
      <c r="N397" s="46"/>
      <c r="O397" s="45"/>
      <c r="P397" s="46" t="str">
        <f t="shared" si="6"/>
        <v>ONAY</v>
      </c>
      <c r="Q397" s="25" t="s">
        <v>110</v>
      </c>
      <c r="R397" s="47" t="str">
        <f>IF(AND($I397&lt;&gt;"",$I397&gt;=DATE(2026,6,23),COUNTIFS($C:$C,$C397,$I:$I,$I397)&gt;2),"⚠ "&amp;COUNTIFS($C:$C,$C397,$I:$I,$I397)&amp;" BAŞVURU!","")</f>
        <v/>
      </c>
    </row>
    <row r="398" spans="1:18" ht="94.5" customHeight="1" x14ac:dyDescent="0.25">
      <c r="A398" s="39" t="s">
        <v>1963</v>
      </c>
      <c r="B398" s="39" t="s">
        <v>1964</v>
      </c>
      <c r="C398" s="40" t="s">
        <v>1965</v>
      </c>
      <c r="D398" s="40" t="s">
        <v>150</v>
      </c>
      <c r="E398" s="41" t="s">
        <v>1966</v>
      </c>
      <c r="F398" s="41" t="s">
        <v>1967</v>
      </c>
      <c r="G398" s="42" t="s">
        <v>35</v>
      </c>
      <c r="H398" s="44">
        <v>46127</v>
      </c>
      <c r="I398" s="44">
        <v>46140</v>
      </c>
      <c r="J398" s="40" t="s">
        <v>102</v>
      </c>
      <c r="K398" s="40" t="s">
        <v>74</v>
      </c>
      <c r="L398" s="46" t="s">
        <v>93</v>
      </c>
      <c r="M398" s="46" t="s">
        <v>66</v>
      </c>
      <c r="N398" s="46"/>
      <c r="O398" s="45"/>
      <c r="P398" s="46" t="str">
        <f t="shared" si="6"/>
        <v>ONAY</v>
      </c>
      <c r="Q398" s="25" t="s">
        <v>102</v>
      </c>
      <c r="R398" s="47" t="str">
        <f>IF(AND($I398&lt;&gt;"",$I398&gt;=DATE(2026,6,23),COUNTIFS($C:$C,$C398,$I:$I,$I398)&gt;2),"⚠ "&amp;COUNTIFS($C:$C,$C398,$I:$I,$I398)&amp;" BAŞVURU!","")</f>
        <v/>
      </c>
    </row>
    <row r="399" spans="1:18" ht="78.75" customHeight="1" x14ac:dyDescent="0.25">
      <c r="A399" s="39" t="s">
        <v>1968</v>
      </c>
      <c r="B399" s="39" t="s">
        <v>1969</v>
      </c>
      <c r="C399" s="40" t="s">
        <v>1970</v>
      </c>
      <c r="D399" s="40" t="s">
        <v>1971</v>
      </c>
      <c r="E399" s="41" t="s">
        <v>1972</v>
      </c>
      <c r="F399" s="41" t="s">
        <v>1973</v>
      </c>
      <c r="G399" s="42" t="s">
        <v>37</v>
      </c>
      <c r="H399" s="44">
        <v>46127</v>
      </c>
      <c r="I399" s="44">
        <v>46140</v>
      </c>
      <c r="J399" s="40" t="s">
        <v>83</v>
      </c>
      <c r="K399" s="40" t="s">
        <v>92</v>
      </c>
      <c r="L399" s="46" t="s">
        <v>66</v>
      </c>
      <c r="M399" s="46"/>
      <c r="N399" s="46"/>
      <c r="O399" s="45"/>
      <c r="P399" s="46" t="str">
        <f t="shared" si="6"/>
        <v>ONAY</v>
      </c>
      <c r="R399" s="47" t="str">
        <f>IF(AND($I399&lt;&gt;"",$I399&gt;=DATE(2026,6,23),COUNTIFS($C:$C,$C399,$I:$I,$I399)&gt;2),"⚠ "&amp;COUNTIFS($C:$C,$C399,$I:$I,$I399)&amp;" BAŞVURU!","")</f>
        <v/>
      </c>
    </row>
    <row r="400" spans="1:18" ht="63" customHeight="1" x14ac:dyDescent="0.25">
      <c r="A400" s="39" t="s">
        <v>1974</v>
      </c>
      <c r="B400" s="39" t="s">
        <v>1975</v>
      </c>
      <c r="C400" s="40" t="s">
        <v>1976</v>
      </c>
      <c r="D400" s="40" t="s">
        <v>115</v>
      </c>
      <c r="E400" s="41" t="s">
        <v>1977</v>
      </c>
      <c r="F400" s="41" t="s">
        <v>1978</v>
      </c>
      <c r="G400" s="42" t="s">
        <v>34</v>
      </c>
      <c r="H400" s="44">
        <v>46127</v>
      </c>
      <c r="I400" s="44">
        <v>46140</v>
      </c>
      <c r="J400" s="40" t="s">
        <v>118</v>
      </c>
      <c r="K400" s="40" t="s">
        <v>91</v>
      </c>
      <c r="L400" s="46" t="s">
        <v>66</v>
      </c>
      <c r="M400" s="46"/>
      <c r="N400" s="46"/>
      <c r="O400" s="45"/>
      <c r="P400" s="46" t="str">
        <f t="shared" si="6"/>
        <v>ONAY</v>
      </c>
      <c r="R400" s="47" t="str">
        <f>IF(AND($I400&lt;&gt;"",$I400&gt;=DATE(2026,6,23),COUNTIFS($C:$C,$C400,$I:$I,$I400)&gt;2),"⚠ "&amp;COUNTIFS($C:$C,$C400,$I:$I,$I400)&amp;" BAŞVURU!","")</f>
        <v/>
      </c>
    </row>
    <row r="401" spans="1:18" ht="126" customHeight="1" x14ac:dyDescent="0.25">
      <c r="A401" s="39" t="s">
        <v>1979</v>
      </c>
      <c r="B401" s="39" t="s">
        <v>1980</v>
      </c>
      <c r="C401" s="40" t="s">
        <v>752</v>
      </c>
      <c r="D401" s="40" t="s">
        <v>753</v>
      </c>
      <c r="E401" s="41" t="s">
        <v>1981</v>
      </c>
      <c r="F401" s="41" t="s">
        <v>1982</v>
      </c>
      <c r="G401" s="42" t="s">
        <v>34</v>
      </c>
      <c r="H401" s="44">
        <v>46128</v>
      </c>
      <c r="I401" s="44">
        <v>46140</v>
      </c>
      <c r="J401" s="40" t="s">
        <v>102</v>
      </c>
      <c r="K401" s="40" t="s">
        <v>64</v>
      </c>
      <c r="L401" s="46" t="s">
        <v>93</v>
      </c>
      <c r="M401" s="46"/>
      <c r="N401" s="46"/>
      <c r="O401" s="45"/>
      <c r="P401" s="46" t="str">
        <f t="shared" si="6"/>
        <v>DÜZELTME</v>
      </c>
      <c r="R401" s="47" t="str">
        <f>IF(AND($I401&lt;&gt;"",$I401&gt;=DATE(2026,6,23),COUNTIFS($C:$C,$C401,$I:$I,$I401)&gt;2),"⚠ "&amp;COUNTIFS($C:$C,$C401,$I:$I,$I401)&amp;" BAŞVURU!","")</f>
        <v/>
      </c>
    </row>
    <row r="402" spans="1:18" ht="78.75" customHeight="1" x14ac:dyDescent="0.25">
      <c r="A402" s="39" t="s">
        <v>1983</v>
      </c>
      <c r="B402" s="39" t="s">
        <v>1984</v>
      </c>
      <c r="C402" s="40" t="s">
        <v>1823</v>
      </c>
      <c r="D402" s="40" t="s">
        <v>107</v>
      </c>
      <c r="E402" s="41" t="s">
        <v>1985</v>
      </c>
      <c r="F402" s="41" t="s">
        <v>1986</v>
      </c>
      <c r="G402" s="42" t="s">
        <v>34</v>
      </c>
      <c r="H402" s="44">
        <v>46134</v>
      </c>
      <c r="I402" s="44">
        <v>46154</v>
      </c>
      <c r="J402" s="40" t="s">
        <v>125</v>
      </c>
      <c r="K402" s="40" t="s">
        <v>102</v>
      </c>
      <c r="L402" s="46" t="s">
        <v>66</v>
      </c>
      <c r="M402" s="46"/>
      <c r="N402" s="46"/>
      <c r="O402" s="45"/>
      <c r="P402" s="46" t="str">
        <f t="shared" si="6"/>
        <v>ONAY</v>
      </c>
      <c r="R402" s="47" t="str">
        <f>IF(AND($I402&lt;&gt;"",$I402&gt;=DATE(2026,6,23),COUNTIFS($C:$C,$C402,$I:$I,$I402)&gt;2),"⚠ "&amp;COUNTIFS($C:$C,$C402,$I:$I,$I402)&amp;" BAŞVURU!","")</f>
        <v/>
      </c>
    </row>
    <row r="403" spans="1:18" ht="63" customHeight="1" x14ac:dyDescent="0.25">
      <c r="A403" s="39" t="s">
        <v>1987</v>
      </c>
      <c r="B403" s="39" t="s">
        <v>1988</v>
      </c>
      <c r="C403" s="40" t="s">
        <v>199</v>
      </c>
      <c r="D403" s="40" t="s">
        <v>200</v>
      </c>
      <c r="E403" s="41" t="s">
        <v>868</v>
      </c>
      <c r="F403" s="41" t="s">
        <v>1989</v>
      </c>
      <c r="G403" s="42" t="s">
        <v>34</v>
      </c>
      <c r="H403" s="44">
        <v>46134</v>
      </c>
      <c r="I403" s="44">
        <v>46154</v>
      </c>
      <c r="J403" s="40" t="s">
        <v>82</v>
      </c>
      <c r="K403" s="40" t="s">
        <v>74</v>
      </c>
      <c r="L403" s="46"/>
      <c r="M403" s="46"/>
      <c r="N403" s="46"/>
      <c r="O403" s="45"/>
      <c r="P403" s="46">
        <f t="shared" si="6"/>
        <v>0</v>
      </c>
      <c r="R403" s="47" t="str">
        <f>IF(AND($I403&lt;&gt;"",$I403&gt;=DATE(2026,6,23),COUNTIFS($C:$C,$C403,$I:$I,$I403)&gt;2),"⚠ "&amp;COUNTIFS($C:$C,$C403,$I:$I,$I403)&amp;" BAŞVURU!","")</f>
        <v/>
      </c>
    </row>
    <row r="404" spans="1:18" ht="78.75" customHeight="1" x14ac:dyDescent="0.25">
      <c r="A404" s="39" t="s">
        <v>1990</v>
      </c>
      <c r="B404" s="39" t="s">
        <v>1991</v>
      </c>
      <c r="C404" s="40" t="s">
        <v>1992</v>
      </c>
      <c r="D404" s="40" t="s">
        <v>442</v>
      </c>
      <c r="E404" s="41" t="s">
        <v>1993</v>
      </c>
      <c r="F404" s="41" t="s">
        <v>1994</v>
      </c>
      <c r="G404" s="42" t="s">
        <v>34</v>
      </c>
      <c r="H404" s="44">
        <v>46134</v>
      </c>
      <c r="I404" s="44">
        <v>46154</v>
      </c>
      <c r="J404" s="40" t="s">
        <v>118</v>
      </c>
      <c r="K404" s="40" t="s">
        <v>110</v>
      </c>
      <c r="L404" s="46" t="s">
        <v>66</v>
      </c>
      <c r="M404" s="46"/>
      <c r="N404" s="46"/>
      <c r="O404" s="45"/>
      <c r="P404" s="46" t="str">
        <f t="shared" si="6"/>
        <v>ONAY</v>
      </c>
      <c r="R404" s="47" t="str">
        <f>IF(AND($I404&lt;&gt;"",$I404&gt;=DATE(2026,6,23),COUNTIFS($C:$C,$C404,$I:$I,$I404)&gt;2),"⚠ "&amp;COUNTIFS($C:$C,$C404,$I:$I,$I404)&amp;" BAŞVURU!","")</f>
        <v/>
      </c>
    </row>
    <row r="405" spans="1:18" ht="78.75" customHeight="1" x14ac:dyDescent="0.25">
      <c r="A405" s="39" t="s">
        <v>1995</v>
      </c>
      <c r="B405" s="39" t="s">
        <v>1996</v>
      </c>
      <c r="C405" s="40" t="s">
        <v>1997</v>
      </c>
      <c r="D405" s="40" t="s">
        <v>1692</v>
      </c>
      <c r="E405" s="41" t="s">
        <v>1998</v>
      </c>
      <c r="F405" s="41" t="s">
        <v>1999</v>
      </c>
      <c r="G405" s="42" t="s">
        <v>35</v>
      </c>
      <c r="H405" s="44">
        <v>46134</v>
      </c>
      <c r="I405" s="44">
        <v>46154</v>
      </c>
      <c r="J405" s="40" t="s">
        <v>64</v>
      </c>
      <c r="K405" s="40" t="s">
        <v>83</v>
      </c>
      <c r="L405" s="46" t="s">
        <v>93</v>
      </c>
      <c r="M405" s="46" t="s">
        <v>66</v>
      </c>
      <c r="N405" s="46"/>
      <c r="O405" s="45"/>
      <c r="P405" s="46" t="str">
        <f t="shared" si="6"/>
        <v>ONAY</v>
      </c>
      <c r="Q405" s="25" t="s">
        <v>64</v>
      </c>
      <c r="R405" s="47" t="str">
        <f>IF(AND($I405&lt;&gt;"",$I405&gt;=DATE(2026,6,23),COUNTIFS($C:$C,$C405,$I:$I,$I405)&gt;2),"⚠ "&amp;COUNTIFS($C:$C,$C405,$I:$I,$I405)&amp;" BAŞVURU!","")</f>
        <v/>
      </c>
    </row>
    <row r="406" spans="1:18" ht="78.75" customHeight="1" x14ac:dyDescent="0.25">
      <c r="A406" s="39" t="s">
        <v>2000</v>
      </c>
      <c r="B406" s="39" t="s">
        <v>2001</v>
      </c>
      <c r="C406" s="40" t="s">
        <v>2002</v>
      </c>
      <c r="D406" s="40" t="s">
        <v>130</v>
      </c>
      <c r="E406" s="41" t="s">
        <v>2003</v>
      </c>
      <c r="F406" s="41" t="s">
        <v>2004</v>
      </c>
      <c r="G406" s="42" t="s">
        <v>34</v>
      </c>
      <c r="H406" s="44">
        <v>46134</v>
      </c>
      <c r="I406" s="44">
        <v>46154</v>
      </c>
      <c r="J406" s="40" t="s">
        <v>92</v>
      </c>
      <c r="K406" s="40" t="s">
        <v>91</v>
      </c>
      <c r="L406" s="46" t="s">
        <v>66</v>
      </c>
      <c r="M406" s="46"/>
      <c r="N406" s="46"/>
      <c r="O406" s="45"/>
      <c r="P406" s="46" t="str">
        <f t="shared" si="6"/>
        <v>ONAY</v>
      </c>
      <c r="R406" s="47" t="str">
        <f>IF(AND($I406&lt;&gt;"",$I406&gt;=DATE(2026,6,23),COUNTIFS($C:$C,$C406,$I:$I,$I406)&gt;2),"⚠ "&amp;COUNTIFS($C:$C,$C406,$I:$I,$I406)&amp;" BAŞVURU!","")</f>
        <v/>
      </c>
    </row>
    <row r="407" spans="1:18" ht="78.75" customHeight="1" x14ac:dyDescent="0.25">
      <c r="A407" s="39" t="s">
        <v>2005</v>
      </c>
      <c r="B407" s="39" t="s">
        <v>2006</v>
      </c>
      <c r="C407" s="40" t="s">
        <v>143</v>
      </c>
      <c r="D407" s="40" t="s">
        <v>107</v>
      </c>
      <c r="E407" s="41" t="s">
        <v>2007</v>
      </c>
      <c r="F407" s="41" t="s">
        <v>2008</v>
      </c>
      <c r="G407" s="42" t="s">
        <v>34</v>
      </c>
      <c r="H407" s="44">
        <v>46134</v>
      </c>
      <c r="I407" s="44">
        <v>46154</v>
      </c>
      <c r="J407" s="40" t="s">
        <v>65</v>
      </c>
      <c r="K407" s="40" t="s">
        <v>110</v>
      </c>
      <c r="L407" s="46"/>
      <c r="M407" s="46"/>
      <c r="N407" s="46"/>
      <c r="O407" s="45"/>
      <c r="P407" s="46">
        <f t="shared" si="6"/>
        <v>0</v>
      </c>
      <c r="R407" s="47" t="str">
        <f>IF(AND($I407&lt;&gt;"",$I407&gt;=DATE(2026,6,23),COUNTIFS($C:$C,$C407,$I:$I,$I407)&gt;2),"⚠ "&amp;COUNTIFS($C:$C,$C407,$I:$I,$I407)&amp;" BAŞVURU!","")</f>
        <v/>
      </c>
    </row>
    <row r="408" spans="1:18" ht="78.75" customHeight="1" x14ac:dyDescent="0.25">
      <c r="A408" s="39" t="s">
        <v>2009</v>
      </c>
      <c r="B408" s="39" t="s">
        <v>2010</v>
      </c>
      <c r="C408" s="40" t="s">
        <v>1120</v>
      </c>
      <c r="D408" s="40" t="s">
        <v>212</v>
      </c>
      <c r="E408" s="41" t="s">
        <v>2011</v>
      </c>
      <c r="F408" s="41" t="s">
        <v>2012</v>
      </c>
      <c r="G408" s="42" t="s">
        <v>37</v>
      </c>
      <c r="H408" s="44">
        <v>46134</v>
      </c>
      <c r="I408" s="44">
        <v>46154</v>
      </c>
      <c r="J408" s="40" t="s">
        <v>65</v>
      </c>
      <c r="K408" s="40" t="s">
        <v>83</v>
      </c>
      <c r="L408" s="46" t="s">
        <v>66</v>
      </c>
      <c r="M408" s="46"/>
      <c r="N408" s="46"/>
      <c r="O408" s="45"/>
      <c r="P408" s="46" t="str">
        <f t="shared" si="6"/>
        <v>ONAY</v>
      </c>
      <c r="R408" s="47" t="str">
        <f>IF(AND($I408&lt;&gt;"",$I408&gt;=DATE(2026,6,23),COUNTIFS($C:$C,$C408,$I:$I,$I408)&gt;2),"⚠ "&amp;COUNTIFS($C:$C,$C408,$I:$I,$I408)&amp;" BAŞVURU!","")</f>
        <v/>
      </c>
    </row>
    <row r="409" spans="1:18" ht="63.75" customHeight="1" x14ac:dyDescent="0.25">
      <c r="A409" s="39" t="s">
        <v>2013</v>
      </c>
      <c r="B409" s="39" t="s">
        <v>2014</v>
      </c>
      <c r="C409" s="40" t="s">
        <v>1380</v>
      </c>
      <c r="D409" s="40" t="s">
        <v>107</v>
      </c>
      <c r="E409" s="41" t="s">
        <v>2015</v>
      </c>
      <c r="F409" s="41" t="s">
        <v>2016</v>
      </c>
      <c r="G409" s="42" t="s">
        <v>34</v>
      </c>
      <c r="H409" s="44">
        <v>46134</v>
      </c>
      <c r="I409" s="44">
        <v>46154</v>
      </c>
      <c r="J409" s="40" t="s">
        <v>82</v>
      </c>
      <c r="K409" s="40" t="s">
        <v>125</v>
      </c>
      <c r="L409" s="46" t="s">
        <v>93</v>
      </c>
      <c r="M409" s="46"/>
      <c r="N409" s="46"/>
      <c r="O409" s="45"/>
      <c r="P409" s="46" t="str">
        <f t="shared" si="6"/>
        <v>DÜZELTME</v>
      </c>
      <c r="R409" s="47" t="str">
        <f>IF(AND($I409&lt;&gt;"",$I409&gt;=DATE(2026,6,23),COUNTIFS($C:$C,$C409,$I:$I,$I409)&gt;2),"⚠ "&amp;COUNTIFS($C:$C,$C409,$I:$I,$I409)&amp;" BAŞVURU!","")</f>
        <v/>
      </c>
    </row>
    <row r="410" spans="1:18" ht="78.75" customHeight="1" x14ac:dyDescent="0.25">
      <c r="A410" s="39" t="s">
        <v>2017</v>
      </c>
      <c r="B410" s="39" t="s">
        <v>2018</v>
      </c>
      <c r="C410" s="40" t="s">
        <v>106</v>
      </c>
      <c r="D410" s="40" t="s">
        <v>107</v>
      </c>
      <c r="E410" s="41" t="s">
        <v>2019</v>
      </c>
      <c r="F410" s="41" t="s">
        <v>2020</v>
      </c>
      <c r="G410" s="42" t="s">
        <v>34</v>
      </c>
      <c r="H410" s="44">
        <v>46134</v>
      </c>
      <c r="I410" s="44">
        <v>46154</v>
      </c>
      <c r="J410" s="40" t="s">
        <v>102</v>
      </c>
      <c r="K410" s="40" t="s">
        <v>110</v>
      </c>
      <c r="L410" s="46" t="s">
        <v>66</v>
      </c>
      <c r="M410" s="46"/>
      <c r="N410" s="46"/>
      <c r="O410" s="45"/>
      <c r="P410" s="46" t="str">
        <f t="shared" si="6"/>
        <v>ONAY</v>
      </c>
      <c r="R410" s="47" t="str">
        <f>IF(AND($I410&lt;&gt;"",$I410&gt;=DATE(2026,6,23),COUNTIFS($C:$C,$C410,$I:$I,$I410)&gt;2),"⚠ "&amp;COUNTIFS($C:$C,$C410,$I:$I,$I410)&amp;" BAŞVURU!","")</f>
        <v/>
      </c>
    </row>
    <row r="411" spans="1:18" ht="63" customHeight="1" x14ac:dyDescent="0.25">
      <c r="A411" s="39" t="s">
        <v>2021</v>
      </c>
      <c r="B411" s="39" t="s">
        <v>2022</v>
      </c>
      <c r="C411" s="40" t="s">
        <v>552</v>
      </c>
      <c r="D411" s="40" t="s">
        <v>107</v>
      </c>
      <c r="E411" s="41" t="s">
        <v>2023</v>
      </c>
      <c r="F411" s="41" t="s">
        <v>2024</v>
      </c>
      <c r="G411" s="42" t="s">
        <v>34</v>
      </c>
      <c r="H411" s="44">
        <v>46134</v>
      </c>
      <c r="I411" s="44">
        <v>46154</v>
      </c>
      <c r="J411" s="40" t="s">
        <v>74</v>
      </c>
      <c r="K411" s="40" t="s">
        <v>118</v>
      </c>
      <c r="L411" s="46" t="s">
        <v>66</v>
      </c>
      <c r="M411" s="46"/>
      <c r="N411" s="46"/>
      <c r="O411" s="45"/>
      <c r="P411" s="46" t="str">
        <f t="shared" si="6"/>
        <v>ONAY</v>
      </c>
      <c r="R411" s="47" t="str">
        <f>IF(AND($I411&lt;&gt;"",$I411&gt;=DATE(2026,6,23),COUNTIFS($C:$C,$C411,$I:$I,$I411)&gt;2),"⚠ "&amp;COUNTIFS($C:$C,$C411,$I:$I,$I411)&amp;" BAŞVURU!","")</f>
        <v/>
      </c>
    </row>
    <row r="412" spans="1:18" ht="78.75" customHeight="1" x14ac:dyDescent="0.25">
      <c r="A412" s="39" t="s">
        <v>2025</v>
      </c>
      <c r="B412" s="39" t="s">
        <v>2026</v>
      </c>
      <c r="C412" s="40" t="s">
        <v>2027</v>
      </c>
      <c r="D412" s="40" t="s">
        <v>1623</v>
      </c>
      <c r="E412" s="41" t="s">
        <v>2028</v>
      </c>
      <c r="F412" s="41" t="s">
        <v>2029</v>
      </c>
      <c r="G412" s="42" t="s">
        <v>34</v>
      </c>
      <c r="H412" s="44">
        <v>46134</v>
      </c>
      <c r="I412" s="44">
        <v>46154</v>
      </c>
      <c r="J412" s="40" t="s">
        <v>118</v>
      </c>
      <c r="K412" s="40" t="s">
        <v>91</v>
      </c>
      <c r="L412" s="46" t="s">
        <v>66</v>
      </c>
      <c r="M412" s="46"/>
      <c r="N412" s="46"/>
      <c r="O412" s="45"/>
      <c r="P412" s="46" t="str">
        <f t="shared" si="6"/>
        <v>ONAY</v>
      </c>
      <c r="R412" s="47" t="str">
        <f>IF(AND($I412&lt;&gt;"",$I412&gt;=DATE(2026,6,23),COUNTIFS($C:$C,$C412,$I:$I,$I412)&gt;2),"⚠ "&amp;COUNTIFS($C:$C,$C412,$I:$I,$I412)&amp;" BAŞVURU!","")</f>
        <v/>
      </c>
    </row>
    <row r="413" spans="1:18" ht="94.5" customHeight="1" x14ac:dyDescent="0.25">
      <c r="A413" s="39" t="s">
        <v>2030</v>
      </c>
      <c r="B413" s="39" t="s">
        <v>2031</v>
      </c>
      <c r="C413" s="40" t="s">
        <v>1189</v>
      </c>
      <c r="D413" s="40" t="s">
        <v>1190</v>
      </c>
      <c r="E413" s="41" t="s">
        <v>2032</v>
      </c>
      <c r="F413" s="41" t="s">
        <v>2033</v>
      </c>
      <c r="G413" s="42" t="s">
        <v>34</v>
      </c>
      <c r="H413" s="44">
        <v>46134</v>
      </c>
      <c r="I413" s="44">
        <v>46154</v>
      </c>
      <c r="J413" s="40" t="s">
        <v>118</v>
      </c>
      <c r="K413" s="40" t="s">
        <v>65</v>
      </c>
      <c r="L413" s="46" t="s">
        <v>66</v>
      </c>
      <c r="M413" s="46"/>
      <c r="N413" s="46"/>
      <c r="O413" s="45"/>
      <c r="P413" s="46" t="str">
        <f t="shared" si="6"/>
        <v>ONAY</v>
      </c>
      <c r="R413" s="47" t="str">
        <f>IF(AND($I413&lt;&gt;"",$I413&gt;=DATE(2026,6,23),COUNTIFS($C:$C,$C413,$I:$I,$I413)&gt;2),"⚠ "&amp;COUNTIFS($C:$C,$C413,$I:$I,$I413)&amp;" BAŞVURU!","")</f>
        <v/>
      </c>
    </row>
    <row r="414" spans="1:18" ht="78.75" customHeight="1" x14ac:dyDescent="0.25">
      <c r="A414" s="39" t="s">
        <v>2034</v>
      </c>
      <c r="B414" s="39" t="s">
        <v>2035</v>
      </c>
      <c r="C414" s="40" t="s">
        <v>143</v>
      </c>
      <c r="D414" s="40" t="s">
        <v>107</v>
      </c>
      <c r="E414" s="41" t="s">
        <v>2036</v>
      </c>
      <c r="F414" s="41" t="s">
        <v>2037</v>
      </c>
      <c r="G414" s="42" t="s">
        <v>34</v>
      </c>
      <c r="H414" s="44">
        <v>46134</v>
      </c>
      <c r="I414" s="44">
        <v>46154</v>
      </c>
      <c r="J414" s="40" t="s">
        <v>91</v>
      </c>
      <c r="K414" s="40" t="s">
        <v>74</v>
      </c>
      <c r="L414" s="46" t="s">
        <v>66</v>
      </c>
      <c r="M414" s="46"/>
      <c r="N414" s="46"/>
      <c r="O414" s="45"/>
      <c r="P414" s="46" t="str">
        <f t="shared" si="6"/>
        <v>ONAY</v>
      </c>
      <c r="R414" s="47" t="str">
        <f>IF(AND($I414&lt;&gt;"",$I414&gt;=DATE(2026,6,23),COUNTIFS($C:$C,$C414,$I:$I,$I414)&gt;2),"⚠ "&amp;COUNTIFS($C:$C,$C414,$I:$I,$I414)&amp;" BAŞVURU!","")</f>
        <v/>
      </c>
    </row>
    <row r="415" spans="1:18" ht="78.75" customHeight="1" x14ac:dyDescent="0.25">
      <c r="A415" s="39" t="s">
        <v>2038</v>
      </c>
      <c r="B415" s="39" t="s">
        <v>2039</v>
      </c>
      <c r="C415" s="40" t="s">
        <v>2040</v>
      </c>
      <c r="D415" s="40" t="s">
        <v>413</v>
      </c>
      <c r="E415" s="41" t="s">
        <v>2041</v>
      </c>
      <c r="F415" s="41" t="s">
        <v>2042</v>
      </c>
      <c r="G415" s="42" t="s">
        <v>34</v>
      </c>
      <c r="H415" s="44">
        <v>46134</v>
      </c>
      <c r="I415" s="44">
        <v>46154</v>
      </c>
      <c r="J415" s="40" t="s">
        <v>102</v>
      </c>
      <c r="K415" s="40" t="s">
        <v>125</v>
      </c>
      <c r="L415" s="46" t="s">
        <v>66</v>
      </c>
      <c r="M415" s="46"/>
      <c r="N415" s="46"/>
      <c r="O415" s="45"/>
      <c r="P415" s="46" t="str">
        <f t="shared" si="6"/>
        <v>ONAY</v>
      </c>
      <c r="R415" s="47" t="str">
        <f>IF(AND($I415&lt;&gt;"",$I415&gt;=DATE(2026,6,23),COUNTIFS($C:$C,$C415,$I:$I,$I415)&gt;2),"⚠ "&amp;COUNTIFS($C:$C,$C415,$I:$I,$I415)&amp;" BAŞVURU!","")</f>
        <v/>
      </c>
    </row>
    <row r="416" spans="1:18" ht="63" customHeight="1" x14ac:dyDescent="0.25">
      <c r="A416" s="39" t="s">
        <v>2043</v>
      </c>
      <c r="B416" s="39" t="s">
        <v>2044</v>
      </c>
      <c r="C416" s="40" t="s">
        <v>2045</v>
      </c>
      <c r="D416" s="40" t="s">
        <v>234</v>
      </c>
      <c r="E416" s="41" t="s">
        <v>2046</v>
      </c>
      <c r="F416" s="41" t="s">
        <v>2047</v>
      </c>
      <c r="G416" s="42" t="s">
        <v>35</v>
      </c>
      <c r="H416" s="44">
        <v>46134</v>
      </c>
      <c r="I416" s="44">
        <v>46154</v>
      </c>
      <c r="J416" s="40" t="s">
        <v>65</v>
      </c>
      <c r="K416" s="40" t="s">
        <v>92</v>
      </c>
      <c r="L416" s="46" t="s">
        <v>66</v>
      </c>
      <c r="M416" s="46"/>
      <c r="N416" s="46"/>
      <c r="O416" s="45"/>
      <c r="P416" s="46" t="str">
        <f t="shared" si="6"/>
        <v>ONAY</v>
      </c>
      <c r="R416" s="47" t="str">
        <f>IF(AND($I416&lt;&gt;"",$I416&gt;=DATE(2026,6,23),COUNTIFS($C:$C,$C416,$I:$I,$I416)&gt;2),"⚠ "&amp;COUNTIFS($C:$C,$C416,$I:$I,$I416)&amp;" BAŞVURU!","")</f>
        <v/>
      </c>
    </row>
    <row r="417" spans="1:18" ht="93" customHeight="1" x14ac:dyDescent="0.25">
      <c r="A417" s="39" t="s">
        <v>2048</v>
      </c>
      <c r="B417" s="39" t="s">
        <v>2049</v>
      </c>
      <c r="C417" s="40" t="s">
        <v>424</v>
      </c>
      <c r="D417" s="40" t="s">
        <v>425</v>
      </c>
      <c r="E417" s="41" t="s">
        <v>2050</v>
      </c>
      <c r="F417" s="41" t="s">
        <v>2051</v>
      </c>
      <c r="G417" s="42" t="s">
        <v>37</v>
      </c>
      <c r="H417" s="44">
        <v>46134</v>
      </c>
      <c r="I417" s="44">
        <v>46154</v>
      </c>
      <c r="J417" s="40" t="s">
        <v>74</v>
      </c>
      <c r="K417" s="40" t="s">
        <v>83</v>
      </c>
      <c r="L417" s="46" t="s">
        <v>215</v>
      </c>
      <c r="M417" s="46"/>
      <c r="N417" s="46"/>
      <c r="O417" s="45"/>
      <c r="P417" s="46" t="str">
        <f t="shared" si="6"/>
        <v>GÖRÜŞ</v>
      </c>
      <c r="R417" s="47" t="str">
        <f>IF(AND($I417&lt;&gt;"",$I417&gt;=DATE(2026,6,23),COUNTIFS($C:$C,$C417,$I:$I,$I417)&gt;2),"⚠ "&amp;COUNTIFS($C:$C,$C417,$I:$I,$I417)&amp;" BAŞVURU!","")</f>
        <v/>
      </c>
    </row>
    <row r="418" spans="1:18" ht="63" customHeight="1" x14ac:dyDescent="0.25">
      <c r="A418" s="39" t="s">
        <v>2052</v>
      </c>
      <c r="B418" s="39" t="s">
        <v>2053</v>
      </c>
      <c r="C418" s="40" t="s">
        <v>431</v>
      </c>
      <c r="D418" s="40" t="s">
        <v>432</v>
      </c>
      <c r="E418" s="41" t="s">
        <v>2054</v>
      </c>
      <c r="F418" s="41" t="s">
        <v>2055</v>
      </c>
      <c r="G418" s="42" t="s">
        <v>34</v>
      </c>
      <c r="H418" s="44">
        <v>46134</v>
      </c>
      <c r="I418" s="44">
        <v>46154</v>
      </c>
      <c r="J418" s="40" t="s">
        <v>83</v>
      </c>
      <c r="K418" s="40" t="s">
        <v>65</v>
      </c>
      <c r="L418" s="46" t="s">
        <v>66</v>
      </c>
      <c r="M418" s="46"/>
      <c r="N418" s="46"/>
      <c r="O418" s="45"/>
      <c r="P418" s="46" t="str">
        <f t="shared" si="6"/>
        <v>ONAY</v>
      </c>
      <c r="R418" s="47" t="str">
        <f>IF(AND($I418&lt;&gt;"",$I418&gt;=DATE(2026,6,23),COUNTIFS($C:$C,$C418,$I:$I,$I418)&gt;2),"⚠ "&amp;COUNTIFS($C:$C,$C418,$I:$I,$I418)&amp;" BAŞVURU!","")</f>
        <v/>
      </c>
    </row>
    <row r="419" spans="1:18" ht="63" customHeight="1" x14ac:dyDescent="0.25">
      <c r="A419" s="39" t="s">
        <v>2056</v>
      </c>
      <c r="B419" s="39" t="s">
        <v>2057</v>
      </c>
      <c r="C419" s="40" t="s">
        <v>199</v>
      </c>
      <c r="D419" s="40" t="s">
        <v>200</v>
      </c>
      <c r="E419" s="41" t="s">
        <v>2058</v>
      </c>
      <c r="F419" s="41" t="s">
        <v>2059</v>
      </c>
      <c r="G419" s="42" t="s">
        <v>34</v>
      </c>
      <c r="H419" s="44">
        <v>46134</v>
      </c>
      <c r="I419" s="44">
        <v>46154</v>
      </c>
      <c r="J419" s="40" t="s">
        <v>82</v>
      </c>
      <c r="K419" s="40" t="s">
        <v>91</v>
      </c>
      <c r="L419" s="46"/>
      <c r="M419" s="46"/>
      <c r="N419" s="46"/>
      <c r="O419" s="45"/>
      <c r="P419" s="46">
        <f t="shared" si="6"/>
        <v>0</v>
      </c>
      <c r="R419" s="47" t="str">
        <f>IF(AND($I419&lt;&gt;"",$I419&gt;=DATE(2026,6,23),COUNTIFS($C:$C,$C419,$I:$I,$I419)&gt;2),"⚠ "&amp;COUNTIFS($C:$C,$C419,$I:$I,$I419)&amp;" BAŞVURU!","")</f>
        <v/>
      </c>
    </row>
    <row r="420" spans="1:18" ht="78.75" customHeight="1" x14ac:dyDescent="0.25">
      <c r="A420" s="39" t="s">
        <v>2060</v>
      </c>
      <c r="B420" s="39" t="s">
        <v>2061</v>
      </c>
      <c r="C420" s="40" t="s">
        <v>452</v>
      </c>
      <c r="D420" s="40" t="s">
        <v>392</v>
      </c>
      <c r="E420" s="41" t="s">
        <v>2062</v>
      </c>
      <c r="F420" s="41" t="s">
        <v>2063</v>
      </c>
      <c r="G420" s="42" t="s">
        <v>34</v>
      </c>
      <c r="H420" s="44">
        <v>46136</v>
      </c>
      <c r="I420" s="44">
        <v>46154</v>
      </c>
      <c r="J420" s="40" t="s">
        <v>101</v>
      </c>
      <c r="K420" s="40" t="s">
        <v>92</v>
      </c>
      <c r="L420" s="46" t="s">
        <v>215</v>
      </c>
      <c r="M420" s="46"/>
      <c r="N420" s="46"/>
      <c r="O420" s="45"/>
      <c r="P420" s="46" t="str">
        <f t="shared" si="6"/>
        <v>GÖRÜŞ</v>
      </c>
      <c r="R420" s="47" t="str">
        <f>IF(AND($I420&lt;&gt;"",$I420&gt;=DATE(2026,6,23),COUNTIFS($C:$C,$C420,$I:$I,$I420)&gt;2),"⚠ "&amp;COUNTIFS($C:$C,$C420,$I:$I,$I420)&amp;" BAŞVURU!","")</f>
        <v/>
      </c>
    </row>
    <row r="421" spans="1:18" ht="94.5" customHeight="1" x14ac:dyDescent="0.25">
      <c r="A421" s="39" t="s">
        <v>2064</v>
      </c>
      <c r="B421" s="39" t="s">
        <v>2065</v>
      </c>
      <c r="C421" s="40" t="s">
        <v>2066</v>
      </c>
      <c r="D421" s="40" t="s">
        <v>234</v>
      </c>
      <c r="E421" s="41" t="s">
        <v>2067</v>
      </c>
      <c r="F421" s="41" t="s">
        <v>2068</v>
      </c>
      <c r="G421" s="42" t="s">
        <v>34</v>
      </c>
      <c r="H421" s="44">
        <v>46136</v>
      </c>
      <c r="I421" s="44">
        <v>46154</v>
      </c>
      <c r="J421" s="40" t="s">
        <v>65</v>
      </c>
      <c r="K421" s="40" t="s">
        <v>102</v>
      </c>
      <c r="L421" s="46" t="s">
        <v>66</v>
      </c>
      <c r="M421" s="46"/>
      <c r="N421" s="46"/>
      <c r="O421" s="45"/>
      <c r="P421" s="46" t="str">
        <f t="shared" si="6"/>
        <v>ONAY</v>
      </c>
      <c r="R421" s="47" t="str">
        <f>IF(AND($I421&lt;&gt;"",$I421&gt;=DATE(2026,6,23),COUNTIFS($C:$C,$C421,$I:$I,$I421)&gt;2),"⚠ "&amp;COUNTIFS($C:$C,$C421,$I:$I,$I421)&amp;" BAŞVURU!","")</f>
        <v/>
      </c>
    </row>
    <row r="422" spans="1:18" ht="63" customHeight="1" x14ac:dyDescent="0.25">
      <c r="A422" s="39" t="s">
        <v>2069</v>
      </c>
      <c r="B422" s="39" t="s">
        <v>2070</v>
      </c>
      <c r="C422" s="40" t="s">
        <v>1256</v>
      </c>
      <c r="D422" s="40" t="s">
        <v>419</v>
      </c>
      <c r="E422" s="41" t="s">
        <v>2071</v>
      </c>
      <c r="F422" s="41" t="s">
        <v>2072</v>
      </c>
      <c r="G422" s="42" t="s">
        <v>34</v>
      </c>
      <c r="H422" s="44">
        <v>46136</v>
      </c>
      <c r="I422" s="44">
        <v>46154</v>
      </c>
      <c r="J422" s="40" t="s">
        <v>102</v>
      </c>
      <c r="K422" s="40" t="s">
        <v>125</v>
      </c>
      <c r="L422" s="46" t="s">
        <v>66</v>
      </c>
      <c r="M422" s="46"/>
      <c r="N422" s="46"/>
      <c r="O422" s="45"/>
      <c r="P422" s="46" t="str">
        <f t="shared" si="6"/>
        <v>ONAY</v>
      </c>
      <c r="R422" s="47" t="str">
        <f>IF(AND($I422&lt;&gt;"",$I422&gt;=DATE(2026,6,23),COUNTIFS($C:$C,$C422,$I:$I,$I422)&gt;2),"⚠ "&amp;COUNTIFS($C:$C,$C422,$I:$I,$I422)&amp;" BAŞVURU!","")</f>
        <v/>
      </c>
    </row>
    <row r="423" spans="1:18" ht="78.75" customHeight="1" x14ac:dyDescent="0.25">
      <c r="A423" s="39" t="s">
        <v>2073</v>
      </c>
      <c r="B423" s="39" t="s">
        <v>2074</v>
      </c>
      <c r="C423" s="40" t="s">
        <v>310</v>
      </c>
      <c r="D423" s="40" t="s">
        <v>234</v>
      </c>
      <c r="E423" s="41" t="s">
        <v>2075</v>
      </c>
      <c r="F423" s="41" t="s">
        <v>2076</v>
      </c>
      <c r="G423" s="42" t="s">
        <v>34</v>
      </c>
      <c r="H423" s="44">
        <v>46139</v>
      </c>
      <c r="I423" s="44">
        <v>46154</v>
      </c>
      <c r="J423" s="40" t="s">
        <v>102</v>
      </c>
      <c r="K423" s="40" t="s">
        <v>65</v>
      </c>
      <c r="L423" s="46" t="s">
        <v>93</v>
      </c>
      <c r="M423" s="46"/>
      <c r="N423" s="46"/>
      <c r="O423" s="45"/>
      <c r="P423" s="46" t="str">
        <f t="shared" si="6"/>
        <v>DÜZELTME</v>
      </c>
      <c r="R423" s="47" t="str">
        <f>IF(AND($I423&lt;&gt;"",$I423&gt;=DATE(2026,6,23),COUNTIFS($C:$C,$C423,$I:$I,$I423)&gt;2),"⚠ "&amp;COUNTIFS($C:$C,$C423,$I:$I,$I423)&amp;" BAŞVURU!","")</f>
        <v/>
      </c>
    </row>
    <row r="424" spans="1:18" ht="78.75" customHeight="1" x14ac:dyDescent="0.25">
      <c r="A424" s="39" t="s">
        <v>2077</v>
      </c>
      <c r="B424" s="39" t="s">
        <v>2078</v>
      </c>
      <c r="C424" s="40" t="s">
        <v>2079</v>
      </c>
      <c r="D424" s="40" t="s">
        <v>234</v>
      </c>
      <c r="E424" s="41" t="s">
        <v>2080</v>
      </c>
      <c r="F424" s="41" t="s">
        <v>2081</v>
      </c>
      <c r="G424" s="42" t="s">
        <v>34</v>
      </c>
      <c r="H424" s="44">
        <v>46139</v>
      </c>
      <c r="I424" s="44">
        <v>46154</v>
      </c>
      <c r="J424" s="40" t="s">
        <v>110</v>
      </c>
      <c r="K424" s="40" t="s">
        <v>125</v>
      </c>
      <c r="L424" s="46" t="s">
        <v>93</v>
      </c>
      <c r="M424" s="46" t="s">
        <v>66</v>
      </c>
      <c r="N424" s="46"/>
      <c r="O424" s="45"/>
      <c r="P424" s="46" t="str">
        <f t="shared" si="6"/>
        <v>ONAY</v>
      </c>
      <c r="Q424" s="25" t="s">
        <v>125</v>
      </c>
      <c r="R424" s="47" t="str">
        <f>IF(AND($I424&lt;&gt;"",$I424&gt;=DATE(2026,6,23),COUNTIFS($C:$C,$C424,$I:$I,$I424)&gt;2),"⚠ "&amp;COUNTIFS($C:$C,$C424,$I:$I,$I424)&amp;" BAŞVURU!","")</f>
        <v/>
      </c>
    </row>
    <row r="425" spans="1:18" ht="94.5" customHeight="1" x14ac:dyDescent="0.25">
      <c r="A425" s="39" t="s">
        <v>2082</v>
      </c>
      <c r="B425" s="39" t="s">
        <v>2083</v>
      </c>
      <c r="C425" s="40" t="s">
        <v>823</v>
      </c>
      <c r="D425" s="40" t="s">
        <v>234</v>
      </c>
      <c r="E425" s="41" t="s">
        <v>2084</v>
      </c>
      <c r="F425" s="41" t="s">
        <v>2085</v>
      </c>
      <c r="G425" s="42" t="s">
        <v>34</v>
      </c>
      <c r="H425" s="44">
        <v>46139</v>
      </c>
      <c r="I425" s="44">
        <v>46154</v>
      </c>
      <c r="J425" s="40" t="s">
        <v>110</v>
      </c>
      <c r="K425" s="40" t="s">
        <v>65</v>
      </c>
      <c r="L425" s="46" t="s">
        <v>66</v>
      </c>
      <c r="M425" s="46"/>
      <c r="N425" s="46"/>
      <c r="O425" s="45"/>
      <c r="P425" s="46" t="str">
        <f t="shared" si="6"/>
        <v>ONAY</v>
      </c>
      <c r="R425" s="47" t="str">
        <f>IF(AND($I425&lt;&gt;"",$I425&gt;=DATE(2026,6,23),COUNTIFS($C:$C,$C425,$I:$I,$I425)&gt;2),"⚠ "&amp;COUNTIFS($C:$C,$C425,$I:$I,$I425)&amp;" BAŞVURU!","")</f>
        <v/>
      </c>
    </row>
    <row r="426" spans="1:18" ht="64.5" customHeight="1" x14ac:dyDescent="0.25">
      <c r="A426" s="39" t="s">
        <v>2086</v>
      </c>
      <c r="B426" s="39" t="s">
        <v>2087</v>
      </c>
      <c r="C426" s="40" t="s">
        <v>2088</v>
      </c>
      <c r="D426" s="40" t="s">
        <v>1520</v>
      </c>
      <c r="E426" s="41" t="s">
        <v>2089</v>
      </c>
      <c r="F426" s="41" t="s">
        <v>2090</v>
      </c>
      <c r="G426" s="42" t="s">
        <v>34</v>
      </c>
      <c r="H426" s="44">
        <v>46139</v>
      </c>
      <c r="I426" s="44">
        <v>46154</v>
      </c>
      <c r="J426" s="40" t="s">
        <v>83</v>
      </c>
      <c r="K426" s="40" t="s">
        <v>74</v>
      </c>
      <c r="L426" s="46" t="s">
        <v>66</v>
      </c>
      <c r="M426" s="46"/>
      <c r="N426" s="46"/>
      <c r="O426" s="45"/>
      <c r="P426" s="46" t="str">
        <f t="shared" si="6"/>
        <v>ONAY</v>
      </c>
      <c r="R426" s="47" t="str">
        <f>IF(AND($I426&lt;&gt;"",$I426&gt;=DATE(2026,6,23),COUNTIFS($C:$C,$C426,$I:$I,$I426)&gt;2),"⚠ "&amp;COUNTIFS($C:$C,$C426,$I:$I,$I426)&amp;" BAŞVURU!","")</f>
        <v/>
      </c>
    </row>
    <row r="427" spans="1:18" ht="75" customHeight="1" x14ac:dyDescent="0.25">
      <c r="A427" s="39" t="s">
        <v>2091</v>
      </c>
      <c r="B427" s="39" t="s">
        <v>2092</v>
      </c>
      <c r="C427" s="40" t="s">
        <v>1275</v>
      </c>
      <c r="D427" s="40" t="s">
        <v>234</v>
      </c>
      <c r="E427" s="41" t="s">
        <v>2093</v>
      </c>
      <c r="F427" s="41" t="s">
        <v>2094</v>
      </c>
      <c r="G427" s="42" t="s">
        <v>34</v>
      </c>
      <c r="H427" s="44">
        <v>46139</v>
      </c>
      <c r="I427" s="44">
        <v>46154</v>
      </c>
      <c r="J427" s="40" t="s">
        <v>64</v>
      </c>
      <c r="K427" s="40" t="s">
        <v>92</v>
      </c>
      <c r="L427" s="46" t="s">
        <v>66</v>
      </c>
      <c r="M427" s="46"/>
      <c r="N427" s="46"/>
      <c r="O427" s="45"/>
      <c r="P427" s="46" t="str">
        <f t="shared" si="6"/>
        <v>ONAY</v>
      </c>
      <c r="R427" s="47" t="str">
        <f>IF(AND($I427&lt;&gt;"",$I427&gt;=DATE(2026,6,23),COUNTIFS($C:$C,$C427,$I:$I,$I427)&gt;2),"⚠ "&amp;COUNTIFS($C:$C,$C427,$I:$I,$I427)&amp;" BAŞVURU!","")</f>
        <v/>
      </c>
    </row>
    <row r="428" spans="1:18" ht="63" customHeight="1" x14ac:dyDescent="0.25">
      <c r="A428" s="39" t="s">
        <v>2095</v>
      </c>
      <c r="B428" s="39" t="s">
        <v>2096</v>
      </c>
      <c r="C428" s="40" t="s">
        <v>1612</v>
      </c>
      <c r="D428" s="40" t="s">
        <v>107</v>
      </c>
      <c r="E428" s="41" t="s">
        <v>2097</v>
      </c>
      <c r="F428" s="41" t="s">
        <v>2098</v>
      </c>
      <c r="G428" s="42" t="s">
        <v>34</v>
      </c>
      <c r="H428" s="44">
        <v>46139</v>
      </c>
      <c r="I428" s="44">
        <v>46154</v>
      </c>
      <c r="J428" s="40" t="s">
        <v>82</v>
      </c>
      <c r="K428" s="40" t="s">
        <v>125</v>
      </c>
      <c r="L428" s="46" t="s">
        <v>93</v>
      </c>
      <c r="M428" s="46"/>
      <c r="N428" s="46"/>
      <c r="O428" s="45"/>
      <c r="P428" s="46" t="str">
        <f t="shared" si="6"/>
        <v>DÜZELTME</v>
      </c>
      <c r="R428" s="47" t="str">
        <f>IF(AND($I428&lt;&gt;"",$I428&gt;=DATE(2026,6,23),COUNTIFS($C:$C,$C428,$I:$I,$I428)&gt;2),"⚠ "&amp;COUNTIFS($C:$C,$C428,$I:$I,$I428)&amp;" BAŞVURU!","")</f>
        <v/>
      </c>
    </row>
    <row r="429" spans="1:18" ht="78.75" customHeight="1" x14ac:dyDescent="0.25">
      <c r="A429" s="39" t="s">
        <v>2099</v>
      </c>
      <c r="B429" s="39" t="s">
        <v>2100</v>
      </c>
      <c r="C429" s="40" t="s">
        <v>2101</v>
      </c>
      <c r="D429" s="40" t="s">
        <v>234</v>
      </c>
      <c r="E429" s="41" t="s">
        <v>2102</v>
      </c>
      <c r="F429" s="41" t="s">
        <v>2103</v>
      </c>
      <c r="G429" s="42" t="s">
        <v>34</v>
      </c>
      <c r="H429" s="44">
        <v>46140</v>
      </c>
      <c r="I429" s="44">
        <v>46154</v>
      </c>
      <c r="J429" s="40" t="s">
        <v>101</v>
      </c>
      <c r="K429" s="40" t="s">
        <v>118</v>
      </c>
      <c r="L429" s="46" t="s">
        <v>93</v>
      </c>
      <c r="M429" s="46" t="s">
        <v>66</v>
      </c>
      <c r="N429" s="46"/>
      <c r="O429" s="45"/>
      <c r="P429" s="46" t="str">
        <f t="shared" si="6"/>
        <v>ONAY</v>
      </c>
      <c r="Q429" s="25" t="s">
        <v>101</v>
      </c>
      <c r="R429" s="47" t="str">
        <f>IF(AND($I429&lt;&gt;"",$I429&gt;=DATE(2026,6,23),COUNTIFS($C:$C,$C429,$I:$I,$I429)&gt;2),"⚠ "&amp;COUNTIFS($C:$C,$C429,$I:$I,$I429)&amp;" BAŞVURU!","")</f>
        <v/>
      </c>
    </row>
    <row r="430" spans="1:18" ht="63" customHeight="1" x14ac:dyDescent="0.25">
      <c r="A430" s="39" t="s">
        <v>2104</v>
      </c>
      <c r="B430" s="39" t="s">
        <v>2105</v>
      </c>
      <c r="C430" s="40" t="s">
        <v>2106</v>
      </c>
      <c r="D430" s="40" t="s">
        <v>107</v>
      </c>
      <c r="E430" s="41" t="s">
        <v>2107</v>
      </c>
      <c r="F430" s="41" t="s">
        <v>2108</v>
      </c>
      <c r="G430" s="42" t="s">
        <v>34</v>
      </c>
      <c r="H430" s="44">
        <v>46140</v>
      </c>
      <c r="I430" s="44">
        <v>46154</v>
      </c>
      <c r="J430" s="40" t="s">
        <v>102</v>
      </c>
      <c r="K430" s="40" t="s">
        <v>74</v>
      </c>
      <c r="L430" s="46" t="s">
        <v>93</v>
      </c>
      <c r="M430" s="46"/>
      <c r="N430" s="46"/>
      <c r="O430" s="45"/>
      <c r="P430" s="46" t="str">
        <f t="shared" si="6"/>
        <v>DÜZELTME</v>
      </c>
      <c r="R430" s="47" t="str">
        <f>IF(AND($I430&lt;&gt;"",$I430&gt;=DATE(2026,6,23),COUNTIFS($C:$C,$C430,$I:$I,$I430)&gt;2),"⚠ "&amp;COUNTIFS($C:$C,$C430,$I:$I,$I430)&amp;" BAŞVURU!","")</f>
        <v/>
      </c>
    </row>
    <row r="431" spans="1:18" ht="63" customHeight="1" x14ac:dyDescent="0.25">
      <c r="A431" s="39" t="s">
        <v>2109</v>
      </c>
      <c r="B431" s="39" t="s">
        <v>2110</v>
      </c>
      <c r="C431" s="40" t="s">
        <v>2106</v>
      </c>
      <c r="D431" s="40" t="s">
        <v>107</v>
      </c>
      <c r="E431" s="41" t="s">
        <v>2107</v>
      </c>
      <c r="F431" s="41" t="s">
        <v>2111</v>
      </c>
      <c r="G431" s="42" t="s">
        <v>34</v>
      </c>
      <c r="H431" s="44">
        <v>46140</v>
      </c>
      <c r="I431" s="44">
        <v>46154</v>
      </c>
      <c r="J431" s="40" t="s">
        <v>102</v>
      </c>
      <c r="K431" s="40" t="s">
        <v>74</v>
      </c>
      <c r="L431" s="46" t="s">
        <v>66</v>
      </c>
      <c r="M431" s="46"/>
      <c r="N431" s="46"/>
      <c r="O431" s="45"/>
      <c r="P431" s="46" t="str">
        <f t="shared" si="6"/>
        <v>ONAY</v>
      </c>
      <c r="R431" s="47" t="str">
        <f>IF(AND($I431&lt;&gt;"",$I431&gt;=DATE(2026,6,23),COUNTIFS($C:$C,$C431,$I:$I,$I431)&gt;2),"⚠ "&amp;COUNTIFS($C:$C,$C431,$I:$I,$I431)&amp;" BAŞVURU!","")</f>
        <v/>
      </c>
    </row>
    <row r="432" spans="1:18" ht="63" customHeight="1" x14ac:dyDescent="0.25">
      <c r="A432" s="39" t="s">
        <v>2112</v>
      </c>
      <c r="B432" s="39" t="s">
        <v>2113</v>
      </c>
      <c r="C432" s="40" t="s">
        <v>2114</v>
      </c>
      <c r="D432" s="40" t="s">
        <v>234</v>
      </c>
      <c r="E432" s="41" t="s">
        <v>2115</v>
      </c>
      <c r="F432" s="41" t="s">
        <v>2116</v>
      </c>
      <c r="G432" s="42" t="s">
        <v>35</v>
      </c>
      <c r="H432" s="44">
        <v>46140</v>
      </c>
      <c r="I432" s="44">
        <v>46154</v>
      </c>
      <c r="J432" s="40" t="s">
        <v>82</v>
      </c>
      <c r="K432" s="40" t="s">
        <v>92</v>
      </c>
      <c r="L432" s="46" t="s">
        <v>66</v>
      </c>
      <c r="M432" s="46"/>
      <c r="N432" s="46"/>
      <c r="O432" s="45"/>
      <c r="P432" s="46" t="str">
        <f t="shared" si="6"/>
        <v>ONAY</v>
      </c>
      <c r="R432" s="47" t="str">
        <f>IF(AND($I432&lt;&gt;"",$I432&gt;=DATE(2026,6,23),COUNTIFS($C:$C,$C432,$I:$I,$I432)&gt;2),"⚠ "&amp;COUNTIFS($C:$C,$C432,$I:$I,$I432)&amp;" BAŞVURU!","")</f>
        <v/>
      </c>
    </row>
    <row r="433" spans="1:18" ht="63" customHeight="1" x14ac:dyDescent="0.25">
      <c r="A433" s="39" t="s">
        <v>2117</v>
      </c>
      <c r="B433" s="39" t="s">
        <v>2118</v>
      </c>
      <c r="C433" s="40" t="s">
        <v>118</v>
      </c>
      <c r="D433" s="40" t="s">
        <v>115</v>
      </c>
      <c r="E433" s="41" t="s">
        <v>2119</v>
      </c>
      <c r="F433" s="41" t="s">
        <v>2120</v>
      </c>
      <c r="G433" s="42" t="s">
        <v>34</v>
      </c>
      <c r="H433" s="44">
        <v>46140</v>
      </c>
      <c r="I433" s="44">
        <v>46154</v>
      </c>
      <c r="J433" s="40" t="s">
        <v>110</v>
      </c>
      <c r="K433" s="40" t="s">
        <v>82</v>
      </c>
      <c r="L433" s="46" t="s">
        <v>66</v>
      </c>
      <c r="M433" s="46"/>
      <c r="N433" s="46"/>
      <c r="O433" s="45"/>
      <c r="P433" s="46" t="str">
        <f t="shared" si="6"/>
        <v>ONAY</v>
      </c>
      <c r="R433" s="47" t="str">
        <f>IF(AND($I433&lt;&gt;"",$I433&gt;=DATE(2026,6,23),COUNTIFS($C:$C,$C433,$I:$I,$I433)&gt;2),"⚠ "&amp;COUNTIFS($C:$C,$C433,$I:$I,$I433)&amp;" BAŞVURU!","")</f>
        <v/>
      </c>
    </row>
    <row r="434" spans="1:18" ht="78.75" customHeight="1" x14ac:dyDescent="0.25">
      <c r="A434" s="39" t="s">
        <v>2121</v>
      </c>
      <c r="B434" s="39" t="s">
        <v>2122</v>
      </c>
      <c r="C434" s="40" t="s">
        <v>2123</v>
      </c>
      <c r="D434" s="40" t="s">
        <v>369</v>
      </c>
      <c r="E434" s="41" t="s">
        <v>2124</v>
      </c>
      <c r="F434" s="41" t="s">
        <v>2125</v>
      </c>
      <c r="G434" s="42" t="s">
        <v>34</v>
      </c>
      <c r="H434" s="44">
        <v>46140</v>
      </c>
      <c r="I434" s="44">
        <v>46154</v>
      </c>
      <c r="J434" s="40" t="s">
        <v>83</v>
      </c>
      <c r="K434" s="40" t="s">
        <v>91</v>
      </c>
      <c r="L434" s="46" t="s">
        <v>66</v>
      </c>
      <c r="M434" s="46"/>
      <c r="N434" s="46"/>
      <c r="O434" s="45"/>
      <c r="P434" s="46" t="str">
        <f t="shared" si="6"/>
        <v>ONAY</v>
      </c>
      <c r="R434" s="47" t="str">
        <f>IF(AND($I434&lt;&gt;"",$I434&gt;=DATE(2026,6,23),COUNTIFS($C:$C,$C434,$I:$I,$I434)&gt;2),"⚠ "&amp;COUNTIFS($C:$C,$C434,$I:$I,$I434)&amp;" BAŞVURU!","")</f>
        <v/>
      </c>
    </row>
    <row r="435" spans="1:18" ht="78.75" customHeight="1" x14ac:dyDescent="0.25">
      <c r="A435" s="39" t="s">
        <v>2126</v>
      </c>
      <c r="B435" s="39" t="s">
        <v>2127</v>
      </c>
      <c r="C435" s="40" t="s">
        <v>2128</v>
      </c>
      <c r="D435" s="40" t="s">
        <v>212</v>
      </c>
      <c r="E435" s="41" t="s">
        <v>2129</v>
      </c>
      <c r="F435" s="41" t="s">
        <v>2130</v>
      </c>
      <c r="G435" s="42" t="s">
        <v>34</v>
      </c>
      <c r="H435" s="44">
        <v>46141</v>
      </c>
      <c r="I435" s="44">
        <v>46154</v>
      </c>
      <c r="J435" s="40" t="s">
        <v>64</v>
      </c>
      <c r="K435" s="40" t="s">
        <v>91</v>
      </c>
      <c r="L435" s="46" t="s">
        <v>93</v>
      </c>
      <c r="M435" s="46"/>
      <c r="N435" s="46"/>
      <c r="O435" s="45"/>
      <c r="P435" s="46" t="str">
        <f t="shared" si="6"/>
        <v>DÜZELTME</v>
      </c>
      <c r="R435" s="47" t="str">
        <f>IF(AND($I435&lt;&gt;"",$I435&gt;=DATE(2026,6,23),COUNTIFS($C:$C,$C435,$I:$I,$I435)&gt;2),"⚠ "&amp;COUNTIFS($C:$C,$C435,$I:$I,$I435)&amp;" BAŞVURU!","")</f>
        <v/>
      </c>
    </row>
    <row r="436" spans="1:18" ht="63" customHeight="1" x14ac:dyDescent="0.25">
      <c r="A436" s="39" t="s">
        <v>2131</v>
      </c>
      <c r="B436" s="39" t="s">
        <v>2132</v>
      </c>
      <c r="C436" s="40" t="s">
        <v>2133</v>
      </c>
      <c r="D436" s="40" t="s">
        <v>234</v>
      </c>
      <c r="E436" s="41" t="s">
        <v>2134</v>
      </c>
      <c r="F436" s="41" t="s">
        <v>2135</v>
      </c>
      <c r="G436" s="42" t="s">
        <v>34</v>
      </c>
      <c r="H436" s="44">
        <v>46141</v>
      </c>
      <c r="I436" s="44">
        <v>46154</v>
      </c>
      <c r="J436" s="40" t="s">
        <v>101</v>
      </c>
      <c r="K436" s="40" t="s">
        <v>92</v>
      </c>
      <c r="L436" s="46" t="s">
        <v>153</v>
      </c>
      <c r="M436" s="46"/>
      <c r="N436" s="46"/>
      <c r="O436" s="45"/>
      <c r="P436" s="46" t="str">
        <f t="shared" si="6"/>
        <v>KAPSAM DIŞI</v>
      </c>
      <c r="R436" s="47" t="str">
        <f>IF(AND($I436&lt;&gt;"",$I436&gt;=DATE(2026,6,23),COUNTIFS($C:$C,$C436,$I:$I,$I436)&gt;2),"⚠ "&amp;COUNTIFS($C:$C,$C436,$I:$I,$I436)&amp;" BAŞVURU!","")</f>
        <v/>
      </c>
    </row>
    <row r="437" spans="1:18" ht="64.5" customHeight="1" x14ac:dyDescent="0.25">
      <c r="A437" s="39" t="s">
        <v>2136</v>
      </c>
      <c r="B437" s="39" t="s">
        <v>2137</v>
      </c>
      <c r="C437" s="40" t="s">
        <v>1380</v>
      </c>
      <c r="D437" s="40" t="s">
        <v>107</v>
      </c>
      <c r="E437" s="41" t="s">
        <v>2138</v>
      </c>
      <c r="F437" s="41" t="s">
        <v>2139</v>
      </c>
      <c r="G437" s="42" t="s">
        <v>34</v>
      </c>
      <c r="H437" s="44">
        <v>46141</v>
      </c>
      <c r="I437" s="44">
        <v>46154</v>
      </c>
      <c r="J437" s="40" t="s">
        <v>125</v>
      </c>
      <c r="K437" s="40" t="s">
        <v>110</v>
      </c>
      <c r="L437" s="46" t="s">
        <v>93</v>
      </c>
      <c r="M437" s="46" t="s">
        <v>215</v>
      </c>
      <c r="N437" s="46"/>
      <c r="O437" s="45"/>
      <c r="P437" s="46" t="str">
        <f t="shared" si="6"/>
        <v>GÖRÜŞ</v>
      </c>
      <c r="R437" s="47" t="str">
        <f>IF(AND($I437&lt;&gt;"",$I437&gt;=DATE(2026,6,23),COUNTIFS($C:$C,$C437,$I:$I,$I437)&gt;2),"⚠ "&amp;COUNTIFS($C:$C,$C437,$I:$I,$I437)&amp;" BAŞVURU!","")</f>
        <v/>
      </c>
    </row>
    <row r="438" spans="1:18" ht="47.25" customHeight="1" x14ac:dyDescent="0.25">
      <c r="A438" s="39" t="s">
        <v>2140</v>
      </c>
      <c r="B438" s="39" t="s">
        <v>2141</v>
      </c>
      <c r="C438" s="40" t="s">
        <v>547</v>
      </c>
      <c r="D438" s="40" t="s">
        <v>392</v>
      </c>
      <c r="E438" s="41" t="s">
        <v>2142</v>
      </c>
      <c r="F438" s="41" t="s">
        <v>2143</v>
      </c>
      <c r="G438" s="42" t="s">
        <v>34</v>
      </c>
      <c r="H438" s="44">
        <v>46141</v>
      </c>
      <c r="I438" s="44">
        <v>46154</v>
      </c>
      <c r="J438" s="40" t="s">
        <v>101</v>
      </c>
      <c r="K438" s="40" t="s">
        <v>83</v>
      </c>
      <c r="L438" s="46" t="s">
        <v>66</v>
      </c>
      <c r="M438" s="46"/>
      <c r="N438" s="46"/>
      <c r="O438" s="45"/>
      <c r="P438" s="46" t="str">
        <f t="shared" si="6"/>
        <v>ONAY</v>
      </c>
      <c r="R438" s="47" t="str">
        <f>IF(AND($I438&lt;&gt;"",$I438&gt;=DATE(2026,6,23),COUNTIFS($C:$C,$C438,$I:$I,$I438)&gt;2),"⚠ "&amp;COUNTIFS($C:$C,$C438,$I:$I,$I438)&amp;" BAŞVURU!","")</f>
        <v/>
      </c>
    </row>
    <row r="439" spans="1:18" ht="78.75" customHeight="1" x14ac:dyDescent="0.25">
      <c r="A439" s="39" t="s">
        <v>2144</v>
      </c>
      <c r="B439" s="39" t="s">
        <v>2145</v>
      </c>
      <c r="C439" s="40" t="s">
        <v>1406</v>
      </c>
      <c r="D439" s="40" t="s">
        <v>234</v>
      </c>
      <c r="E439" s="41" t="s">
        <v>2146</v>
      </c>
      <c r="F439" s="41" t="s">
        <v>2147</v>
      </c>
      <c r="G439" s="42" t="s">
        <v>34</v>
      </c>
      <c r="H439" s="44">
        <v>46142</v>
      </c>
      <c r="I439" s="44">
        <v>46154</v>
      </c>
      <c r="J439" s="40" t="s">
        <v>64</v>
      </c>
      <c r="K439" s="40" t="s">
        <v>110</v>
      </c>
      <c r="L439" s="46" t="s">
        <v>66</v>
      </c>
      <c r="M439" s="46"/>
      <c r="N439" s="46"/>
      <c r="O439" s="45"/>
      <c r="P439" s="46" t="str">
        <f t="shared" si="6"/>
        <v>ONAY</v>
      </c>
      <c r="R439" s="47" t="str">
        <f>IF(AND($I439&lt;&gt;"",$I439&gt;=DATE(2026,6,23),COUNTIFS($C:$C,$C439,$I:$I,$I439)&gt;2),"⚠ "&amp;COUNTIFS($C:$C,$C439,$I:$I,$I439)&amp;" BAŞVURU!","")</f>
        <v/>
      </c>
    </row>
    <row r="440" spans="1:18" ht="78.75" customHeight="1" x14ac:dyDescent="0.25">
      <c r="A440" s="39" t="s">
        <v>2148</v>
      </c>
      <c r="B440" s="39" t="s">
        <v>2149</v>
      </c>
      <c r="C440" s="40" t="s">
        <v>1725</v>
      </c>
      <c r="D440" s="40" t="s">
        <v>1171</v>
      </c>
      <c r="E440" s="41" t="s">
        <v>2150</v>
      </c>
      <c r="F440" s="41" t="s">
        <v>2151</v>
      </c>
      <c r="G440" s="42" t="s">
        <v>34</v>
      </c>
      <c r="H440" s="44">
        <v>46142</v>
      </c>
      <c r="I440" s="44">
        <v>46154</v>
      </c>
      <c r="J440" s="40" t="s">
        <v>82</v>
      </c>
      <c r="K440" s="40" t="s">
        <v>74</v>
      </c>
      <c r="L440" s="46" t="s">
        <v>66</v>
      </c>
      <c r="M440" s="46"/>
      <c r="N440" s="46"/>
      <c r="O440" s="45"/>
      <c r="P440" s="46" t="str">
        <f t="shared" si="6"/>
        <v>ONAY</v>
      </c>
      <c r="R440" s="47" t="str">
        <f>IF(AND($I440&lt;&gt;"",$I440&gt;=DATE(2026,6,23),COUNTIFS($C:$C,$C440,$I:$I,$I440)&gt;2),"⚠ "&amp;COUNTIFS($C:$C,$C440,$I:$I,$I440)&amp;" BAŞVURU!","")</f>
        <v/>
      </c>
    </row>
    <row r="441" spans="1:18" ht="63" customHeight="1" x14ac:dyDescent="0.25">
      <c r="A441" s="39" t="s">
        <v>2152</v>
      </c>
      <c r="B441" s="39" t="s">
        <v>2153</v>
      </c>
      <c r="C441" s="40" t="s">
        <v>2154</v>
      </c>
      <c r="D441" s="40" t="s">
        <v>2155</v>
      </c>
      <c r="E441" s="41" t="s">
        <v>2156</v>
      </c>
      <c r="F441" s="41" t="s">
        <v>2157</v>
      </c>
      <c r="G441" s="42" t="s">
        <v>37</v>
      </c>
      <c r="H441" s="44">
        <v>46146</v>
      </c>
      <c r="I441" s="44">
        <v>46154</v>
      </c>
      <c r="J441" s="40" t="s">
        <v>101</v>
      </c>
      <c r="K441" s="40" t="s">
        <v>92</v>
      </c>
      <c r="L441" s="46" t="s">
        <v>66</v>
      </c>
      <c r="M441" s="46"/>
      <c r="N441" s="46"/>
      <c r="O441" s="45"/>
      <c r="P441" s="46" t="str">
        <f t="shared" si="6"/>
        <v>ONAY</v>
      </c>
      <c r="R441" s="47" t="str">
        <f>IF(AND($I441&lt;&gt;"",$I441&gt;=DATE(2026,6,23),COUNTIFS($C:$C,$C441,$I:$I,$I441)&gt;2),"⚠ "&amp;COUNTIFS($C:$C,$C441,$I:$I,$I441)&amp;" BAŞVURU!","")</f>
        <v/>
      </c>
    </row>
    <row r="442" spans="1:18" ht="78.75" customHeight="1" x14ac:dyDescent="0.25">
      <c r="A442" s="39" t="s">
        <v>2158</v>
      </c>
      <c r="B442" s="39" t="s">
        <v>2159</v>
      </c>
      <c r="C442" s="40" t="s">
        <v>2160</v>
      </c>
      <c r="D442" s="40" t="s">
        <v>234</v>
      </c>
      <c r="E442" s="41" t="s">
        <v>2161</v>
      </c>
      <c r="F442" s="41" t="s">
        <v>2162</v>
      </c>
      <c r="G442" s="42" t="s">
        <v>34</v>
      </c>
      <c r="H442" s="44">
        <v>46146</v>
      </c>
      <c r="I442" s="44">
        <v>46154</v>
      </c>
      <c r="J442" s="40" t="s">
        <v>64</v>
      </c>
      <c r="K442" s="40" t="s">
        <v>118</v>
      </c>
      <c r="L442" s="46" t="s">
        <v>66</v>
      </c>
      <c r="M442" s="46"/>
      <c r="N442" s="46"/>
      <c r="O442" s="45"/>
      <c r="P442" s="46" t="str">
        <f t="shared" si="6"/>
        <v>ONAY</v>
      </c>
      <c r="R442" s="47" t="str">
        <f>IF(AND($I442&lt;&gt;"",$I442&gt;=DATE(2026,6,23),COUNTIFS($C:$C,$C442,$I:$I,$I442)&gt;2),"⚠ "&amp;COUNTIFS($C:$C,$C442,$I:$I,$I442)&amp;" BAŞVURU!","")</f>
        <v/>
      </c>
    </row>
    <row r="443" spans="1:18" ht="63" customHeight="1" x14ac:dyDescent="0.25">
      <c r="A443" s="39" t="s">
        <v>2163</v>
      </c>
      <c r="B443" s="39" t="s">
        <v>2164</v>
      </c>
      <c r="C443" s="40" t="s">
        <v>106</v>
      </c>
      <c r="D443" s="40" t="s">
        <v>107</v>
      </c>
      <c r="E443" s="41" t="s">
        <v>1210</v>
      </c>
      <c r="F443" s="41" t="s">
        <v>2165</v>
      </c>
      <c r="G443" s="42" t="s">
        <v>34</v>
      </c>
      <c r="H443" s="44">
        <v>46146</v>
      </c>
      <c r="I443" s="44">
        <v>46154</v>
      </c>
      <c r="J443" s="40" t="s">
        <v>64</v>
      </c>
      <c r="K443" s="40" t="s">
        <v>125</v>
      </c>
      <c r="L443" s="46" t="s">
        <v>66</v>
      </c>
      <c r="M443" s="46"/>
      <c r="N443" s="46"/>
      <c r="O443" s="45"/>
      <c r="P443" s="46" t="str">
        <f t="shared" si="6"/>
        <v>ONAY</v>
      </c>
      <c r="R443" s="47" t="str">
        <f>IF(AND($I443&lt;&gt;"",$I443&gt;=DATE(2026,6,23),COUNTIFS($C:$C,$C443,$I:$I,$I443)&gt;2),"⚠ "&amp;COUNTIFS($C:$C,$C443,$I:$I,$I443)&amp;" BAŞVURU!","")</f>
        <v/>
      </c>
    </row>
    <row r="444" spans="1:18" ht="80.25" customHeight="1" x14ac:dyDescent="0.25">
      <c r="A444" s="39" t="s">
        <v>2166</v>
      </c>
      <c r="B444" s="39" t="s">
        <v>2167</v>
      </c>
      <c r="C444" s="40" t="s">
        <v>680</v>
      </c>
      <c r="D444" s="40" t="s">
        <v>392</v>
      </c>
      <c r="E444" s="41" t="s">
        <v>2168</v>
      </c>
      <c r="F444" s="41" t="s">
        <v>2169</v>
      </c>
      <c r="G444" s="42" t="s">
        <v>34</v>
      </c>
      <c r="H444" s="44">
        <v>46146</v>
      </c>
      <c r="I444" s="44">
        <v>46154</v>
      </c>
      <c r="J444" s="40" t="s">
        <v>101</v>
      </c>
      <c r="K444" s="40" t="s">
        <v>83</v>
      </c>
      <c r="L444" s="46" t="s">
        <v>66</v>
      </c>
      <c r="M444" s="46"/>
      <c r="N444" s="46"/>
      <c r="O444" s="45"/>
      <c r="P444" s="46" t="str">
        <f t="shared" si="6"/>
        <v>ONAY</v>
      </c>
      <c r="R444" s="47" t="str">
        <f>IF(AND($I444&lt;&gt;"",$I444&gt;=DATE(2026,6,23),COUNTIFS($C:$C,$C444,$I:$I,$I444)&gt;2),"⚠ "&amp;COUNTIFS($C:$C,$C444,$I:$I,$I444)&amp;" BAŞVURU!","")</f>
        <v/>
      </c>
    </row>
    <row r="445" spans="1:18" ht="78.75" customHeight="1" x14ac:dyDescent="0.25">
      <c r="A445" s="39" t="s">
        <v>2170</v>
      </c>
      <c r="B445" s="39" t="s">
        <v>2171</v>
      </c>
      <c r="C445" s="40" t="s">
        <v>2172</v>
      </c>
      <c r="D445" s="40" t="s">
        <v>1196</v>
      </c>
      <c r="E445" s="41" t="s">
        <v>2173</v>
      </c>
      <c r="F445" s="41" t="s">
        <v>2174</v>
      </c>
      <c r="G445" s="42" t="s">
        <v>34</v>
      </c>
      <c r="H445" s="44">
        <v>46146</v>
      </c>
      <c r="I445" s="44">
        <v>46154</v>
      </c>
      <c r="J445" s="40" t="s">
        <v>91</v>
      </c>
      <c r="K445" s="40" t="s">
        <v>65</v>
      </c>
      <c r="L445" s="46" t="s">
        <v>66</v>
      </c>
      <c r="M445" s="46"/>
      <c r="N445" s="46"/>
      <c r="O445" s="45"/>
      <c r="P445" s="46" t="str">
        <f t="shared" si="6"/>
        <v>ONAY</v>
      </c>
      <c r="R445" s="47" t="str">
        <f>IF(AND($I445&lt;&gt;"",$I445&gt;=DATE(2026,6,23),COUNTIFS($C:$C,$C445,$I:$I,$I445)&gt;2),"⚠ "&amp;COUNTIFS($C:$C,$C445,$I:$I,$I445)&amp;" BAŞVURU!","")</f>
        <v/>
      </c>
    </row>
    <row r="446" spans="1:18" ht="63" customHeight="1" x14ac:dyDescent="0.25">
      <c r="A446" s="39" t="s">
        <v>2175</v>
      </c>
      <c r="B446" s="39" t="s">
        <v>2176</v>
      </c>
      <c r="C446" s="40" t="s">
        <v>1976</v>
      </c>
      <c r="D446" s="40" t="s">
        <v>115</v>
      </c>
      <c r="E446" s="41" t="s">
        <v>2177</v>
      </c>
      <c r="F446" s="41" t="s">
        <v>2178</v>
      </c>
      <c r="G446" s="42" t="s">
        <v>34</v>
      </c>
      <c r="H446" s="44">
        <v>46146</v>
      </c>
      <c r="I446" s="44">
        <v>46154</v>
      </c>
      <c r="J446" s="40" t="s">
        <v>118</v>
      </c>
      <c r="K446" s="40" t="s">
        <v>110</v>
      </c>
      <c r="L446" s="46" t="s">
        <v>66</v>
      </c>
      <c r="M446" s="46"/>
      <c r="N446" s="46"/>
      <c r="O446" s="45"/>
      <c r="P446" s="46" t="str">
        <f t="shared" si="6"/>
        <v>ONAY</v>
      </c>
      <c r="R446" s="47" t="str">
        <f>IF(AND($I446&lt;&gt;"",$I446&gt;=DATE(2026,6,23),COUNTIFS($C:$C,$C446,$I:$I,$I446)&gt;2),"⚠ "&amp;COUNTIFS($C:$C,$C446,$I:$I,$I446)&amp;" BAŞVURU!","")</f>
        <v/>
      </c>
    </row>
    <row r="447" spans="1:18" ht="47.25" customHeight="1" x14ac:dyDescent="0.25">
      <c r="A447" s="39" t="s">
        <v>2179</v>
      </c>
      <c r="B447" s="39" t="s">
        <v>2180</v>
      </c>
      <c r="C447" s="40" t="s">
        <v>537</v>
      </c>
      <c r="D447" s="40" t="s">
        <v>234</v>
      </c>
      <c r="E447" s="41" t="s">
        <v>2181</v>
      </c>
      <c r="F447" s="41" t="s">
        <v>2182</v>
      </c>
      <c r="G447" s="42" t="s">
        <v>34</v>
      </c>
      <c r="H447" s="44">
        <v>46146</v>
      </c>
      <c r="I447" s="44">
        <v>46154</v>
      </c>
      <c r="J447" s="40" t="s">
        <v>102</v>
      </c>
      <c r="K447" s="40" t="s">
        <v>118</v>
      </c>
      <c r="L447" s="46"/>
      <c r="M447" s="46"/>
      <c r="N447" s="46"/>
      <c r="O447" s="45"/>
      <c r="P447" s="46">
        <f t="shared" si="6"/>
        <v>0</v>
      </c>
      <c r="R447" s="47" t="str">
        <f>IF(AND($I447&lt;&gt;"",$I447&gt;=DATE(2026,6,23),COUNTIFS($C:$C,$C447,$I:$I,$I447)&gt;2),"⚠ "&amp;COUNTIFS($C:$C,$C447,$I:$I,$I447)&amp;" BAŞVURU!","")</f>
        <v/>
      </c>
    </row>
    <row r="448" spans="1:18" ht="46.5" customHeight="1" x14ac:dyDescent="0.25">
      <c r="A448" s="39" t="s">
        <v>2183</v>
      </c>
      <c r="B448" s="39" t="s">
        <v>2184</v>
      </c>
      <c r="C448" s="40" t="s">
        <v>552</v>
      </c>
      <c r="D448" s="40" t="s">
        <v>107</v>
      </c>
      <c r="E448" s="41" t="s">
        <v>2185</v>
      </c>
      <c r="F448" s="41" t="s">
        <v>2186</v>
      </c>
      <c r="G448" s="42" t="s">
        <v>34</v>
      </c>
      <c r="H448" s="44">
        <v>46146</v>
      </c>
      <c r="I448" s="44">
        <v>46154</v>
      </c>
      <c r="J448" s="40" t="s">
        <v>101</v>
      </c>
      <c r="K448" s="40" t="s">
        <v>74</v>
      </c>
      <c r="L448" s="46" t="s">
        <v>215</v>
      </c>
      <c r="M448" s="46"/>
      <c r="N448" s="46"/>
      <c r="O448" s="45"/>
      <c r="P448" s="46" t="str">
        <f t="shared" si="6"/>
        <v>GÖRÜŞ</v>
      </c>
      <c r="R448" s="47" t="str">
        <f>IF(AND($I448&lt;&gt;"",$I448&gt;=DATE(2026,6,23),COUNTIFS($C:$C,$C448,$I:$I,$I448)&gt;2),"⚠ "&amp;COUNTIFS($C:$C,$C448,$I:$I,$I448)&amp;" BAŞVURU!","")</f>
        <v/>
      </c>
    </row>
    <row r="449" spans="1:18" ht="78.75" customHeight="1" x14ac:dyDescent="0.25">
      <c r="A449" s="39" t="s">
        <v>2187</v>
      </c>
      <c r="B449" s="39" t="s">
        <v>2188</v>
      </c>
      <c r="C449" s="40" t="s">
        <v>2189</v>
      </c>
      <c r="D449" s="40" t="s">
        <v>226</v>
      </c>
      <c r="E449" s="41" t="s">
        <v>2190</v>
      </c>
      <c r="F449" s="41" t="s">
        <v>2191</v>
      </c>
      <c r="G449" s="42" t="s">
        <v>34</v>
      </c>
      <c r="H449" s="44">
        <v>46146</v>
      </c>
      <c r="I449" s="44">
        <v>46154</v>
      </c>
      <c r="J449" s="40" t="s">
        <v>118</v>
      </c>
      <c r="K449" s="40" t="s">
        <v>125</v>
      </c>
      <c r="L449" s="46" t="s">
        <v>66</v>
      </c>
      <c r="M449" s="46"/>
      <c r="N449" s="46"/>
      <c r="O449" s="45"/>
      <c r="P449" s="46" t="str">
        <f t="shared" si="6"/>
        <v>ONAY</v>
      </c>
      <c r="R449" s="47" t="str">
        <f>IF(AND($I449&lt;&gt;"",$I449&gt;=DATE(2026,6,23),COUNTIFS($C:$C,$C449,$I:$I,$I449)&gt;2),"⚠ "&amp;COUNTIFS($C:$C,$C449,$I:$I,$I449)&amp;" BAŞVURU!","")</f>
        <v/>
      </c>
    </row>
    <row r="450" spans="1:18" ht="78.75" customHeight="1" x14ac:dyDescent="0.25">
      <c r="A450" s="39" t="s">
        <v>2192</v>
      </c>
      <c r="B450" s="39" t="s">
        <v>2193</v>
      </c>
      <c r="C450" s="40" t="s">
        <v>1454</v>
      </c>
      <c r="D450" s="40" t="s">
        <v>994</v>
      </c>
      <c r="E450" s="41" t="s">
        <v>2194</v>
      </c>
      <c r="F450" s="41" t="s">
        <v>2195</v>
      </c>
      <c r="G450" s="42" t="s">
        <v>34</v>
      </c>
      <c r="H450" s="44">
        <v>46146</v>
      </c>
      <c r="I450" s="44">
        <v>46154</v>
      </c>
      <c r="J450" s="40" t="s">
        <v>101</v>
      </c>
      <c r="K450" s="40" t="s">
        <v>92</v>
      </c>
      <c r="L450" s="46" t="s">
        <v>93</v>
      </c>
      <c r="M450" s="46" t="s">
        <v>93</v>
      </c>
      <c r="N450" s="46"/>
      <c r="O450" s="45"/>
      <c r="P450" s="46" t="str">
        <f t="shared" ref="P450:P513" si="7">IF(O450&lt;&gt;"",O450, IF(N450&lt;&gt;"",N450, IF(M450&lt;&gt;"",M450, L450)))</f>
        <v>DÜZELTME</v>
      </c>
      <c r="R450" s="47" t="str">
        <f>IF(AND($I450&lt;&gt;"",$I450&gt;=DATE(2026,6,23),COUNTIFS($C:$C,$C450,$I:$I,$I450)&gt;2),"⚠ "&amp;COUNTIFS($C:$C,$C450,$I:$I,$I450)&amp;" BAŞVURU!","")</f>
        <v/>
      </c>
    </row>
    <row r="451" spans="1:18" ht="110.25" customHeight="1" x14ac:dyDescent="0.25">
      <c r="A451" s="39" t="s">
        <v>2196</v>
      </c>
      <c r="B451" s="39" t="s">
        <v>2197</v>
      </c>
      <c r="C451" s="40" t="s">
        <v>219</v>
      </c>
      <c r="D451" s="40" t="s">
        <v>130</v>
      </c>
      <c r="E451" s="41" t="s">
        <v>2198</v>
      </c>
      <c r="F451" s="41" t="s">
        <v>2199</v>
      </c>
      <c r="G451" s="42" t="s">
        <v>34</v>
      </c>
      <c r="H451" s="44">
        <v>46146</v>
      </c>
      <c r="I451" s="44">
        <v>46154</v>
      </c>
      <c r="J451" s="40" t="s">
        <v>92</v>
      </c>
      <c r="K451" s="40" t="s">
        <v>82</v>
      </c>
      <c r="L451" s="46" t="s">
        <v>93</v>
      </c>
      <c r="M451" s="46"/>
      <c r="N451" s="46"/>
      <c r="O451" s="45"/>
      <c r="P451" s="46" t="str">
        <f t="shared" si="7"/>
        <v>DÜZELTME</v>
      </c>
      <c r="R451" s="47" t="str">
        <f>IF(AND($I451&lt;&gt;"",$I451&gt;=DATE(2026,6,23),COUNTIFS($C:$C,$C451,$I:$I,$I451)&gt;2),"⚠ "&amp;COUNTIFS($C:$C,$C451,$I:$I,$I451)&amp;" BAŞVURU!","")</f>
        <v/>
      </c>
    </row>
    <row r="452" spans="1:18" ht="63" customHeight="1" x14ac:dyDescent="0.25">
      <c r="A452" s="39" t="s">
        <v>2200</v>
      </c>
      <c r="B452" s="39" t="s">
        <v>2201</v>
      </c>
      <c r="C452" s="40" t="s">
        <v>2202</v>
      </c>
      <c r="D452" s="40" t="s">
        <v>158</v>
      </c>
      <c r="E452" s="41" t="s">
        <v>2203</v>
      </c>
      <c r="F452" s="41" t="s">
        <v>2204</v>
      </c>
      <c r="G452" s="42" t="s">
        <v>34</v>
      </c>
      <c r="H452" s="44">
        <v>46146</v>
      </c>
      <c r="I452" s="44">
        <v>46154</v>
      </c>
      <c r="J452" s="40" t="s">
        <v>82</v>
      </c>
      <c r="K452" s="40" t="s">
        <v>83</v>
      </c>
      <c r="L452" s="46" t="s">
        <v>66</v>
      </c>
      <c r="M452" s="46"/>
      <c r="N452" s="46"/>
      <c r="O452" s="45"/>
      <c r="P452" s="46" t="str">
        <f t="shared" si="7"/>
        <v>ONAY</v>
      </c>
      <c r="R452" s="47" t="str">
        <f>IF(AND($I452&lt;&gt;"",$I452&gt;=DATE(2026,6,23),COUNTIFS($C:$C,$C452,$I:$I,$I452)&gt;2),"⚠ "&amp;COUNTIFS($C:$C,$C452,$I:$I,$I452)&amp;" BAŞVURU!","")</f>
        <v/>
      </c>
    </row>
    <row r="453" spans="1:18" ht="94.5" customHeight="1" x14ac:dyDescent="0.25">
      <c r="A453" s="39" t="s">
        <v>2205</v>
      </c>
      <c r="B453" s="39" t="s">
        <v>2206</v>
      </c>
      <c r="C453" s="40" t="s">
        <v>102</v>
      </c>
      <c r="D453" s="40" t="s">
        <v>2207</v>
      </c>
      <c r="E453" s="41" t="s">
        <v>2208</v>
      </c>
      <c r="F453" s="41" t="s">
        <v>2209</v>
      </c>
      <c r="G453" s="42" t="s">
        <v>35</v>
      </c>
      <c r="H453" s="44">
        <v>46146</v>
      </c>
      <c r="I453" s="44">
        <v>46154</v>
      </c>
      <c r="J453" s="40" t="s">
        <v>64</v>
      </c>
      <c r="K453" s="40" t="s">
        <v>91</v>
      </c>
      <c r="L453" s="46" t="s">
        <v>66</v>
      </c>
      <c r="M453" s="46"/>
      <c r="N453" s="46"/>
      <c r="O453" s="45"/>
      <c r="P453" s="46" t="str">
        <f t="shared" si="7"/>
        <v>ONAY</v>
      </c>
      <c r="R453" s="47" t="str">
        <f>IF(AND($I453&lt;&gt;"",$I453&gt;=DATE(2026,6,23),COUNTIFS($C:$C,$C453,$I:$I,$I453)&gt;2),"⚠ "&amp;COUNTIFS($C:$C,$C453,$I:$I,$I453)&amp;" BAŞVURU!","")</f>
        <v/>
      </c>
    </row>
    <row r="454" spans="1:18" ht="63" customHeight="1" x14ac:dyDescent="0.25">
      <c r="A454" s="39" t="s">
        <v>2210</v>
      </c>
      <c r="B454" s="39" t="s">
        <v>2211</v>
      </c>
      <c r="C454" s="40" t="s">
        <v>2106</v>
      </c>
      <c r="D454" s="40" t="s">
        <v>107</v>
      </c>
      <c r="E454" s="41" t="s">
        <v>2107</v>
      </c>
      <c r="F454" s="41" t="s">
        <v>2212</v>
      </c>
      <c r="G454" s="42" t="s">
        <v>34</v>
      </c>
      <c r="H454" s="44">
        <v>46154</v>
      </c>
      <c r="I454" s="44">
        <v>46175</v>
      </c>
      <c r="J454" s="40" t="s">
        <v>110</v>
      </c>
      <c r="K454" s="40" t="s">
        <v>74</v>
      </c>
      <c r="L454" s="46" t="s">
        <v>66</v>
      </c>
      <c r="M454" s="46"/>
      <c r="N454" s="46"/>
      <c r="O454" s="45"/>
      <c r="P454" s="46" t="str">
        <f t="shared" si="7"/>
        <v>ONAY</v>
      </c>
      <c r="R454" s="47" t="str">
        <f>IF(AND($I454&lt;&gt;"",$I454&gt;=DATE(2026,6,23),COUNTIFS($C:$C,$C454,$I:$I,$I454)&gt;2),"⚠ "&amp;COUNTIFS($C:$C,$C454,$I:$I,$I454)&amp;" BAŞVURU!","")</f>
        <v/>
      </c>
    </row>
    <row r="455" spans="1:18" ht="63" customHeight="1" x14ac:dyDescent="0.25">
      <c r="A455" s="39" t="s">
        <v>2213</v>
      </c>
      <c r="B455" s="39" t="s">
        <v>2214</v>
      </c>
      <c r="C455" s="40" t="s">
        <v>2106</v>
      </c>
      <c r="D455" s="40" t="s">
        <v>107</v>
      </c>
      <c r="E455" s="41" t="s">
        <v>2107</v>
      </c>
      <c r="F455" s="41" t="s">
        <v>2215</v>
      </c>
      <c r="G455" s="42" t="s">
        <v>34</v>
      </c>
      <c r="H455" s="44">
        <v>46154</v>
      </c>
      <c r="I455" s="44">
        <v>46175</v>
      </c>
      <c r="J455" s="40" t="s">
        <v>125</v>
      </c>
      <c r="K455" s="40" t="s">
        <v>74</v>
      </c>
      <c r="L455" s="46" t="s">
        <v>66</v>
      </c>
      <c r="M455" s="46"/>
      <c r="N455" s="46"/>
      <c r="O455" s="45"/>
      <c r="P455" s="46" t="str">
        <f t="shared" si="7"/>
        <v>ONAY</v>
      </c>
      <c r="R455" s="47" t="str">
        <f>IF(AND($I455&lt;&gt;"",$I455&gt;=DATE(2026,6,23),COUNTIFS($C:$C,$C455,$I:$I,$I455)&gt;2),"⚠ "&amp;COUNTIFS($C:$C,$C455,$I:$I,$I455)&amp;" BAŞVURU!","")</f>
        <v/>
      </c>
    </row>
    <row r="456" spans="1:18" ht="78.75" customHeight="1" x14ac:dyDescent="0.25">
      <c r="A456" s="39" t="s">
        <v>2216</v>
      </c>
      <c r="B456" s="39" t="s">
        <v>2217</v>
      </c>
      <c r="C456" s="40" t="s">
        <v>2218</v>
      </c>
      <c r="D456" s="40" t="s">
        <v>317</v>
      </c>
      <c r="E456" s="41" t="s">
        <v>2219</v>
      </c>
      <c r="F456" s="41" t="s">
        <v>2220</v>
      </c>
      <c r="G456" s="42" t="s">
        <v>34</v>
      </c>
      <c r="H456" s="44">
        <v>46154</v>
      </c>
      <c r="I456" s="44">
        <v>46175</v>
      </c>
      <c r="J456" s="40" t="s">
        <v>64</v>
      </c>
      <c r="K456" s="40" t="s">
        <v>110</v>
      </c>
      <c r="L456" s="46" t="s">
        <v>66</v>
      </c>
      <c r="M456" s="46"/>
      <c r="N456" s="46"/>
      <c r="O456" s="45"/>
      <c r="P456" s="46" t="str">
        <f t="shared" si="7"/>
        <v>ONAY</v>
      </c>
      <c r="R456" s="47" t="str">
        <f>IF(AND($I456&lt;&gt;"",$I456&gt;=DATE(2026,6,23),COUNTIFS($C:$C,$C456,$I:$I,$I456)&gt;2),"⚠ "&amp;COUNTIFS($C:$C,$C456,$I:$I,$I456)&amp;" BAŞVURU!","")</f>
        <v/>
      </c>
    </row>
    <row r="457" spans="1:18" ht="63" customHeight="1" x14ac:dyDescent="0.25">
      <c r="A457" s="39" t="s">
        <v>2221</v>
      </c>
      <c r="B457" s="39" t="s">
        <v>2222</v>
      </c>
      <c r="C457" s="40" t="s">
        <v>547</v>
      </c>
      <c r="D457" s="40" t="s">
        <v>392</v>
      </c>
      <c r="E457" s="41" t="s">
        <v>2223</v>
      </c>
      <c r="F457" s="41" t="s">
        <v>2224</v>
      </c>
      <c r="G457" s="42" t="s">
        <v>34</v>
      </c>
      <c r="H457" s="44">
        <v>46154</v>
      </c>
      <c r="I457" s="44">
        <v>46175</v>
      </c>
      <c r="J457" s="40" t="s">
        <v>101</v>
      </c>
      <c r="K457" s="40" t="s">
        <v>91</v>
      </c>
      <c r="L457" s="46" t="s">
        <v>66</v>
      </c>
      <c r="M457" s="46"/>
      <c r="N457" s="46"/>
      <c r="O457" s="45"/>
      <c r="P457" s="46" t="str">
        <f t="shared" si="7"/>
        <v>ONAY</v>
      </c>
      <c r="R457" s="47" t="str">
        <f>IF(AND($I457&lt;&gt;"",$I457&gt;=DATE(2026,6,23),COUNTIFS($C:$C,$C457,$I:$I,$I457)&gt;2),"⚠ "&amp;COUNTIFS($C:$C,$C457,$I:$I,$I457)&amp;" BAŞVURU!","")</f>
        <v/>
      </c>
    </row>
    <row r="458" spans="1:18" ht="47.25" customHeight="1" x14ac:dyDescent="0.25">
      <c r="A458" s="39" t="s">
        <v>2225</v>
      </c>
      <c r="B458" s="39" t="s">
        <v>2226</v>
      </c>
      <c r="C458" s="40" t="s">
        <v>552</v>
      </c>
      <c r="D458" s="40" t="s">
        <v>107</v>
      </c>
      <c r="E458" s="41" t="s">
        <v>2185</v>
      </c>
      <c r="F458" s="41" t="s">
        <v>2227</v>
      </c>
      <c r="G458" s="42" t="s">
        <v>34</v>
      </c>
      <c r="H458" s="44">
        <v>46154</v>
      </c>
      <c r="I458" s="44">
        <v>46175</v>
      </c>
      <c r="J458" s="40" t="s">
        <v>102</v>
      </c>
      <c r="K458" s="40" t="s">
        <v>118</v>
      </c>
      <c r="L458" s="46" t="s">
        <v>66</v>
      </c>
      <c r="M458" s="46"/>
      <c r="N458" s="46"/>
      <c r="O458" s="45"/>
      <c r="P458" s="46" t="str">
        <f t="shared" si="7"/>
        <v>ONAY</v>
      </c>
      <c r="R458" s="47" t="str">
        <f>IF(AND($I458&lt;&gt;"",$I458&gt;=DATE(2026,6,23),COUNTIFS($C:$C,$C458,$I:$I,$I458)&gt;2),"⚠ "&amp;COUNTIFS($C:$C,$C458,$I:$I,$I458)&amp;" BAŞVURU!","")</f>
        <v/>
      </c>
    </row>
    <row r="459" spans="1:18" ht="47.25" customHeight="1" x14ac:dyDescent="0.25">
      <c r="A459" s="39" t="s">
        <v>2228</v>
      </c>
      <c r="B459" s="39" t="s">
        <v>2229</v>
      </c>
      <c r="C459" s="40" t="s">
        <v>2230</v>
      </c>
      <c r="D459" s="40" t="s">
        <v>248</v>
      </c>
      <c r="E459" s="41" t="s">
        <v>2231</v>
      </c>
      <c r="F459" s="41" t="s">
        <v>2232</v>
      </c>
      <c r="G459" s="42" t="s">
        <v>34</v>
      </c>
      <c r="H459" s="44">
        <v>46154</v>
      </c>
      <c r="I459" s="44">
        <v>46175</v>
      </c>
      <c r="J459" s="40" t="s">
        <v>83</v>
      </c>
      <c r="K459" s="40" t="s">
        <v>92</v>
      </c>
      <c r="L459" s="46" t="s">
        <v>93</v>
      </c>
      <c r="M459" s="46"/>
      <c r="N459" s="46"/>
      <c r="O459" s="45"/>
      <c r="P459" s="46" t="str">
        <f t="shared" si="7"/>
        <v>DÜZELTME</v>
      </c>
      <c r="R459" s="47" t="str">
        <f>IF(AND($I459&lt;&gt;"",$I459&gt;=DATE(2026,6,23),COUNTIFS($C:$C,$C459,$I:$I,$I459)&gt;2),"⚠ "&amp;COUNTIFS($C:$C,$C459,$I:$I,$I459)&amp;" BAŞVURU!","")</f>
        <v/>
      </c>
    </row>
    <row r="460" spans="1:18" ht="78.75" customHeight="1" x14ac:dyDescent="0.25">
      <c r="A460" s="39" t="s">
        <v>2233</v>
      </c>
      <c r="B460" s="39" t="s">
        <v>2234</v>
      </c>
      <c r="C460" s="40" t="s">
        <v>1617</v>
      </c>
      <c r="D460" s="40" t="s">
        <v>369</v>
      </c>
      <c r="E460" s="41" t="s">
        <v>2235</v>
      </c>
      <c r="F460" s="41" t="s">
        <v>2236</v>
      </c>
      <c r="G460" s="42" t="s">
        <v>34</v>
      </c>
      <c r="H460" s="44">
        <v>46154</v>
      </c>
      <c r="I460" s="44">
        <v>46175</v>
      </c>
      <c r="J460" s="40" t="s">
        <v>102</v>
      </c>
      <c r="K460" s="40" t="s">
        <v>110</v>
      </c>
      <c r="L460" s="46" t="s">
        <v>93</v>
      </c>
      <c r="M460" s="46"/>
      <c r="N460" s="46"/>
      <c r="O460" s="45"/>
      <c r="P460" s="46" t="str">
        <f t="shared" si="7"/>
        <v>DÜZELTME</v>
      </c>
      <c r="R460" s="47" t="str">
        <f>IF(AND($I460&lt;&gt;"",$I460&gt;=DATE(2026,6,23),COUNTIFS($C:$C,$C460,$I:$I,$I460)&gt;2),"⚠ "&amp;COUNTIFS($C:$C,$C460,$I:$I,$I460)&amp;" BAŞVURU!","")</f>
        <v/>
      </c>
    </row>
    <row r="461" spans="1:18" ht="67.5" customHeight="1" x14ac:dyDescent="0.25">
      <c r="A461" s="39" t="s">
        <v>2237</v>
      </c>
      <c r="B461" s="39" t="s">
        <v>2238</v>
      </c>
      <c r="C461" s="40" t="s">
        <v>1071</v>
      </c>
      <c r="D461" s="40" t="s">
        <v>79</v>
      </c>
      <c r="E461" s="41" t="s">
        <v>2239</v>
      </c>
      <c r="F461" s="41" t="s">
        <v>2240</v>
      </c>
      <c r="G461" s="42" t="s">
        <v>34</v>
      </c>
      <c r="H461" s="44">
        <v>46154</v>
      </c>
      <c r="I461" s="44">
        <v>46175</v>
      </c>
      <c r="J461" s="40" t="s">
        <v>83</v>
      </c>
      <c r="K461" s="40" t="s">
        <v>118</v>
      </c>
      <c r="L461" s="46" t="s">
        <v>66</v>
      </c>
      <c r="M461" s="46"/>
      <c r="N461" s="46"/>
      <c r="O461" s="45"/>
      <c r="P461" s="46" t="str">
        <f t="shared" si="7"/>
        <v>ONAY</v>
      </c>
      <c r="R461" s="47" t="str">
        <f>IF(AND($I461&lt;&gt;"",$I461&gt;=DATE(2026,6,23),COUNTIFS($C:$C,$C461,$I:$I,$I461)&gt;2),"⚠ "&amp;COUNTIFS($C:$C,$C461,$I:$I,$I461)&amp;" BAŞVURU!","")</f>
        <v/>
      </c>
    </row>
    <row r="462" spans="1:18" ht="63" customHeight="1" x14ac:dyDescent="0.25">
      <c r="A462" s="39" t="s">
        <v>2241</v>
      </c>
      <c r="B462" s="39" t="s">
        <v>2242</v>
      </c>
      <c r="C462" s="40" t="s">
        <v>2243</v>
      </c>
      <c r="D462" s="40" t="s">
        <v>2244</v>
      </c>
      <c r="E462" s="41" t="s">
        <v>2245</v>
      </c>
      <c r="F462" s="41" t="s">
        <v>2246</v>
      </c>
      <c r="G462" s="42" t="s">
        <v>34</v>
      </c>
      <c r="H462" s="44">
        <v>46154</v>
      </c>
      <c r="I462" s="44">
        <v>46175</v>
      </c>
      <c r="J462" s="40" t="s">
        <v>64</v>
      </c>
      <c r="K462" s="40" t="s">
        <v>74</v>
      </c>
      <c r="L462" s="46" t="s">
        <v>215</v>
      </c>
      <c r="M462" s="46" t="s">
        <v>93</v>
      </c>
      <c r="N462" s="46"/>
      <c r="O462" s="45"/>
      <c r="P462" s="46" t="str">
        <f t="shared" si="7"/>
        <v>DÜZELTME</v>
      </c>
      <c r="R462" s="47" t="str">
        <f>IF(AND($I462&lt;&gt;"",$I462&gt;=DATE(2026,6,23),COUNTIFS($C:$C,$C462,$I:$I,$I462)&gt;2),"⚠ "&amp;COUNTIFS($C:$C,$C462,$I:$I,$I462)&amp;" BAŞVURU!","")</f>
        <v/>
      </c>
    </row>
    <row r="463" spans="1:18" ht="94.5" customHeight="1" x14ac:dyDescent="0.25">
      <c r="A463" s="39" t="s">
        <v>2247</v>
      </c>
      <c r="B463" s="39" t="s">
        <v>2248</v>
      </c>
      <c r="C463" s="40" t="s">
        <v>2249</v>
      </c>
      <c r="D463" s="40" t="s">
        <v>458</v>
      </c>
      <c r="E463" s="41" t="s">
        <v>2250</v>
      </c>
      <c r="F463" s="41" t="s">
        <v>2251</v>
      </c>
      <c r="G463" s="42" t="s">
        <v>34</v>
      </c>
      <c r="H463" s="44">
        <v>46154</v>
      </c>
      <c r="I463" s="44">
        <v>46175</v>
      </c>
      <c r="J463" s="40" t="s">
        <v>102</v>
      </c>
      <c r="K463" s="40" t="s">
        <v>92</v>
      </c>
      <c r="L463" s="46" t="s">
        <v>66</v>
      </c>
      <c r="M463" s="46"/>
      <c r="N463" s="46"/>
      <c r="O463" s="45"/>
      <c r="P463" s="46" t="str">
        <f t="shared" si="7"/>
        <v>ONAY</v>
      </c>
      <c r="R463" s="47" t="str">
        <f>IF(AND($I463&lt;&gt;"",$I463&gt;=DATE(2026,6,23),COUNTIFS($C:$C,$C463,$I:$I,$I463)&gt;2),"⚠ "&amp;COUNTIFS($C:$C,$C463,$I:$I,$I463)&amp;" BAŞVURU!","")</f>
        <v/>
      </c>
    </row>
    <row r="464" spans="1:18" ht="110.25" customHeight="1" x14ac:dyDescent="0.25">
      <c r="A464" s="39" t="s">
        <v>2252</v>
      </c>
      <c r="B464" s="39" t="s">
        <v>2253</v>
      </c>
      <c r="C464" s="40" t="s">
        <v>2254</v>
      </c>
      <c r="D464" s="40" t="s">
        <v>150</v>
      </c>
      <c r="E464" s="41" t="s">
        <v>2255</v>
      </c>
      <c r="F464" s="41" t="s">
        <v>2256</v>
      </c>
      <c r="G464" s="42" t="s">
        <v>35</v>
      </c>
      <c r="H464" s="44">
        <v>46154</v>
      </c>
      <c r="I464" s="44">
        <v>46175</v>
      </c>
      <c r="J464" s="40" t="s">
        <v>101</v>
      </c>
      <c r="K464" s="40" t="s">
        <v>91</v>
      </c>
      <c r="L464" s="46" t="s">
        <v>93</v>
      </c>
      <c r="M464" s="46"/>
      <c r="N464" s="46"/>
      <c r="O464" s="45"/>
      <c r="P464" s="46" t="str">
        <f t="shared" si="7"/>
        <v>DÜZELTME</v>
      </c>
      <c r="R464" s="47" t="str">
        <f>IF(AND($I464&lt;&gt;"",$I464&gt;=DATE(2026,6,23),COUNTIFS($C:$C,$C464,$I:$I,$I464)&gt;2),"⚠ "&amp;COUNTIFS($C:$C,$C464,$I:$I,$I464)&amp;" BAŞVURU!","")</f>
        <v/>
      </c>
    </row>
    <row r="465" spans="1:18" ht="80.25" customHeight="1" x14ac:dyDescent="0.25">
      <c r="A465" s="39" t="s">
        <v>2257</v>
      </c>
      <c r="B465" s="39" t="s">
        <v>2258</v>
      </c>
      <c r="C465" s="40" t="s">
        <v>2259</v>
      </c>
      <c r="D465" s="40" t="s">
        <v>512</v>
      </c>
      <c r="E465" s="41" t="s">
        <v>2260</v>
      </c>
      <c r="F465" s="41" t="s">
        <v>2261</v>
      </c>
      <c r="G465" s="42" t="s">
        <v>34</v>
      </c>
      <c r="H465" s="44">
        <v>46154</v>
      </c>
      <c r="I465" s="44">
        <v>46175</v>
      </c>
      <c r="J465" s="40" t="s">
        <v>118</v>
      </c>
      <c r="K465" s="40" t="s">
        <v>83</v>
      </c>
      <c r="L465" s="46" t="s">
        <v>93</v>
      </c>
      <c r="M465" s="46"/>
      <c r="N465" s="46"/>
      <c r="O465" s="45"/>
      <c r="P465" s="46" t="str">
        <f t="shared" si="7"/>
        <v>DÜZELTME</v>
      </c>
      <c r="R465" s="47" t="str">
        <f>IF(AND($I465&lt;&gt;"",$I465&gt;=DATE(2026,6,23),COUNTIFS($C:$C,$C465,$I:$I,$I465)&gt;2),"⚠ "&amp;COUNTIFS($C:$C,$C465,$I:$I,$I465)&amp;" BAŞVURU!","")</f>
        <v/>
      </c>
    </row>
    <row r="466" spans="1:18" ht="96" customHeight="1" x14ac:dyDescent="0.25">
      <c r="A466" s="39" t="s">
        <v>2262</v>
      </c>
      <c r="B466" s="39" t="s">
        <v>2263</v>
      </c>
      <c r="C466" s="40" t="s">
        <v>2264</v>
      </c>
      <c r="D466" s="40" t="s">
        <v>2265</v>
      </c>
      <c r="E466" s="41" t="s">
        <v>2266</v>
      </c>
      <c r="F466" s="41" t="s">
        <v>2267</v>
      </c>
      <c r="G466" s="42" t="s">
        <v>36</v>
      </c>
      <c r="H466" s="44">
        <v>46154</v>
      </c>
      <c r="I466" s="44">
        <v>46175</v>
      </c>
      <c r="J466" s="40" t="s">
        <v>102</v>
      </c>
      <c r="K466" s="40" t="s">
        <v>64</v>
      </c>
      <c r="L466" s="46" t="s">
        <v>93</v>
      </c>
      <c r="M466" s="46"/>
      <c r="N466" s="46"/>
      <c r="O466" s="45"/>
      <c r="P466" s="46" t="str">
        <f t="shared" si="7"/>
        <v>DÜZELTME</v>
      </c>
      <c r="R466" s="47" t="str">
        <f>IF(AND($I466&lt;&gt;"",$I466&gt;=DATE(2026,6,23),COUNTIFS($C:$C,$C466,$I:$I,$I466)&gt;2),"⚠ "&amp;COUNTIFS($C:$C,$C466,$I:$I,$I466)&amp;" BAŞVURU!","")</f>
        <v/>
      </c>
    </row>
    <row r="467" spans="1:18" ht="78.75" customHeight="1" x14ac:dyDescent="0.25">
      <c r="A467" s="39" t="s">
        <v>2268</v>
      </c>
      <c r="B467" s="39" t="s">
        <v>2269</v>
      </c>
      <c r="C467" s="40" t="s">
        <v>1565</v>
      </c>
      <c r="D467" s="40" t="s">
        <v>304</v>
      </c>
      <c r="E467" s="41" t="s">
        <v>2270</v>
      </c>
      <c r="F467" s="41" t="s">
        <v>2271</v>
      </c>
      <c r="G467" s="42" t="s">
        <v>34</v>
      </c>
      <c r="H467" s="44">
        <v>46154</v>
      </c>
      <c r="I467" s="44">
        <v>46175</v>
      </c>
      <c r="J467" s="40" t="s">
        <v>101</v>
      </c>
      <c r="K467" s="40" t="s">
        <v>83</v>
      </c>
      <c r="L467" s="46" t="s">
        <v>66</v>
      </c>
      <c r="M467" s="46"/>
      <c r="N467" s="46"/>
      <c r="O467" s="45"/>
      <c r="P467" s="46" t="str">
        <f t="shared" si="7"/>
        <v>ONAY</v>
      </c>
      <c r="R467" s="47" t="str">
        <f>IF(AND($I467&lt;&gt;"",$I467&gt;=DATE(2026,6,23),COUNTIFS($C:$C,$C467,$I:$I,$I467)&gt;2),"⚠ "&amp;COUNTIFS($C:$C,$C467,$I:$I,$I467)&amp;" BAŞVURU!","")</f>
        <v/>
      </c>
    </row>
    <row r="468" spans="1:18" ht="78.75" customHeight="1" x14ac:dyDescent="0.25">
      <c r="A468" s="39" t="s">
        <v>2272</v>
      </c>
      <c r="B468" s="39" t="s">
        <v>2273</v>
      </c>
      <c r="C468" s="40" t="s">
        <v>2274</v>
      </c>
      <c r="D468" s="40" t="s">
        <v>532</v>
      </c>
      <c r="E468" s="41" t="s">
        <v>2275</v>
      </c>
      <c r="F468" s="41" t="s">
        <v>2276</v>
      </c>
      <c r="G468" s="42" t="s">
        <v>34</v>
      </c>
      <c r="H468" s="44">
        <v>46154</v>
      </c>
      <c r="I468" s="44">
        <v>46175</v>
      </c>
      <c r="J468" s="40" t="s">
        <v>91</v>
      </c>
      <c r="K468" s="40" t="s">
        <v>125</v>
      </c>
      <c r="L468" s="46"/>
      <c r="M468" s="46"/>
      <c r="N468" s="46"/>
      <c r="O468" s="45"/>
      <c r="P468" s="46">
        <f t="shared" si="7"/>
        <v>0</v>
      </c>
      <c r="R468" s="47" t="str">
        <f>IF(AND($I468&lt;&gt;"",$I468&gt;=DATE(2026,6,23),COUNTIFS($C:$C,$C468,$I:$I,$I468)&gt;2),"⚠ "&amp;COUNTIFS($C:$C,$C468,$I:$I,$I468)&amp;" BAŞVURU!","")</f>
        <v/>
      </c>
    </row>
    <row r="469" spans="1:18" ht="63" customHeight="1" x14ac:dyDescent="0.25">
      <c r="A469" s="39" t="s">
        <v>2277</v>
      </c>
      <c r="B469" s="39" t="s">
        <v>2278</v>
      </c>
      <c r="C469" s="40" t="s">
        <v>1612</v>
      </c>
      <c r="D469" s="40" t="s">
        <v>107</v>
      </c>
      <c r="E469" s="41" t="s">
        <v>1613</v>
      </c>
      <c r="F469" s="41" t="s">
        <v>2279</v>
      </c>
      <c r="G469" s="42" t="s">
        <v>34</v>
      </c>
      <c r="H469" s="44">
        <v>46154</v>
      </c>
      <c r="I469" s="44">
        <v>46175</v>
      </c>
      <c r="J469" s="40" t="s">
        <v>110</v>
      </c>
      <c r="K469" s="40" t="s">
        <v>125</v>
      </c>
      <c r="L469" s="46"/>
      <c r="M469" s="46"/>
      <c r="N469" s="46"/>
      <c r="O469" s="45"/>
      <c r="P469" s="46">
        <f t="shared" si="7"/>
        <v>0</v>
      </c>
      <c r="R469" s="47" t="str">
        <f>IF(AND($I469&lt;&gt;"",$I469&gt;=DATE(2026,6,23),COUNTIFS($C:$C,$C469,$I:$I,$I469)&gt;2),"⚠ "&amp;COUNTIFS($C:$C,$C469,$I:$I,$I469)&amp;" BAŞVURU!","")</f>
        <v/>
      </c>
    </row>
    <row r="470" spans="1:18" ht="47.25" customHeight="1" x14ac:dyDescent="0.25">
      <c r="A470" s="39" t="s">
        <v>2280</v>
      </c>
      <c r="B470" s="39" t="s">
        <v>2281</v>
      </c>
      <c r="C470" s="40" t="s">
        <v>106</v>
      </c>
      <c r="D470" s="40" t="s">
        <v>107</v>
      </c>
      <c r="E470" s="41" t="s">
        <v>2282</v>
      </c>
      <c r="F470" s="41" t="s">
        <v>2283</v>
      </c>
      <c r="G470" s="42" t="s">
        <v>34</v>
      </c>
      <c r="H470" s="44">
        <v>46154</v>
      </c>
      <c r="I470" s="44">
        <v>46175</v>
      </c>
      <c r="J470" s="40" t="s">
        <v>64</v>
      </c>
      <c r="K470" s="40" t="s">
        <v>101</v>
      </c>
      <c r="L470" s="46" t="s">
        <v>175</v>
      </c>
      <c r="M470" s="46"/>
      <c r="N470" s="46"/>
      <c r="O470" s="45"/>
      <c r="P470" s="46" t="str">
        <f t="shared" si="7"/>
        <v>RET</v>
      </c>
      <c r="R470" s="47" t="str">
        <f>IF(AND($I470&lt;&gt;"",$I470&gt;=DATE(2026,6,23),COUNTIFS($C:$C,$C470,$I:$I,$I470)&gt;2),"⚠ "&amp;COUNTIFS($C:$C,$C470,$I:$I,$I470)&amp;" BAŞVURU!","")</f>
        <v/>
      </c>
    </row>
    <row r="471" spans="1:18" ht="63" customHeight="1" x14ac:dyDescent="0.25">
      <c r="A471" s="39" t="s">
        <v>2284</v>
      </c>
      <c r="B471" s="39" t="s">
        <v>2285</v>
      </c>
      <c r="C471" s="40" t="s">
        <v>2286</v>
      </c>
      <c r="D471" s="40" t="s">
        <v>186</v>
      </c>
      <c r="E471" s="41" t="s">
        <v>2287</v>
      </c>
      <c r="F471" s="41" t="s">
        <v>2288</v>
      </c>
      <c r="G471" s="42" t="s">
        <v>35</v>
      </c>
      <c r="H471" s="44">
        <v>46154</v>
      </c>
      <c r="I471" s="44">
        <v>46175</v>
      </c>
      <c r="J471" s="40" t="s">
        <v>102</v>
      </c>
      <c r="K471" s="40" t="s">
        <v>118</v>
      </c>
      <c r="L471" s="46" t="s">
        <v>66</v>
      </c>
      <c r="M471" s="46"/>
      <c r="N471" s="46"/>
      <c r="O471" s="45"/>
      <c r="P471" s="46" t="str">
        <f t="shared" si="7"/>
        <v>ONAY</v>
      </c>
      <c r="R471" s="47" t="str">
        <f>IF(AND($I471&lt;&gt;"",$I471&gt;=DATE(2026,6,23),COUNTIFS($C:$C,$C471,$I:$I,$I471)&gt;2),"⚠ "&amp;COUNTIFS($C:$C,$C471,$I:$I,$I471)&amp;" BAŞVURU!","")</f>
        <v/>
      </c>
    </row>
    <row r="472" spans="1:18" ht="63" customHeight="1" x14ac:dyDescent="0.25">
      <c r="A472" s="39" t="s">
        <v>2289</v>
      </c>
      <c r="B472" s="39" t="s">
        <v>2290</v>
      </c>
      <c r="C472" s="40" t="s">
        <v>2291</v>
      </c>
      <c r="D472" s="40" t="s">
        <v>419</v>
      </c>
      <c r="E472" s="41" t="s">
        <v>2292</v>
      </c>
      <c r="F472" s="41" t="s">
        <v>2293</v>
      </c>
      <c r="G472" s="42" t="s">
        <v>34</v>
      </c>
      <c r="H472" s="44">
        <v>46154</v>
      </c>
      <c r="I472" s="44">
        <v>46175</v>
      </c>
      <c r="J472" s="40" t="s">
        <v>92</v>
      </c>
      <c r="K472" s="40" t="s">
        <v>74</v>
      </c>
      <c r="L472" s="46" t="s">
        <v>66</v>
      </c>
      <c r="M472" s="46"/>
      <c r="N472" s="46"/>
      <c r="O472" s="45"/>
      <c r="P472" s="46" t="str">
        <f t="shared" si="7"/>
        <v>ONAY</v>
      </c>
      <c r="R472" s="47" t="str">
        <f>IF(AND($I472&lt;&gt;"",$I472&gt;=DATE(2026,6,23),COUNTIFS($C:$C,$C472,$I:$I,$I472)&gt;2),"⚠ "&amp;COUNTIFS($C:$C,$C472,$I:$I,$I472)&amp;" BAŞVURU!","")</f>
        <v/>
      </c>
    </row>
    <row r="473" spans="1:18" ht="63" customHeight="1" x14ac:dyDescent="0.25">
      <c r="A473" s="39" t="s">
        <v>2294</v>
      </c>
      <c r="B473" s="39" t="s">
        <v>2295</v>
      </c>
      <c r="C473" s="40" t="s">
        <v>2296</v>
      </c>
      <c r="D473" s="40" t="s">
        <v>2297</v>
      </c>
      <c r="E473" s="41" t="s">
        <v>2298</v>
      </c>
      <c r="F473" s="41" t="s">
        <v>2299</v>
      </c>
      <c r="G473" s="42" t="s">
        <v>37</v>
      </c>
      <c r="H473" s="44">
        <v>46154</v>
      </c>
      <c r="I473" s="44">
        <v>46175</v>
      </c>
      <c r="J473" s="40" t="s">
        <v>91</v>
      </c>
      <c r="K473" s="40" t="s">
        <v>92</v>
      </c>
      <c r="L473" s="46" t="s">
        <v>66</v>
      </c>
      <c r="M473" s="46"/>
      <c r="N473" s="46"/>
      <c r="O473" s="45"/>
      <c r="P473" s="46" t="str">
        <f t="shared" si="7"/>
        <v>ONAY</v>
      </c>
      <c r="R473" s="47" t="str">
        <f>IF(AND($I473&lt;&gt;"",$I473&gt;=DATE(2026,6,23),COUNTIFS($C:$C,$C473,$I:$I,$I473)&gt;2),"⚠ "&amp;COUNTIFS($C:$C,$C473,$I:$I,$I473)&amp;" BAŞVURU!","")</f>
        <v/>
      </c>
    </row>
    <row r="474" spans="1:18" ht="78.75" customHeight="1" x14ac:dyDescent="0.25">
      <c r="A474" s="39" t="s">
        <v>2300</v>
      </c>
      <c r="B474" s="39" t="s">
        <v>2301</v>
      </c>
      <c r="C474" s="40" t="s">
        <v>2302</v>
      </c>
      <c r="D474" s="40" t="s">
        <v>186</v>
      </c>
      <c r="E474" s="41" t="s">
        <v>2303</v>
      </c>
      <c r="F474" s="41" t="s">
        <v>2304</v>
      </c>
      <c r="G474" s="42" t="s">
        <v>34</v>
      </c>
      <c r="H474" s="44">
        <v>46154</v>
      </c>
      <c r="I474" s="44">
        <v>46175</v>
      </c>
      <c r="J474" s="40" t="s">
        <v>83</v>
      </c>
      <c r="K474" s="40" t="s">
        <v>110</v>
      </c>
      <c r="L474" s="46" t="s">
        <v>93</v>
      </c>
      <c r="M474" s="46"/>
      <c r="N474" s="46"/>
      <c r="O474" s="45"/>
      <c r="P474" s="46" t="str">
        <f t="shared" si="7"/>
        <v>DÜZELTME</v>
      </c>
      <c r="R474" s="47" t="str">
        <f>IF(AND($I474&lt;&gt;"",$I474&gt;=DATE(2026,6,23),COUNTIFS($C:$C,$C474,$I:$I,$I474)&gt;2),"⚠ "&amp;COUNTIFS($C:$C,$C474,$I:$I,$I474)&amp;" BAŞVURU!","")</f>
        <v/>
      </c>
    </row>
    <row r="475" spans="1:18" ht="110.25" customHeight="1" x14ac:dyDescent="0.25">
      <c r="A475" s="39" t="s">
        <v>2305</v>
      </c>
      <c r="B475" s="39" t="s">
        <v>2306</v>
      </c>
      <c r="C475" s="40" t="s">
        <v>2307</v>
      </c>
      <c r="D475" s="40" t="s">
        <v>567</v>
      </c>
      <c r="E475" s="41" t="s">
        <v>2308</v>
      </c>
      <c r="F475" s="41" t="s">
        <v>2309</v>
      </c>
      <c r="G475" s="42" t="s">
        <v>35</v>
      </c>
      <c r="H475" s="44">
        <v>46154</v>
      </c>
      <c r="I475" s="44">
        <v>46175</v>
      </c>
      <c r="J475" s="40" t="s">
        <v>118</v>
      </c>
      <c r="K475" s="40" t="s">
        <v>74</v>
      </c>
      <c r="L475" s="46" t="s">
        <v>93</v>
      </c>
      <c r="M475" s="46"/>
      <c r="N475" s="46"/>
      <c r="O475" s="45"/>
      <c r="P475" s="46" t="str">
        <f t="shared" si="7"/>
        <v>DÜZELTME</v>
      </c>
      <c r="R475" s="47" t="str">
        <f>IF(AND($I475&lt;&gt;"",$I475&gt;=DATE(2026,6,23),COUNTIFS($C:$C,$C475,$I:$I,$I475)&gt;2),"⚠ "&amp;COUNTIFS($C:$C,$C475,$I:$I,$I475)&amp;" BAŞVURU!","")</f>
        <v/>
      </c>
    </row>
    <row r="476" spans="1:18" ht="63" customHeight="1" x14ac:dyDescent="0.25">
      <c r="A476" s="39" t="s">
        <v>2310</v>
      </c>
      <c r="B476" s="39" t="s">
        <v>2311</v>
      </c>
      <c r="C476" s="40" t="s">
        <v>2312</v>
      </c>
      <c r="D476" s="40" t="s">
        <v>419</v>
      </c>
      <c r="E476" s="41" t="s">
        <v>2313</v>
      </c>
      <c r="F476" s="41" t="s">
        <v>2314</v>
      </c>
      <c r="G476" s="42" t="s">
        <v>34</v>
      </c>
      <c r="H476" s="44">
        <v>46154</v>
      </c>
      <c r="I476" s="44">
        <v>46175</v>
      </c>
      <c r="J476" s="40" t="s">
        <v>83</v>
      </c>
      <c r="K476" s="40" t="s">
        <v>91</v>
      </c>
      <c r="L476" s="46" t="s">
        <v>93</v>
      </c>
      <c r="M476" s="46"/>
      <c r="N476" s="46"/>
      <c r="O476" s="45"/>
      <c r="P476" s="46" t="str">
        <f t="shared" si="7"/>
        <v>DÜZELTME</v>
      </c>
      <c r="R476" s="47" t="str">
        <f>IF(AND($I476&lt;&gt;"",$I476&gt;=DATE(2026,6,23),COUNTIFS($C:$C,$C476,$I:$I,$I476)&gt;2),"⚠ "&amp;COUNTIFS($C:$C,$C476,$I:$I,$I476)&amp;" BAŞVURU!","")</f>
        <v/>
      </c>
    </row>
    <row r="477" spans="1:18" ht="47.25" customHeight="1" x14ac:dyDescent="0.25">
      <c r="A477" s="39" t="s">
        <v>2315</v>
      </c>
      <c r="B477" s="39" t="s">
        <v>2316</v>
      </c>
      <c r="C477" s="40" t="s">
        <v>2230</v>
      </c>
      <c r="D477" s="40" t="s">
        <v>248</v>
      </c>
      <c r="E477" s="41" t="s">
        <v>2231</v>
      </c>
      <c r="F477" s="41" t="s">
        <v>2317</v>
      </c>
      <c r="G477" s="42" t="s">
        <v>34</v>
      </c>
      <c r="H477" s="44">
        <v>46154</v>
      </c>
      <c r="I477" s="44">
        <v>46175</v>
      </c>
      <c r="J477" s="40" t="s">
        <v>92</v>
      </c>
      <c r="K477" s="40" t="s">
        <v>125</v>
      </c>
      <c r="L477" s="46" t="s">
        <v>66</v>
      </c>
      <c r="M477" s="46"/>
      <c r="N477" s="46"/>
      <c r="O477" s="45"/>
      <c r="P477" s="46" t="str">
        <f t="shared" si="7"/>
        <v>ONAY</v>
      </c>
      <c r="R477" s="47" t="str">
        <f>IF(AND($I477&lt;&gt;"",$I477&gt;=DATE(2026,6,23),COUNTIFS($C:$C,$C477,$I:$I,$I477)&gt;2),"⚠ "&amp;COUNTIFS($C:$C,$C477,$I:$I,$I477)&amp;" BAŞVURU!","")</f>
        <v/>
      </c>
    </row>
    <row r="478" spans="1:18" ht="110.25" customHeight="1" x14ac:dyDescent="0.25">
      <c r="A478" s="39" t="s">
        <v>2318</v>
      </c>
      <c r="B478" s="39" t="s">
        <v>2319</v>
      </c>
      <c r="C478" s="40" t="s">
        <v>1530</v>
      </c>
      <c r="D478" s="40" t="s">
        <v>234</v>
      </c>
      <c r="E478" s="41" t="s">
        <v>2320</v>
      </c>
      <c r="F478" s="41" t="s">
        <v>2321</v>
      </c>
      <c r="G478" s="42" t="s">
        <v>34</v>
      </c>
      <c r="H478" s="44">
        <v>46154</v>
      </c>
      <c r="I478" s="44">
        <v>46175</v>
      </c>
      <c r="J478" s="40" t="s">
        <v>101</v>
      </c>
      <c r="K478" s="40" t="s">
        <v>110</v>
      </c>
      <c r="L478" s="46" t="s">
        <v>93</v>
      </c>
      <c r="M478" s="46"/>
      <c r="N478" s="46"/>
      <c r="O478" s="45"/>
      <c r="P478" s="46" t="str">
        <f t="shared" si="7"/>
        <v>DÜZELTME</v>
      </c>
      <c r="R478" s="47" t="str">
        <f>IF(AND($I478&lt;&gt;"",$I478&gt;=DATE(2026,6,23),COUNTIFS($C:$C,$C478,$I:$I,$I478)&gt;2),"⚠ "&amp;COUNTIFS($C:$C,$C478,$I:$I,$I478)&amp;" BAŞVURU!","")</f>
        <v/>
      </c>
    </row>
    <row r="479" spans="1:18" ht="63" customHeight="1" x14ac:dyDescent="0.25">
      <c r="A479" s="39" t="s">
        <v>2322</v>
      </c>
      <c r="B479" s="39" t="s">
        <v>2323</v>
      </c>
      <c r="C479" s="40" t="s">
        <v>2324</v>
      </c>
      <c r="D479" s="40" t="s">
        <v>234</v>
      </c>
      <c r="E479" s="41" t="s">
        <v>2325</v>
      </c>
      <c r="F479" s="41" t="s">
        <v>2326</v>
      </c>
      <c r="G479" s="42" t="s">
        <v>34</v>
      </c>
      <c r="H479" s="44">
        <v>46154</v>
      </c>
      <c r="I479" s="44">
        <v>46175</v>
      </c>
      <c r="J479" s="40" t="s">
        <v>102</v>
      </c>
      <c r="K479" s="40" t="s">
        <v>92</v>
      </c>
      <c r="L479" s="46" t="s">
        <v>66</v>
      </c>
      <c r="M479" s="46"/>
      <c r="N479" s="46"/>
      <c r="O479" s="45"/>
      <c r="P479" s="46" t="str">
        <f t="shared" si="7"/>
        <v>ONAY</v>
      </c>
      <c r="R479" s="47" t="str">
        <f>IF(AND($I479&lt;&gt;"",$I479&gt;=DATE(2026,6,23),COUNTIFS($C:$C,$C479,$I:$I,$I479)&gt;2),"⚠ "&amp;COUNTIFS($C:$C,$C479,$I:$I,$I479)&amp;" BAŞVURU!","")</f>
        <v/>
      </c>
    </row>
    <row r="480" spans="1:18" ht="78.75" customHeight="1" x14ac:dyDescent="0.25">
      <c r="A480" s="39" t="s">
        <v>2327</v>
      </c>
      <c r="B480" s="39" t="s">
        <v>2328</v>
      </c>
      <c r="C480" s="40" t="s">
        <v>772</v>
      </c>
      <c r="D480" s="40" t="s">
        <v>317</v>
      </c>
      <c r="E480" s="41" t="s">
        <v>2329</v>
      </c>
      <c r="F480" s="41" t="s">
        <v>2330</v>
      </c>
      <c r="G480" s="42" t="s">
        <v>34</v>
      </c>
      <c r="H480" s="44">
        <v>46154</v>
      </c>
      <c r="I480" s="44">
        <v>46175</v>
      </c>
      <c r="J480" s="40" t="s">
        <v>118</v>
      </c>
      <c r="K480" s="40" t="s">
        <v>64</v>
      </c>
      <c r="L480" s="46" t="s">
        <v>175</v>
      </c>
      <c r="M480" s="46"/>
      <c r="N480" s="46"/>
      <c r="O480" s="45"/>
      <c r="P480" s="46" t="str">
        <f t="shared" si="7"/>
        <v>RET</v>
      </c>
      <c r="R480" s="47" t="str">
        <f>IF(AND($I480&lt;&gt;"",$I480&gt;=DATE(2026,6,23),COUNTIFS($C:$C,$C480,$I:$I,$I480)&gt;2),"⚠ "&amp;COUNTIFS($C:$C,$C480,$I:$I,$I480)&amp;" BAŞVURU!","")</f>
        <v/>
      </c>
    </row>
    <row r="481" spans="1:18" ht="81" customHeight="1" x14ac:dyDescent="0.25">
      <c r="A481" s="39" t="s">
        <v>2331</v>
      </c>
      <c r="B481" s="39" t="s">
        <v>2332</v>
      </c>
      <c r="C481" s="40" t="s">
        <v>1691</v>
      </c>
      <c r="D481" s="40" t="s">
        <v>1692</v>
      </c>
      <c r="E481" s="41" t="s">
        <v>2333</v>
      </c>
      <c r="F481" s="41" t="s">
        <v>2334</v>
      </c>
      <c r="G481" s="42" t="s">
        <v>34</v>
      </c>
      <c r="H481" s="44">
        <v>46154</v>
      </c>
      <c r="I481" s="44">
        <v>46175</v>
      </c>
      <c r="J481" s="40" t="s">
        <v>64</v>
      </c>
      <c r="K481" s="40" t="s">
        <v>125</v>
      </c>
      <c r="L481" s="46" t="s">
        <v>93</v>
      </c>
      <c r="M481" s="46"/>
      <c r="N481" s="46"/>
      <c r="O481" s="45"/>
      <c r="P481" s="46" t="str">
        <f t="shared" si="7"/>
        <v>DÜZELTME</v>
      </c>
      <c r="R481" s="47" t="str">
        <f>IF(AND($I481&lt;&gt;"",$I481&gt;=DATE(2026,6,23),COUNTIFS($C:$C,$C481,$I:$I,$I481)&gt;2),"⚠ "&amp;COUNTIFS($C:$C,$C481,$I:$I,$I481)&amp;" BAŞVURU!","")</f>
        <v/>
      </c>
    </row>
    <row r="482" spans="1:18" ht="110.25" customHeight="1" x14ac:dyDescent="0.25">
      <c r="A482" s="39" t="s">
        <v>2335</v>
      </c>
      <c r="B482" s="39" t="s">
        <v>2336</v>
      </c>
      <c r="C482" s="40" t="s">
        <v>2337</v>
      </c>
      <c r="D482" s="40" t="s">
        <v>172</v>
      </c>
      <c r="E482" s="41" t="s">
        <v>2338</v>
      </c>
      <c r="F482" s="41" t="s">
        <v>2339</v>
      </c>
      <c r="G482" s="42" t="s">
        <v>35</v>
      </c>
      <c r="H482" s="44">
        <v>46155</v>
      </c>
      <c r="I482" s="44">
        <v>46175</v>
      </c>
      <c r="J482" s="40" t="s">
        <v>91</v>
      </c>
      <c r="K482" s="40" t="s">
        <v>101</v>
      </c>
      <c r="L482" s="46" t="s">
        <v>66</v>
      </c>
      <c r="M482" s="46"/>
      <c r="N482" s="46"/>
      <c r="O482" s="45"/>
      <c r="P482" s="46" t="str">
        <f t="shared" si="7"/>
        <v>ONAY</v>
      </c>
      <c r="R482" s="47" t="str">
        <f>IF(AND($I482&lt;&gt;"",$I482&gt;=DATE(2026,6,23),COUNTIFS($C:$C,$C482,$I:$I,$I482)&gt;2),"⚠ "&amp;COUNTIFS($C:$C,$C482,$I:$I,$I482)&amp;" BAŞVURU!","")</f>
        <v/>
      </c>
    </row>
    <row r="483" spans="1:18" ht="78.75" customHeight="1" x14ac:dyDescent="0.25">
      <c r="A483" s="39" t="s">
        <v>2340</v>
      </c>
      <c r="B483" s="39" t="s">
        <v>2341</v>
      </c>
      <c r="C483" s="40" t="s">
        <v>2342</v>
      </c>
      <c r="D483" s="40" t="s">
        <v>234</v>
      </c>
      <c r="E483" s="41" t="s">
        <v>2343</v>
      </c>
      <c r="F483" s="41" t="s">
        <v>2344</v>
      </c>
      <c r="G483" s="42" t="s">
        <v>35</v>
      </c>
      <c r="H483" s="44">
        <v>46155</v>
      </c>
      <c r="I483" s="44">
        <v>46175</v>
      </c>
      <c r="J483" s="40" t="s">
        <v>64</v>
      </c>
      <c r="K483" s="40" t="s">
        <v>74</v>
      </c>
      <c r="L483" s="46" t="s">
        <v>66</v>
      </c>
      <c r="M483" s="46"/>
      <c r="N483" s="46"/>
      <c r="O483" s="45"/>
      <c r="P483" s="46" t="str">
        <f t="shared" si="7"/>
        <v>ONAY</v>
      </c>
      <c r="R483" s="47" t="str">
        <f>IF(AND($I483&lt;&gt;"",$I483&gt;=DATE(2026,6,23),COUNTIFS($C:$C,$C483,$I:$I,$I483)&gt;2),"⚠ "&amp;COUNTIFS($C:$C,$C483,$I:$I,$I483)&amp;" BAŞVURU!","")</f>
        <v/>
      </c>
    </row>
    <row r="484" spans="1:18" ht="78.75" customHeight="1" x14ac:dyDescent="0.25">
      <c r="A484" s="39" t="s">
        <v>2345</v>
      </c>
      <c r="B484" s="39" t="s">
        <v>2346</v>
      </c>
      <c r="C484" s="40" t="s">
        <v>2347</v>
      </c>
      <c r="D484" s="40" t="s">
        <v>107</v>
      </c>
      <c r="E484" s="41" t="s">
        <v>2348</v>
      </c>
      <c r="F484" s="41" t="s">
        <v>2349</v>
      </c>
      <c r="G484" s="42" t="s">
        <v>35</v>
      </c>
      <c r="H484" s="44">
        <v>46155</v>
      </c>
      <c r="I484" s="44">
        <v>46175</v>
      </c>
      <c r="J484" s="40" t="s">
        <v>102</v>
      </c>
      <c r="K484" s="40" t="s">
        <v>125</v>
      </c>
      <c r="L484" s="46" t="s">
        <v>66</v>
      </c>
      <c r="M484" s="46"/>
      <c r="N484" s="46"/>
      <c r="O484" s="45"/>
      <c r="P484" s="46" t="str">
        <f t="shared" si="7"/>
        <v>ONAY</v>
      </c>
      <c r="R484" s="47" t="str">
        <f>IF(AND($I484&lt;&gt;"",$I484&gt;=DATE(2026,6,23),COUNTIFS($C:$C,$C484,$I:$I,$I484)&gt;2),"⚠ "&amp;COUNTIFS($C:$C,$C484,$I:$I,$I484)&amp;" BAŞVURU!","")</f>
        <v/>
      </c>
    </row>
    <row r="485" spans="1:18" ht="63" customHeight="1" x14ac:dyDescent="0.25">
      <c r="A485" s="39" t="s">
        <v>2350</v>
      </c>
      <c r="B485" s="39" t="s">
        <v>2351</v>
      </c>
      <c r="C485" s="40" t="s">
        <v>1555</v>
      </c>
      <c r="D485" s="40" t="s">
        <v>248</v>
      </c>
      <c r="E485" s="41" t="s">
        <v>2352</v>
      </c>
      <c r="F485" s="41" t="s">
        <v>2353</v>
      </c>
      <c r="G485" s="42" t="s">
        <v>34</v>
      </c>
      <c r="H485" s="44">
        <v>46155</v>
      </c>
      <c r="I485" s="44">
        <v>46175</v>
      </c>
      <c r="J485" s="40" t="s">
        <v>110</v>
      </c>
      <c r="K485" s="40" t="s">
        <v>83</v>
      </c>
      <c r="L485" s="46" t="s">
        <v>66</v>
      </c>
      <c r="M485" s="46"/>
      <c r="N485" s="46"/>
      <c r="O485" s="45"/>
      <c r="P485" s="46" t="str">
        <f t="shared" si="7"/>
        <v>ONAY</v>
      </c>
      <c r="R485" s="47" t="str">
        <f>IF(AND($I485&lt;&gt;"",$I485&gt;=DATE(2026,6,23),COUNTIFS($C:$C,$C485,$I:$I,$I485)&gt;2),"⚠ "&amp;COUNTIFS($C:$C,$C485,$I:$I,$I485)&amp;" BAŞVURU!","")</f>
        <v/>
      </c>
    </row>
    <row r="486" spans="1:18" ht="63" customHeight="1" x14ac:dyDescent="0.25">
      <c r="A486" s="39" t="s">
        <v>2354</v>
      </c>
      <c r="B486" s="39" t="s">
        <v>2355</v>
      </c>
      <c r="C486" s="40" t="s">
        <v>1555</v>
      </c>
      <c r="D486" s="40" t="s">
        <v>248</v>
      </c>
      <c r="E486" s="41" t="s">
        <v>2352</v>
      </c>
      <c r="F486" s="41" t="s">
        <v>2356</v>
      </c>
      <c r="G486" s="42" t="s">
        <v>34</v>
      </c>
      <c r="H486" s="44">
        <v>46155</v>
      </c>
      <c r="I486" s="44">
        <v>46175</v>
      </c>
      <c r="J486" s="40" t="s">
        <v>110</v>
      </c>
      <c r="K486" s="40" t="s">
        <v>83</v>
      </c>
      <c r="L486" s="46" t="s">
        <v>93</v>
      </c>
      <c r="M486" s="46"/>
      <c r="N486" s="46"/>
      <c r="O486" s="45"/>
      <c r="P486" s="46" t="str">
        <f t="shared" si="7"/>
        <v>DÜZELTME</v>
      </c>
      <c r="R486" s="47" t="str">
        <f>IF(AND($I486&lt;&gt;"",$I486&gt;=DATE(2026,6,23),COUNTIFS($C:$C,$C486,$I:$I,$I486)&gt;2),"⚠ "&amp;COUNTIFS($C:$C,$C486,$I:$I,$I486)&amp;" BAŞVURU!","")</f>
        <v/>
      </c>
    </row>
    <row r="487" spans="1:18" ht="78.75" customHeight="1" x14ac:dyDescent="0.25">
      <c r="A487" s="39" t="s">
        <v>2357</v>
      </c>
      <c r="B487" s="39" t="s">
        <v>2358</v>
      </c>
      <c r="C487" s="40" t="s">
        <v>2359</v>
      </c>
      <c r="D487" s="40" t="s">
        <v>107</v>
      </c>
      <c r="E487" s="41" t="s">
        <v>2360</v>
      </c>
      <c r="F487" s="41" t="s">
        <v>2361</v>
      </c>
      <c r="G487" s="42" t="s">
        <v>34</v>
      </c>
      <c r="H487" s="44">
        <v>46156</v>
      </c>
      <c r="I487" s="44">
        <v>46175</v>
      </c>
      <c r="J487" s="40" t="s">
        <v>101</v>
      </c>
      <c r="K487" s="40" t="s">
        <v>125</v>
      </c>
      <c r="L487" s="46" t="s">
        <v>93</v>
      </c>
      <c r="M487" s="46"/>
      <c r="N487" s="46"/>
      <c r="O487" s="45"/>
      <c r="P487" s="46" t="str">
        <f t="shared" si="7"/>
        <v>DÜZELTME</v>
      </c>
      <c r="R487" s="47" t="str">
        <f>IF(AND($I487&lt;&gt;"",$I487&gt;=DATE(2026,6,23),COUNTIFS($C:$C,$C487,$I:$I,$I487)&gt;2),"⚠ "&amp;COUNTIFS($C:$C,$C487,$I:$I,$I487)&amp;" BAŞVURU!","")</f>
        <v/>
      </c>
    </row>
    <row r="488" spans="1:18" ht="78.75" customHeight="1" x14ac:dyDescent="0.25">
      <c r="A488" s="39" t="s">
        <v>2362</v>
      </c>
      <c r="B488" s="39" t="s">
        <v>2363</v>
      </c>
      <c r="C488" s="40" t="s">
        <v>2359</v>
      </c>
      <c r="D488" s="40" t="s">
        <v>107</v>
      </c>
      <c r="E488" s="41" t="s">
        <v>2360</v>
      </c>
      <c r="F488" s="41" t="s">
        <v>2364</v>
      </c>
      <c r="G488" s="42" t="s">
        <v>34</v>
      </c>
      <c r="H488" s="44">
        <v>46156</v>
      </c>
      <c r="I488" s="44">
        <v>46175</v>
      </c>
      <c r="J488" s="40" t="s">
        <v>101</v>
      </c>
      <c r="K488" s="40" t="s">
        <v>125</v>
      </c>
      <c r="L488" s="46" t="s">
        <v>93</v>
      </c>
      <c r="M488" s="46"/>
      <c r="N488" s="46"/>
      <c r="O488" s="45"/>
      <c r="P488" s="46" t="str">
        <f t="shared" si="7"/>
        <v>DÜZELTME</v>
      </c>
      <c r="R488" s="47" t="str">
        <f>IF(AND($I488&lt;&gt;"",$I488&gt;=DATE(2026,6,23),COUNTIFS($C:$C,$C488,$I:$I,$I488)&gt;2),"⚠ "&amp;COUNTIFS($C:$C,$C488,$I:$I,$I488)&amp;" BAŞVURU!","")</f>
        <v/>
      </c>
    </row>
    <row r="489" spans="1:18" ht="63" customHeight="1" x14ac:dyDescent="0.25">
      <c r="A489" s="39" t="s">
        <v>2365</v>
      </c>
      <c r="B489" s="39" t="s">
        <v>2366</v>
      </c>
      <c r="C489" s="40" t="s">
        <v>661</v>
      </c>
      <c r="D489" s="40" t="s">
        <v>241</v>
      </c>
      <c r="E489" s="41" t="s">
        <v>2367</v>
      </c>
      <c r="F489" s="41" t="s">
        <v>2368</v>
      </c>
      <c r="G489" s="42" t="s">
        <v>35</v>
      </c>
      <c r="H489" s="44">
        <v>46156</v>
      </c>
      <c r="I489" s="44">
        <v>46175</v>
      </c>
      <c r="J489" s="40" t="s">
        <v>74</v>
      </c>
      <c r="K489" s="40" t="s">
        <v>91</v>
      </c>
      <c r="L489" s="46" t="s">
        <v>93</v>
      </c>
      <c r="M489" s="46"/>
      <c r="N489" s="46"/>
      <c r="O489" s="45"/>
      <c r="P489" s="46" t="str">
        <f t="shared" si="7"/>
        <v>DÜZELTME</v>
      </c>
      <c r="R489" s="47" t="str">
        <f>IF(AND($I489&lt;&gt;"",$I489&gt;=DATE(2026,6,23),COUNTIFS($C:$C,$C489,$I:$I,$I489)&gt;2),"⚠ "&amp;COUNTIFS($C:$C,$C489,$I:$I,$I489)&amp;" BAŞVURU!","")</f>
        <v/>
      </c>
    </row>
    <row r="490" spans="1:18" ht="63" customHeight="1" x14ac:dyDescent="0.25">
      <c r="A490" s="39" t="s">
        <v>2369</v>
      </c>
      <c r="B490" s="39" t="s">
        <v>2370</v>
      </c>
      <c r="C490" s="40" t="s">
        <v>2371</v>
      </c>
      <c r="D490" s="40" t="s">
        <v>413</v>
      </c>
      <c r="E490" s="41" t="s">
        <v>2372</v>
      </c>
      <c r="F490" s="41" t="s">
        <v>2373</v>
      </c>
      <c r="G490" s="42" t="s">
        <v>34</v>
      </c>
      <c r="H490" s="44">
        <v>46156</v>
      </c>
      <c r="I490" s="44">
        <v>46175</v>
      </c>
      <c r="J490" s="40" t="s">
        <v>91</v>
      </c>
      <c r="K490" s="40" t="s">
        <v>92</v>
      </c>
      <c r="L490" s="46" t="s">
        <v>66</v>
      </c>
      <c r="M490" s="46"/>
      <c r="N490" s="46"/>
      <c r="O490" s="45"/>
      <c r="P490" s="46" t="str">
        <f t="shared" si="7"/>
        <v>ONAY</v>
      </c>
      <c r="R490" s="47" t="str">
        <f>IF(AND($I490&lt;&gt;"",$I490&gt;=DATE(2026,6,23),COUNTIFS($C:$C,$C490,$I:$I,$I490)&gt;2),"⚠ "&amp;COUNTIFS($C:$C,$C490,$I:$I,$I490)&amp;" BAŞVURU!","")</f>
        <v/>
      </c>
    </row>
    <row r="491" spans="1:18" ht="63" customHeight="1" x14ac:dyDescent="0.25">
      <c r="A491" s="39" t="s">
        <v>2374</v>
      </c>
      <c r="B491" s="39" t="s">
        <v>2375</v>
      </c>
      <c r="C491" s="40" t="s">
        <v>2376</v>
      </c>
      <c r="D491" s="40" t="s">
        <v>107</v>
      </c>
      <c r="E491" s="41" t="s">
        <v>2377</v>
      </c>
      <c r="F491" s="41" t="s">
        <v>2378</v>
      </c>
      <c r="G491" s="42" t="s">
        <v>34</v>
      </c>
      <c r="H491" s="44">
        <v>46157</v>
      </c>
      <c r="I491" s="44">
        <v>46175</v>
      </c>
      <c r="J491" s="40" t="s">
        <v>118</v>
      </c>
      <c r="K491" s="40" t="s">
        <v>74</v>
      </c>
      <c r="L491" s="46" t="s">
        <v>66</v>
      </c>
      <c r="M491" s="46"/>
      <c r="N491" s="46"/>
      <c r="O491" s="45"/>
      <c r="P491" s="46" t="str">
        <f t="shared" si="7"/>
        <v>ONAY</v>
      </c>
      <c r="R491" s="47" t="str">
        <f>IF(AND($I491&lt;&gt;"",$I491&gt;=DATE(2026,6,23),COUNTIFS($C:$C,$C491,$I:$I,$I491)&gt;2),"⚠ "&amp;COUNTIFS($C:$C,$C491,$I:$I,$I491)&amp;" BAŞVURU!","")</f>
        <v/>
      </c>
    </row>
    <row r="492" spans="1:18" ht="63" customHeight="1" x14ac:dyDescent="0.25">
      <c r="A492" s="39" t="s">
        <v>2379</v>
      </c>
      <c r="B492" s="39" t="s">
        <v>2380</v>
      </c>
      <c r="C492" s="40" t="s">
        <v>542</v>
      </c>
      <c r="D492" s="40" t="s">
        <v>317</v>
      </c>
      <c r="E492" s="41" t="s">
        <v>2381</v>
      </c>
      <c r="F492" s="41" t="s">
        <v>2382</v>
      </c>
      <c r="G492" s="42" t="s">
        <v>34</v>
      </c>
      <c r="H492" s="44">
        <v>46157</v>
      </c>
      <c r="I492" s="44">
        <v>46175</v>
      </c>
      <c r="J492" s="40" t="s">
        <v>92</v>
      </c>
      <c r="K492" s="40" t="s">
        <v>102</v>
      </c>
      <c r="L492" s="46" t="s">
        <v>66</v>
      </c>
      <c r="M492" s="46"/>
      <c r="N492" s="46"/>
      <c r="O492" s="45"/>
      <c r="P492" s="46" t="str">
        <f t="shared" si="7"/>
        <v>ONAY</v>
      </c>
      <c r="R492" s="47" t="str">
        <f>IF(AND($I492&lt;&gt;"",$I492&gt;=DATE(2026,6,23),COUNTIFS($C:$C,$C492,$I:$I,$I492)&gt;2),"⚠ "&amp;COUNTIFS($C:$C,$C492,$I:$I,$I492)&amp;" BAŞVURU!","")</f>
        <v/>
      </c>
    </row>
    <row r="493" spans="1:18" ht="78.75" customHeight="1" x14ac:dyDescent="0.25">
      <c r="A493" s="39" t="s">
        <v>2383</v>
      </c>
      <c r="B493" s="39" t="s">
        <v>2384</v>
      </c>
      <c r="C493" s="40" t="s">
        <v>661</v>
      </c>
      <c r="D493" s="40" t="s">
        <v>241</v>
      </c>
      <c r="E493" s="41" t="s">
        <v>2385</v>
      </c>
      <c r="F493" s="41" t="s">
        <v>2386</v>
      </c>
      <c r="G493" s="42" t="s">
        <v>34</v>
      </c>
      <c r="H493" s="44">
        <v>46157</v>
      </c>
      <c r="I493" s="44">
        <v>46175</v>
      </c>
      <c r="J493" s="40" t="s">
        <v>118</v>
      </c>
      <c r="K493" s="40" t="s">
        <v>64</v>
      </c>
      <c r="L493" s="46" t="s">
        <v>66</v>
      </c>
      <c r="M493" s="46"/>
      <c r="N493" s="46"/>
      <c r="O493" s="45"/>
      <c r="P493" s="46" t="str">
        <f t="shared" si="7"/>
        <v>ONAY</v>
      </c>
      <c r="R493" s="47" t="str">
        <f>IF(AND($I493&lt;&gt;"",$I493&gt;=DATE(2026,6,23),COUNTIFS($C:$C,$C493,$I:$I,$I493)&gt;2),"⚠ "&amp;COUNTIFS($C:$C,$C493,$I:$I,$I493)&amp;" BAŞVURU!","")</f>
        <v/>
      </c>
    </row>
    <row r="494" spans="1:18" ht="47.25" customHeight="1" x14ac:dyDescent="0.25">
      <c r="A494" s="39" t="s">
        <v>2387</v>
      </c>
      <c r="B494" s="39" t="s">
        <v>2388</v>
      </c>
      <c r="C494" s="40" t="s">
        <v>1454</v>
      </c>
      <c r="D494" s="40" t="s">
        <v>994</v>
      </c>
      <c r="E494" s="41" t="s">
        <v>2389</v>
      </c>
      <c r="F494" s="41" t="s">
        <v>2390</v>
      </c>
      <c r="G494" s="42" t="s">
        <v>35</v>
      </c>
      <c r="H494" s="44">
        <v>46176</v>
      </c>
      <c r="I494" s="44">
        <v>46196</v>
      </c>
      <c r="J494" s="40" t="s">
        <v>74</v>
      </c>
      <c r="K494" s="40" t="s">
        <v>110</v>
      </c>
      <c r="L494" s="46"/>
      <c r="M494" s="46"/>
      <c r="N494" s="46"/>
      <c r="O494" s="45"/>
      <c r="P494" s="46">
        <f t="shared" si="7"/>
        <v>0</v>
      </c>
      <c r="R494" s="47" t="str">
        <f>IF(AND($I494&lt;&gt;"",$I494&gt;=DATE(2026,6,23),COUNTIFS($C:$C,$C494,$I:$I,$I494)&gt;2),"⚠ "&amp;COUNTIFS($C:$C,$C494,$I:$I,$I494)&amp;" BAŞVURU!","")</f>
        <v/>
      </c>
    </row>
    <row r="495" spans="1:18" ht="63" customHeight="1" x14ac:dyDescent="0.25">
      <c r="A495" s="39" t="s">
        <v>2391</v>
      </c>
      <c r="B495" s="39" t="s">
        <v>2392</v>
      </c>
      <c r="C495" s="40" t="s">
        <v>517</v>
      </c>
      <c r="D495" s="40" t="s">
        <v>324</v>
      </c>
      <c r="E495" s="41" t="s">
        <v>2393</v>
      </c>
      <c r="F495" s="41" t="s">
        <v>2394</v>
      </c>
      <c r="G495" s="42" t="s">
        <v>34</v>
      </c>
      <c r="H495" s="44">
        <v>46176</v>
      </c>
      <c r="I495" s="44">
        <v>46196</v>
      </c>
      <c r="J495" s="40" t="s">
        <v>118</v>
      </c>
      <c r="K495" s="40" t="s">
        <v>110</v>
      </c>
      <c r="L495" s="46"/>
      <c r="M495" s="46"/>
      <c r="N495" s="46"/>
      <c r="O495" s="45"/>
      <c r="P495" s="46">
        <f t="shared" si="7"/>
        <v>0</v>
      </c>
      <c r="R495" s="47" t="str">
        <f>IF(AND($I495&lt;&gt;"",$I495&gt;=DATE(2026,6,23),COUNTIFS($C:$C,$C495,$I:$I,$I495)&gt;2),"⚠ "&amp;COUNTIFS($C:$C,$C495,$I:$I,$I495)&amp;" BAŞVURU!","")</f>
        <v/>
      </c>
    </row>
    <row r="496" spans="1:18" ht="63" customHeight="1" x14ac:dyDescent="0.25">
      <c r="A496" s="39" t="s">
        <v>2395</v>
      </c>
      <c r="B496" s="39" t="s">
        <v>2396</v>
      </c>
      <c r="C496" s="40" t="s">
        <v>2397</v>
      </c>
      <c r="D496" s="40" t="s">
        <v>317</v>
      </c>
      <c r="E496" s="41" t="s">
        <v>2398</v>
      </c>
      <c r="F496" s="41" t="s">
        <v>2399</v>
      </c>
      <c r="G496" s="42" t="s">
        <v>34</v>
      </c>
      <c r="H496" s="44">
        <v>46176</v>
      </c>
      <c r="I496" s="44">
        <v>46196</v>
      </c>
      <c r="J496" s="40" t="s">
        <v>64</v>
      </c>
      <c r="K496" s="40" t="s">
        <v>92</v>
      </c>
      <c r="L496" s="46"/>
      <c r="M496" s="46"/>
      <c r="N496" s="46"/>
      <c r="O496" s="45"/>
      <c r="P496" s="46">
        <f t="shared" si="7"/>
        <v>0</v>
      </c>
      <c r="R496" s="47" t="str">
        <f>IF(AND($I496&lt;&gt;"",$I496&gt;=DATE(2026,6,23),COUNTIFS($C:$C,$C496,$I:$I,$I496)&gt;2),"⚠ "&amp;COUNTIFS($C:$C,$C496,$I:$I,$I496)&amp;" BAŞVURU!","")</f>
        <v/>
      </c>
    </row>
    <row r="497" spans="1:18" ht="63" customHeight="1" x14ac:dyDescent="0.25">
      <c r="A497" s="39" t="s">
        <v>2400</v>
      </c>
      <c r="B497" s="39" t="s">
        <v>2401</v>
      </c>
      <c r="C497" s="40" t="s">
        <v>1365</v>
      </c>
      <c r="D497" s="40" t="s">
        <v>234</v>
      </c>
      <c r="E497" s="41" t="s">
        <v>2402</v>
      </c>
      <c r="F497" s="41" t="s">
        <v>2403</v>
      </c>
      <c r="G497" s="42" t="s">
        <v>34</v>
      </c>
      <c r="H497" s="44">
        <v>46177</v>
      </c>
      <c r="I497" s="44">
        <v>46196</v>
      </c>
      <c r="J497" s="40" t="s">
        <v>65</v>
      </c>
      <c r="K497" s="40" t="s">
        <v>110</v>
      </c>
      <c r="L497" s="46"/>
      <c r="M497" s="46"/>
      <c r="N497" s="46"/>
      <c r="O497" s="45"/>
      <c r="P497" s="46">
        <f t="shared" si="7"/>
        <v>0</v>
      </c>
      <c r="R497" s="47" t="str">
        <f>IF(AND($I497&lt;&gt;"",$I497&gt;=DATE(2026,6,23),COUNTIFS($C:$C,$C497,$I:$I,$I497)&gt;2),"⚠ "&amp;COUNTIFS($C:$C,$C497,$I:$I,$I497)&amp;" BAŞVURU!","")</f>
        <v/>
      </c>
    </row>
    <row r="498" spans="1:18" ht="78.75" customHeight="1" x14ac:dyDescent="0.25">
      <c r="A498" s="39" t="s">
        <v>2404</v>
      </c>
      <c r="B498" s="39" t="s">
        <v>2405</v>
      </c>
      <c r="C498" s="40" t="s">
        <v>407</v>
      </c>
      <c r="D498" s="40" t="s">
        <v>234</v>
      </c>
      <c r="E498" s="41" t="s">
        <v>2406</v>
      </c>
      <c r="F498" s="41" t="s">
        <v>2407</v>
      </c>
      <c r="G498" s="42" t="s">
        <v>34</v>
      </c>
      <c r="H498" s="44">
        <v>46177</v>
      </c>
      <c r="I498" s="44">
        <v>46196</v>
      </c>
      <c r="J498" s="40" t="s">
        <v>65</v>
      </c>
      <c r="K498" s="40" t="s">
        <v>83</v>
      </c>
      <c r="L498" s="46"/>
      <c r="M498" s="46"/>
      <c r="N498" s="46"/>
      <c r="O498" s="45"/>
      <c r="P498" s="46">
        <f t="shared" si="7"/>
        <v>0</v>
      </c>
      <c r="R498" s="47" t="str">
        <f>IF(AND($I498&lt;&gt;"",$I498&gt;=DATE(2026,6,23),COUNTIFS($C:$C,$C498,$I:$I,$I498)&gt;2),"⚠ "&amp;COUNTIFS($C:$C,$C498,$I:$I,$I498)&amp;" BAŞVURU!","")</f>
        <v/>
      </c>
    </row>
    <row r="499" spans="1:18" ht="63" customHeight="1" x14ac:dyDescent="0.25">
      <c r="A499" s="39" t="s">
        <v>2408</v>
      </c>
      <c r="B499" s="39" t="s">
        <v>2409</v>
      </c>
      <c r="C499" s="40" t="s">
        <v>552</v>
      </c>
      <c r="D499" s="40" t="s">
        <v>107</v>
      </c>
      <c r="E499" s="41" t="s">
        <v>2023</v>
      </c>
      <c r="F499" s="41" t="s">
        <v>2410</v>
      </c>
      <c r="G499" s="42" t="s">
        <v>34</v>
      </c>
      <c r="H499" s="44">
        <v>46177</v>
      </c>
      <c r="I499" s="44">
        <v>46196</v>
      </c>
      <c r="J499" s="40" t="s">
        <v>64</v>
      </c>
      <c r="K499" s="40" t="s">
        <v>125</v>
      </c>
      <c r="L499" s="46"/>
      <c r="M499" s="46"/>
      <c r="N499" s="46"/>
      <c r="O499" s="45"/>
      <c r="P499" s="46">
        <f t="shared" si="7"/>
        <v>0</v>
      </c>
      <c r="R499" s="47" t="str">
        <f>IF(AND($I499&lt;&gt;"",$I499&gt;=DATE(2026,6,23),COUNTIFS($C:$C,$C499,$I:$I,$I499)&gt;2),"⚠ "&amp;COUNTIFS($C:$C,$C499,$I:$I,$I499)&amp;" BAŞVURU!","")</f>
        <v/>
      </c>
    </row>
    <row r="500" spans="1:18" ht="65.25" customHeight="1" x14ac:dyDescent="0.25">
      <c r="A500" s="39" t="s">
        <v>2411</v>
      </c>
      <c r="B500" s="39" t="s">
        <v>2412</v>
      </c>
      <c r="C500" s="40" t="s">
        <v>576</v>
      </c>
      <c r="D500" s="40" t="s">
        <v>200</v>
      </c>
      <c r="E500" s="41" t="s">
        <v>2413</v>
      </c>
      <c r="F500" s="41" t="s">
        <v>2414</v>
      </c>
      <c r="G500" s="42" t="s">
        <v>34</v>
      </c>
      <c r="H500" s="44">
        <v>46177</v>
      </c>
      <c r="I500" s="44">
        <v>46196</v>
      </c>
      <c r="J500" s="40" t="s">
        <v>83</v>
      </c>
      <c r="K500" s="40" t="s">
        <v>74</v>
      </c>
      <c r="L500" s="46"/>
      <c r="M500" s="46"/>
      <c r="N500" s="46"/>
      <c r="O500" s="45"/>
      <c r="P500" s="46">
        <f t="shared" si="7"/>
        <v>0</v>
      </c>
      <c r="R500" s="47" t="str">
        <f>IF(AND($I500&lt;&gt;"",$I500&gt;=DATE(2026,6,23),COUNTIFS($C:$C,$C500,$I:$I,$I500)&gt;2),"⚠ "&amp;COUNTIFS($C:$C,$C500,$I:$I,$I500)&amp;" BAŞVURU!","")</f>
        <v/>
      </c>
    </row>
    <row r="501" spans="1:18" ht="78.75" customHeight="1" x14ac:dyDescent="0.25">
      <c r="A501" s="39" t="s">
        <v>2415</v>
      </c>
      <c r="B501" s="39" t="s">
        <v>2416</v>
      </c>
      <c r="C501" s="40" t="s">
        <v>247</v>
      </c>
      <c r="D501" s="40" t="s">
        <v>248</v>
      </c>
      <c r="E501" s="41" t="s">
        <v>2417</v>
      </c>
      <c r="F501" s="41" t="s">
        <v>2418</v>
      </c>
      <c r="G501" s="42" t="s">
        <v>35</v>
      </c>
      <c r="H501" s="44">
        <v>46177</v>
      </c>
      <c r="I501" s="44">
        <v>46196</v>
      </c>
      <c r="J501" s="40" t="s">
        <v>82</v>
      </c>
      <c r="K501" s="40" t="s">
        <v>83</v>
      </c>
      <c r="L501" s="46"/>
      <c r="M501" s="46"/>
      <c r="N501" s="46"/>
      <c r="O501" s="45"/>
      <c r="P501" s="46">
        <f t="shared" si="7"/>
        <v>0</v>
      </c>
      <c r="R501" s="47" t="str">
        <f>IF(AND($I501&lt;&gt;"",$I501&gt;=DATE(2026,6,23),COUNTIFS($C:$C,$C501,$I:$I,$I501)&gt;2),"⚠ "&amp;COUNTIFS($C:$C,$C501,$I:$I,$I501)&amp;" BAŞVURU!","")</f>
        <v/>
      </c>
    </row>
    <row r="502" spans="1:18" ht="63" customHeight="1" x14ac:dyDescent="0.25">
      <c r="A502" s="39" t="s">
        <v>2419</v>
      </c>
      <c r="B502" s="39" t="s">
        <v>2420</v>
      </c>
      <c r="C502" s="40" t="s">
        <v>2230</v>
      </c>
      <c r="D502" s="40" t="s">
        <v>248</v>
      </c>
      <c r="E502" s="41" t="s">
        <v>2421</v>
      </c>
      <c r="F502" s="41" t="s">
        <v>2422</v>
      </c>
      <c r="G502" s="42" t="s">
        <v>34</v>
      </c>
      <c r="H502" s="44">
        <v>46177</v>
      </c>
      <c r="I502" s="44">
        <v>46196</v>
      </c>
      <c r="J502" s="40" t="s">
        <v>82</v>
      </c>
      <c r="K502" s="40" t="s">
        <v>125</v>
      </c>
      <c r="L502" s="46"/>
      <c r="M502" s="46"/>
      <c r="N502" s="46"/>
      <c r="O502" s="45"/>
      <c r="P502" s="46">
        <f t="shared" si="7"/>
        <v>0</v>
      </c>
      <c r="R502" s="47" t="str">
        <f>IF(AND($I502&lt;&gt;"",$I502&gt;=DATE(2026,6,23),COUNTIFS($C:$C,$C502,$I:$I,$I502)&gt;2),"⚠ "&amp;COUNTIFS($C:$C,$C502,$I:$I,$I502)&amp;" BAŞVURU!","")</f>
        <v/>
      </c>
    </row>
    <row r="503" spans="1:18" ht="82.5" customHeight="1" x14ac:dyDescent="0.25">
      <c r="A503" s="39" t="s">
        <v>2423</v>
      </c>
      <c r="B503" s="39" t="s">
        <v>2424</v>
      </c>
      <c r="C503" s="40" t="s">
        <v>1327</v>
      </c>
      <c r="D503" s="40" t="s">
        <v>241</v>
      </c>
      <c r="E503" s="41" t="s">
        <v>2425</v>
      </c>
      <c r="F503" s="41" t="s">
        <v>2426</v>
      </c>
      <c r="G503" s="42" t="s">
        <v>34</v>
      </c>
      <c r="H503" s="44">
        <v>46177</v>
      </c>
      <c r="I503" s="44">
        <v>46196</v>
      </c>
      <c r="J503" s="40" t="s">
        <v>64</v>
      </c>
      <c r="K503" s="40" t="s">
        <v>74</v>
      </c>
      <c r="L503" s="46"/>
      <c r="M503" s="46"/>
      <c r="N503" s="46"/>
      <c r="O503" s="45"/>
      <c r="P503" s="46">
        <f t="shared" si="7"/>
        <v>0</v>
      </c>
      <c r="R503" s="47" t="str">
        <f>IF(AND($I503&lt;&gt;"",$I503&gt;=DATE(2026,6,23),COUNTIFS($C:$C,$C503,$I:$I,$I503)&gt;2),"⚠ "&amp;COUNTIFS($C:$C,$C503,$I:$I,$I503)&amp;" BAŞVURU!","")</f>
        <v/>
      </c>
    </row>
    <row r="504" spans="1:18" ht="63" customHeight="1" x14ac:dyDescent="0.25">
      <c r="A504" s="39" t="s">
        <v>2427</v>
      </c>
      <c r="B504" s="39" t="s">
        <v>2428</v>
      </c>
      <c r="C504" s="40" t="s">
        <v>1327</v>
      </c>
      <c r="D504" s="40" t="s">
        <v>241</v>
      </c>
      <c r="E504" s="41" t="s">
        <v>2425</v>
      </c>
      <c r="F504" s="41" t="s">
        <v>2429</v>
      </c>
      <c r="G504" s="42" t="s">
        <v>34</v>
      </c>
      <c r="H504" s="44">
        <v>46177</v>
      </c>
      <c r="I504" s="44">
        <v>46196</v>
      </c>
      <c r="J504" s="40" t="s">
        <v>64</v>
      </c>
      <c r="K504" s="40" t="s">
        <v>74</v>
      </c>
      <c r="L504" s="46"/>
      <c r="M504" s="46"/>
      <c r="N504" s="46"/>
      <c r="O504" s="45"/>
      <c r="P504" s="46">
        <f t="shared" si="7"/>
        <v>0</v>
      </c>
      <c r="R504" s="47" t="str">
        <f>IF(AND($I504&lt;&gt;"",$I504&gt;=DATE(2026,6,23),COUNTIFS($C:$C,$C504,$I:$I,$I504)&gt;2),"⚠ "&amp;COUNTIFS($C:$C,$C504,$I:$I,$I504)&amp;" BAŞVURU!","")</f>
        <v/>
      </c>
    </row>
    <row r="505" spans="1:18" ht="63" customHeight="1" x14ac:dyDescent="0.25">
      <c r="A505" s="39" t="s">
        <v>2430</v>
      </c>
      <c r="B505" s="39" t="s">
        <v>2431</v>
      </c>
      <c r="C505" s="40" t="s">
        <v>2432</v>
      </c>
      <c r="D505" s="40" t="s">
        <v>107</v>
      </c>
      <c r="E505" s="41" t="s">
        <v>2433</v>
      </c>
      <c r="F505" s="41" t="s">
        <v>2434</v>
      </c>
      <c r="G505" s="42" t="s">
        <v>34</v>
      </c>
      <c r="H505" s="44">
        <v>46177</v>
      </c>
      <c r="I505" s="44">
        <v>46196</v>
      </c>
      <c r="J505" s="40" t="s">
        <v>118</v>
      </c>
      <c r="K505" s="40" t="s">
        <v>125</v>
      </c>
      <c r="L505" s="46"/>
      <c r="M505" s="46"/>
      <c r="N505" s="46"/>
      <c r="O505" s="45"/>
      <c r="P505" s="46">
        <f t="shared" si="7"/>
        <v>0</v>
      </c>
      <c r="R505" s="47" t="str">
        <f>IF(AND($I505&lt;&gt;"",$I505&gt;=DATE(2026,6,23),COUNTIFS($C:$C,$C505,$I:$I,$I505)&gt;2),"⚠ "&amp;COUNTIFS($C:$C,$C505,$I:$I,$I505)&amp;" BAŞVURU!","")</f>
        <v/>
      </c>
    </row>
    <row r="506" spans="1:18" ht="78.75" customHeight="1" x14ac:dyDescent="0.25">
      <c r="A506" s="39" t="s">
        <v>2435</v>
      </c>
      <c r="B506" s="39" t="s">
        <v>2436</v>
      </c>
      <c r="C506" s="40" t="s">
        <v>240</v>
      </c>
      <c r="D506" s="40" t="s">
        <v>241</v>
      </c>
      <c r="E506" s="41" t="s">
        <v>2437</v>
      </c>
      <c r="F506" s="41" t="s">
        <v>2438</v>
      </c>
      <c r="G506" s="42" t="s">
        <v>34</v>
      </c>
      <c r="H506" s="44">
        <v>46177</v>
      </c>
      <c r="I506" s="44">
        <v>46196</v>
      </c>
      <c r="J506" s="40" t="s">
        <v>110</v>
      </c>
      <c r="K506" s="40" t="s">
        <v>65</v>
      </c>
      <c r="L506" s="46"/>
      <c r="M506" s="46"/>
      <c r="N506" s="46"/>
      <c r="O506" s="45"/>
      <c r="P506" s="46">
        <f t="shared" si="7"/>
        <v>0</v>
      </c>
      <c r="R506" s="47" t="str">
        <f>IF(AND($I506&lt;&gt;"",$I506&gt;=DATE(2026,6,23),COUNTIFS($C:$C,$C506,$I:$I,$I506)&gt;2),"⚠ "&amp;COUNTIFS($C:$C,$C506,$I:$I,$I506)&amp;" BAŞVURU!","")</f>
        <v/>
      </c>
    </row>
    <row r="507" spans="1:18" ht="78.75" customHeight="1" x14ac:dyDescent="0.25">
      <c r="A507" s="39" t="s">
        <v>2439</v>
      </c>
      <c r="B507" s="39" t="s">
        <v>2440</v>
      </c>
      <c r="C507" s="40" t="s">
        <v>2441</v>
      </c>
      <c r="D507" s="40" t="s">
        <v>234</v>
      </c>
      <c r="E507" s="41" t="s">
        <v>2442</v>
      </c>
      <c r="F507" s="41" t="s">
        <v>2443</v>
      </c>
      <c r="G507" s="42" t="s">
        <v>34</v>
      </c>
      <c r="H507" s="44">
        <v>46177</v>
      </c>
      <c r="I507" s="44">
        <v>46196</v>
      </c>
      <c r="J507" s="40" t="s">
        <v>101</v>
      </c>
      <c r="K507" s="40" t="s">
        <v>92</v>
      </c>
      <c r="L507" s="46"/>
      <c r="M507" s="46"/>
      <c r="N507" s="46"/>
      <c r="O507" s="45"/>
      <c r="P507" s="46">
        <f t="shared" si="7"/>
        <v>0</v>
      </c>
      <c r="R507" s="47" t="str">
        <f>IF(AND($I507&lt;&gt;"",$I507&gt;=DATE(2026,6,23),COUNTIFS($C:$C,$C507,$I:$I,$I507)&gt;2),"⚠ "&amp;COUNTIFS($C:$C,$C507,$I:$I,$I507)&amp;" BAŞVURU!","")</f>
        <v/>
      </c>
    </row>
    <row r="508" spans="1:18" ht="63" customHeight="1" x14ac:dyDescent="0.25">
      <c r="A508" s="39" t="s">
        <v>2444</v>
      </c>
      <c r="B508" s="39" t="s">
        <v>2445</v>
      </c>
      <c r="C508" s="40" t="s">
        <v>2446</v>
      </c>
      <c r="D508" s="40" t="s">
        <v>137</v>
      </c>
      <c r="E508" s="41" t="s">
        <v>2447</v>
      </c>
      <c r="F508" s="41" t="s">
        <v>2448</v>
      </c>
      <c r="G508" s="42" t="s">
        <v>34</v>
      </c>
      <c r="H508" s="44">
        <v>46177</v>
      </c>
      <c r="I508" s="44">
        <v>46196</v>
      </c>
      <c r="J508" s="40" t="s">
        <v>64</v>
      </c>
      <c r="K508" s="40" t="s">
        <v>102</v>
      </c>
      <c r="L508" s="46"/>
      <c r="M508" s="46"/>
      <c r="N508" s="46"/>
      <c r="O508" s="45"/>
      <c r="P508" s="46">
        <f t="shared" si="7"/>
        <v>0</v>
      </c>
      <c r="R508" s="47" t="str">
        <f>IF(AND($I508&lt;&gt;"",$I508&gt;=DATE(2026,6,23),COUNTIFS($C:$C,$C508,$I:$I,$I508)&gt;2),"⚠ "&amp;COUNTIFS($C:$C,$C508,$I:$I,$I508)&amp;" BAŞVURU!","")</f>
        <v/>
      </c>
    </row>
    <row r="509" spans="1:18" ht="112.5" customHeight="1" x14ac:dyDescent="0.25">
      <c r="A509" s="39" t="s">
        <v>2449</v>
      </c>
      <c r="B509" s="39" t="s">
        <v>2450</v>
      </c>
      <c r="C509" s="40" t="s">
        <v>1555</v>
      </c>
      <c r="D509" s="40" t="s">
        <v>248</v>
      </c>
      <c r="E509" s="41" t="s">
        <v>2451</v>
      </c>
      <c r="F509" s="41" t="s">
        <v>2452</v>
      </c>
      <c r="G509" s="42" t="s">
        <v>34</v>
      </c>
      <c r="H509" s="44">
        <v>46177</v>
      </c>
      <c r="I509" s="44">
        <v>46196</v>
      </c>
      <c r="J509" s="40" t="s">
        <v>82</v>
      </c>
      <c r="K509" s="40" t="s">
        <v>83</v>
      </c>
      <c r="L509" s="46"/>
      <c r="M509" s="46"/>
      <c r="N509" s="46"/>
      <c r="O509" s="45"/>
      <c r="P509" s="46">
        <f t="shared" si="7"/>
        <v>0</v>
      </c>
      <c r="R509" s="47" t="str">
        <f>IF(AND($I509&lt;&gt;"",$I509&gt;=DATE(2026,6,23),COUNTIFS($C:$C,$C509,$I:$I,$I509)&gt;2),"⚠ "&amp;COUNTIFS($C:$C,$C509,$I:$I,$I509)&amp;" BAŞVURU!","")</f>
        <v/>
      </c>
    </row>
    <row r="510" spans="1:18" ht="78.75" customHeight="1" x14ac:dyDescent="0.25">
      <c r="A510" s="39" t="s">
        <v>2453</v>
      </c>
      <c r="B510" s="39" t="s">
        <v>2454</v>
      </c>
      <c r="C510" s="40" t="s">
        <v>2455</v>
      </c>
      <c r="D510" s="51" t="s">
        <v>2456</v>
      </c>
      <c r="E510" s="41" t="s">
        <v>2457</v>
      </c>
      <c r="F510" s="41" t="s">
        <v>2458</v>
      </c>
      <c r="G510" s="42" t="s">
        <v>36</v>
      </c>
      <c r="H510" s="44">
        <v>46177</v>
      </c>
      <c r="I510" s="44">
        <v>46196</v>
      </c>
      <c r="J510" s="40" t="s">
        <v>64</v>
      </c>
      <c r="K510" s="40" t="s">
        <v>65</v>
      </c>
      <c r="L510" s="46"/>
      <c r="M510" s="46"/>
      <c r="N510" s="46"/>
      <c r="O510" s="45"/>
      <c r="P510" s="46">
        <f t="shared" si="7"/>
        <v>0</v>
      </c>
      <c r="R510" s="47" t="str">
        <f>IF(AND($I510&lt;&gt;"",$I510&gt;=DATE(2026,6,23),COUNTIFS($C:$C,$C510,$I:$I,$I510)&gt;2),"⚠ "&amp;COUNTIFS($C:$C,$C510,$I:$I,$I510)&amp;" BAŞVURU!","")</f>
        <v/>
      </c>
    </row>
    <row r="511" spans="1:18" ht="127.5" customHeight="1" x14ac:dyDescent="0.25">
      <c r="A511" s="39" t="s">
        <v>2459</v>
      </c>
      <c r="B511" s="39" t="s">
        <v>2460</v>
      </c>
      <c r="C511" s="40" t="s">
        <v>823</v>
      </c>
      <c r="D511" s="40" t="s">
        <v>234</v>
      </c>
      <c r="E511" s="41" t="s">
        <v>2461</v>
      </c>
      <c r="F511" s="41" t="s">
        <v>2462</v>
      </c>
      <c r="G511" s="42" t="s">
        <v>34</v>
      </c>
      <c r="H511" s="44">
        <v>46177</v>
      </c>
      <c r="I511" s="44">
        <v>46196</v>
      </c>
      <c r="J511" s="40" t="s">
        <v>102</v>
      </c>
      <c r="K511" s="40" t="s">
        <v>110</v>
      </c>
      <c r="L511" s="46"/>
      <c r="M511" s="46"/>
      <c r="N511" s="46"/>
      <c r="O511" s="45"/>
      <c r="P511" s="46">
        <f t="shared" si="7"/>
        <v>0</v>
      </c>
      <c r="R511" s="47" t="str">
        <f>IF(AND($I511&lt;&gt;"",$I511&gt;=DATE(2026,6,23),COUNTIFS($C:$C,$C511,$I:$I,$I511)&gt;2),"⚠ "&amp;COUNTIFS($C:$C,$C511,$I:$I,$I511)&amp;" BAŞVURU!","")</f>
        <v/>
      </c>
    </row>
    <row r="512" spans="1:18" ht="94.5" customHeight="1" x14ac:dyDescent="0.25">
      <c r="A512" s="39" t="s">
        <v>2463</v>
      </c>
      <c r="B512" s="39" t="s">
        <v>2464</v>
      </c>
      <c r="C512" s="40" t="s">
        <v>2441</v>
      </c>
      <c r="D512" s="40" t="s">
        <v>234</v>
      </c>
      <c r="E512" s="41" t="s">
        <v>2465</v>
      </c>
      <c r="F512" s="41" t="s">
        <v>2466</v>
      </c>
      <c r="G512" s="42" t="s">
        <v>37</v>
      </c>
      <c r="H512" s="44">
        <v>46177</v>
      </c>
      <c r="I512" s="44">
        <v>46196</v>
      </c>
      <c r="J512" s="40" t="s">
        <v>92</v>
      </c>
      <c r="K512" s="40" t="s">
        <v>65</v>
      </c>
      <c r="L512" s="46"/>
      <c r="M512" s="46"/>
      <c r="N512" s="46"/>
      <c r="O512" s="45"/>
      <c r="P512" s="46">
        <f t="shared" si="7"/>
        <v>0</v>
      </c>
      <c r="R512" s="47" t="str">
        <f>IF(AND($I512&lt;&gt;"",$I512&gt;=DATE(2026,6,23),COUNTIFS($C:$C,$C512,$I:$I,$I512)&gt;2),"⚠ "&amp;COUNTIFS($C:$C,$C512,$I:$I,$I512)&amp;" BAŞVURU!","")</f>
        <v/>
      </c>
    </row>
    <row r="513" spans="1:18" ht="78.75" customHeight="1" x14ac:dyDescent="0.25">
      <c r="A513" s="39" t="s">
        <v>2467</v>
      </c>
      <c r="B513" s="39" t="s">
        <v>2468</v>
      </c>
      <c r="C513" s="40" t="s">
        <v>2469</v>
      </c>
      <c r="D513" s="40" t="s">
        <v>324</v>
      </c>
      <c r="E513" s="41" t="s">
        <v>2470</v>
      </c>
      <c r="F513" s="41" t="s">
        <v>2471</v>
      </c>
      <c r="G513" s="42" t="s">
        <v>34</v>
      </c>
      <c r="H513" s="44">
        <v>46177</v>
      </c>
      <c r="I513" s="44">
        <v>46196</v>
      </c>
      <c r="J513" s="40" t="s">
        <v>118</v>
      </c>
      <c r="K513" s="40" t="s">
        <v>125</v>
      </c>
      <c r="L513" s="46"/>
      <c r="M513" s="46"/>
      <c r="N513" s="46"/>
      <c r="O513" s="45"/>
      <c r="P513" s="46">
        <f t="shared" si="7"/>
        <v>0</v>
      </c>
      <c r="R513" s="47" t="str">
        <f>IF(AND($I513&lt;&gt;"",$I513&gt;=DATE(2026,6,23),COUNTIFS($C:$C,$C513,$I:$I,$I513)&gt;2),"⚠ "&amp;COUNTIFS($C:$C,$C513,$I:$I,$I513)&amp;" BAŞVURU!","")</f>
        <v/>
      </c>
    </row>
    <row r="514" spans="1:18" ht="63" customHeight="1" x14ac:dyDescent="0.25">
      <c r="A514" s="39" t="s">
        <v>2472</v>
      </c>
      <c r="B514" s="39" t="s">
        <v>2473</v>
      </c>
      <c r="C514" s="40" t="s">
        <v>1080</v>
      </c>
      <c r="D514" s="40" t="s">
        <v>107</v>
      </c>
      <c r="E514" s="41" t="s">
        <v>1081</v>
      </c>
      <c r="F514" s="41" t="s">
        <v>2474</v>
      </c>
      <c r="G514" s="42" t="s">
        <v>34</v>
      </c>
      <c r="H514" s="44">
        <v>46177</v>
      </c>
      <c r="I514" s="44">
        <v>46196</v>
      </c>
      <c r="J514" s="40" t="s">
        <v>102</v>
      </c>
      <c r="K514" s="40" t="s">
        <v>74</v>
      </c>
      <c r="L514" s="46"/>
      <c r="M514" s="46"/>
      <c r="N514" s="46"/>
      <c r="O514" s="45"/>
      <c r="P514" s="46">
        <f t="shared" ref="P514:P521" si="8">IF(O514&lt;&gt;"",O514, IF(N514&lt;&gt;"",N514, IF(M514&lt;&gt;"",M514, L514)))</f>
        <v>0</v>
      </c>
      <c r="R514" s="47" t="str">
        <f>IF(AND($I514&lt;&gt;"",$I514&gt;=DATE(2026,6,23),COUNTIFS($C:$C,$C514,$I:$I,$I514)&gt;2),"⚠ "&amp;COUNTIFS($C:$C,$C514,$I:$I,$I514)&amp;" BAŞVURU!","")</f>
        <v/>
      </c>
    </row>
    <row r="515" spans="1:18" ht="63" customHeight="1" x14ac:dyDescent="0.25">
      <c r="A515" s="39" t="s">
        <v>2475</v>
      </c>
      <c r="B515" s="39" t="s">
        <v>2476</v>
      </c>
      <c r="C515" s="40" t="s">
        <v>1080</v>
      </c>
      <c r="D515" s="40" t="s">
        <v>107</v>
      </c>
      <c r="E515" s="41" t="s">
        <v>1081</v>
      </c>
      <c r="F515" s="41" t="s">
        <v>2477</v>
      </c>
      <c r="G515" s="42" t="s">
        <v>34</v>
      </c>
      <c r="H515" s="44">
        <v>46177</v>
      </c>
      <c r="I515" s="44">
        <v>46196</v>
      </c>
      <c r="J515" s="40" t="s">
        <v>102</v>
      </c>
      <c r="K515" s="40" t="s">
        <v>74</v>
      </c>
      <c r="L515" s="46"/>
      <c r="M515" s="46"/>
      <c r="N515" s="46"/>
      <c r="O515" s="45"/>
      <c r="P515" s="46">
        <f t="shared" si="8"/>
        <v>0</v>
      </c>
      <c r="R515" s="47" t="str">
        <f>IF(AND($I515&lt;&gt;"",$I515&gt;=DATE(2026,6,23),COUNTIFS($C:$C,$C515,$I:$I,$I515)&gt;2),"⚠ "&amp;COUNTIFS($C:$C,$C515,$I:$I,$I515)&amp;" BAŞVURU!","")</f>
        <v/>
      </c>
    </row>
    <row r="516" spans="1:18" ht="126" customHeight="1" x14ac:dyDescent="0.25">
      <c r="A516" s="39" t="s">
        <v>2478</v>
      </c>
      <c r="B516" s="39" t="s">
        <v>2479</v>
      </c>
      <c r="C516" s="40" t="s">
        <v>2480</v>
      </c>
      <c r="D516" s="40" t="s">
        <v>200</v>
      </c>
      <c r="E516" s="41" t="s">
        <v>2481</v>
      </c>
      <c r="F516" s="41" t="s">
        <v>2482</v>
      </c>
      <c r="G516" s="42" t="s">
        <v>34</v>
      </c>
      <c r="H516" s="44">
        <v>46177</v>
      </c>
      <c r="I516" s="44">
        <v>46196</v>
      </c>
      <c r="J516" s="40" t="s">
        <v>125</v>
      </c>
      <c r="K516" s="40" t="s">
        <v>101</v>
      </c>
      <c r="L516" s="46"/>
      <c r="M516" s="46"/>
      <c r="N516" s="46"/>
      <c r="O516" s="45"/>
      <c r="P516" s="46">
        <f t="shared" si="8"/>
        <v>0</v>
      </c>
      <c r="R516" s="47" t="str">
        <f>IF(AND($I516&lt;&gt;"",$I516&gt;=DATE(2026,6,23),COUNTIFS($C:$C,$C516,$I:$I,$I516)&gt;2),"⚠ "&amp;COUNTIFS($C:$C,$C516,$I:$I,$I516)&amp;" BAŞVURU!","")</f>
        <v/>
      </c>
    </row>
    <row r="517" spans="1:18" ht="78.75" customHeight="1" x14ac:dyDescent="0.25">
      <c r="A517" s="39" t="s">
        <v>2483</v>
      </c>
      <c r="B517" s="39" t="s">
        <v>2484</v>
      </c>
      <c r="C517" s="40" t="s">
        <v>106</v>
      </c>
      <c r="D517" s="40" t="s">
        <v>107</v>
      </c>
      <c r="E517" s="41" t="s">
        <v>2485</v>
      </c>
      <c r="F517" s="41" t="s">
        <v>2486</v>
      </c>
      <c r="G517" s="42" t="s">
        <v>34</v>
      </c>
      <c r="H517" s="44">
        <v>46177</v>
      </c>
      <c r="I517" s="44">
        <v>46196</v>
      </c>
      <c r="J517" s="40" t="s">
        <v>82</v>
      </c>
      <c r="K517" s="40" t="s">
        <v>83</v>
      </c>
      <c r="L517" s="46"/>
      <c r="M517" s="46"/>
      <c r="N517" s="46"/>
      <c r="O517" s="45"/>
      <c r="P517" s="46">
        <f t="shared" si="8"/>
        <v>0</v>
      </c>
      <c r="R517" s="47" t="str">
        <f>IF(AND($I517&lt;&gt;"",$I517&gt;=DATE(2026,6,23),COUNTIFS($C:$C,$C517,$I:$I,$I517)&gt;2),"⚠ "&amp;COUNTIFS($C:$C,$C517,$I:$I,$I517)&amp;" BAŞVURU!","")</f>
        <v/>
      </c>
    </row>
    <row r="518" spans="1:18" ht="63" customHeight="1" x14ac:dyDescent="0.25">
      <c r="A518" s="39" t="s">
        <v>2487</v>
      </c>
      <c r="B518" s="39" t="s">
        <v>2488</v>
      </c>
      <c r="C518" s="40" t="s">
        <v>2489</v>
      </c>
      <c r="D518" s="40" t="s">
        <v>413</v>
      </c>
      <c r="E518" s="41" t="s">
        <v>2490</v>
      </c>
      <c r="F518" s="41" t="s">
        <v>2491</v>
      </c>
      <c r="G518" s="42" t="s">
        <v>34</v>
      </c>
      <c r="H518" s="44">
        <v>46177</v>
      </c>
      <c r="I518" s="44">
        <v>46196</v>
      </c>
      <c r="J518" s="40" t="s">
        <v>65</v>
      </c>
      <c r="K518" s="40" t="s">
        <v>110</v>
      </c>
      <c r="L518" s="46"/>
      <c r="M518" s="46"/>
      <c r="N518" s="46"/>
      <c r="O518" s="45"/>
      <c r="P518" s="46">
        <f t="shared" si="8"/>
        <v>0</v>
      </c>
      <c r="R518" s="47" t="str">
        <f>IF(AND($I518&lt;&gt;"",$I518&gt;=DATE(2026,6,23),COUNTIFS($C:$C,$C518,$I:$I,$I518)&gt;2),"⚠ "&amp;COUNTIFS($C:$C,$C518,$I:$I,$I518)&amp;" BAŞVURU!","")</f>
        <v/>
      </c>
    </row>
    <row r="519" spans="1:18" ht="97.5" customHeight="1" x14ac:dyDescent="0.25">
      <c r="A519" s="39" t="s">
        <v>2492</v>
      </c>
      <c r="B519" s="39" t="s">
        <v>2493</v>
      </c>
      <c r="C519" s="40" t="s">
        <v>1525</v>
      </c>
      <c r="D519" s="40" t="s">
        <v>107</v>
      </c>
      <c r="E519" s="41" t="s">
        <v>2494</v>
      </c>
      <c r="F519" s="41" t="s">
        <v>2495</v>
      </c>
      <c r="G519" s="42" t="s">
        <v>34</v>
      </c>
      <c r="H519" s="44">
        <v>46177</v>
      </c>
      <c r="I519" s="44">
        <v>46196</v>
      </c>
      <c r="J519" s="40" t="s">
        <v>102</v>
      </c>
      <c r="K519" s="40" t="s">
        <v>125</v>
      </c>
      <c r="L519" s="46"/>
      <c r="M519" s="46"/>
      <c r="N519" s="46"/>
      <c r="O519" s="45"/>
      <c r="P519" s="46">
        <f t="shared" si="8"/>
        <v>0</v>
      </c>
      <c r="R519" s="47" t="str">
        <f>IF(AND($I519&lt;&gt;"",$I519&gt;=DATE(2026,6,23),COUNTIFS($C:$C,$C519,$I:$I,$I519)&gt;2),"⚠ "&amp;COUNTIFS($C:$C,$C519,$I:$I,$I519)&amp;" BAŞVURU!","")</f>
        <v/>
      </c>
    </row>
    <row r="520" spans="1:18" ht="94.5" customHeight="1" x14ac:dyDescent="0.25">
      <c r="A520" s="39" t="s">
        <v>2496</v>
      </c>
      <c r="B520" s="39" t="s">
        <v>2497</v>
      </c>
      <c r="C520" s="40" t="s">
        <v>2498</v>
      </c>
      <c r="D520" s="40" t="s">
        <v>2499</v>
      </c>
      <c r="E520" s="41" t="s">
        <v>2500</v>
      </c>
      <c r="F520" s="41" t="s">
        <v>2501</v>
      </c>
      <c r="G520" s="42" t="s">
        <v>34</v>
      </c>
      <c r="H520" s="44">
        <v>46177</v>
      </c>
      <c r="I520" s="44">
        <v>46196</v>
      </c>
      <c r="J520" s="40" t="s">
        <v>101</v>
      </c>
      <c r="K520" s="40" t="s">
        <v>82</v>
      </c>
      <c r="L520" s="46"/>
      <c r="M520" s="46"/>
      <c r="N520" s="46"/>
      <c r="O520" s="45"/>
      <c r="P520" s="46">
        <f t="shared" si="8"/>
        <v>0</v>
      </c>
      <c r="R520" s="47" t="str">
        <f>IF(AND($I520&lt;&gt;"",$I520&gt;=DATE(2026,6,23),COUNTIFS($C:$C,$C520,$I:$I,$I520)&gt;2),"⚠ "&amp;COUNTIFS($C:$C,$C520,$I:$I,$I520)&amp;" BAŞVURU!","")</f>
        <v/>
      </c>
    </row>
    <row r="521" spans="1:18" ht="47.25" customHeight="1" x14ac:dyDescent="0.25">
      <c r="A521" s="39" t="s">
        <v>2502</v>
      </c>
      <c r="B521" s="39" t="s">
        <v>2503</v>
      </c>
      <c r="C521" s="40" t="s">
        <v>2230</v>
      </c>
      <c r="D521" s="40" t="s">
        <v>248</v>
      </c>
      <c r="E521" s="41" t="s">
        <v>2231</v>
      </c>
      <c r="F521" s="41" t="s">
        <v>2504</v>
      </c>
      <c r="G521" s="42" t="s">
        <v>34</v>
      </c>
      <c r="H521" s="44">
        <v>46178</v>
      </c>
      <c r="I521" s="44">
        <v>46196</v>
      </c>
      <c r="J521" s="40" t="s">
        <v>118</v>
      </c>
      <c r="K521" s="40" t="s">
        <v>92</v>
      </c>
      <c r="L521" s="46"/>
      <c r="M521" s="46"/>
      <c r="N521" s="46"/>
      <c r="O521" s="45"/>
      <c r="P521" s="46">
        <f t="shared" si="8"/>
        <v>0</v>
      </c>
      <c r="R521" s="47" t="str">
        <f>IF(AND($I521&lt;&gt;"",$I521&gt;=DATE(2026,6,23),COUNTIFS($C:$C,$C521,$I:$I,$I521)&gt;2),"⚠ "&amp;COUNTIFS($C:$C,$C521,$I:$I,$I521)&amp;" BAŞVURU!","")</f>
        <v/>
      </c>
    </row>
    <row r="522" spans="1:18" ht="63" customHeight="1" x14ac:dyDescent="0.25">
      <c r="A522" s="39" t="s">
        <v>2505</v>
      </c>
      <c r="B522" s="39" t="s">
        <v>2506</v>
      </c>
      <c r="C522" s="40" t="s">
        <v>412</v>
      </c>
      <c r="D522" s="40" t="s">
        <v>413</v>
      </c>
      <c r="E522" s="41" t="s">
        <v>2507</v>
      </c>
      <c r="F522" s="41" t="s">
        <v>2508</v>
      </c>
      <c r="G522" s="42" t="s">
        <v>34</v>
      </c>
      <c r="H522" s="44">
        <v>46178</v>
      </c>
      <c r="I522" s="44">
        <v>46196</v>
      </c>
      <c r="J522" s="40" t="s">
        <v>83</v>
      </c>
      <c r="K522" s="40" t="s">
        <v>118</v>
      </c>
      <c r="L522" s="46"/>
      <c r="M522" s="46"/>
      <c r="N522" s="46"/>
      <c r="O522" s="45"/>
      <c r="P522" s="46"/>
      <c r="R522" s="47" t="str">
        <f>IF(AND($I522&lt;&gt;"",$I522&gt;=DATE(2026,6,23),COUNTIFS($C:$C,$C522,$I:$I,$I522)&gt;2),"⚠ "&amp;COUNTIFS($C:$C,$C522,$I:$I,$I522)&amp;" BAŞVURU!","")</f>
        <v/>
      </c>
    </row>
    <row r="523" spans="1:18" ht="63" customHeight="1" x14ac:dyDescent="0.25">
      <c r="A523" s="39" t="s">
        <v>2509</v>
      </c>
      <c r="B523" s="39" t="s">
        <v>2510</v>
      </c>
      <c r="C523" s="40" t="s">
        <v>1612</v>
      </c>
      <c r="D523" s="40" t="s">
        <v>107</v>
      </c>
      <c r="E523" s="41" t="s">
        <v>2511</v>
      </c>
      <c r="F523" s="41" t="s">
        <v>2512</v>
      </c>
      <c r="G523" s="42" t="s">
        <v>34</v>
      </c>
      <c r="H523" s="44">
        <v>46178</v>
      </c>
      <c r="I523" s="44">
        <v>46196</v>
      </c>
      <c r="J523" s="40" t="s">
        <v>125</v>
      </c>
      <c r="K523" s="40" t="s">
        <v>118</v>
      </c>
      <c r="L523" s="46"/>
      <c r="M523" s="46"/>
      <c r="N523" s="46"/>
      <c r="O523" s="45"/>
      <c r="P523" s="46"/>
      <c r="R523" s="47" t="str">
        <f>IF(AND($I523&lt;&gt;"",$I523&gt;=DATE(2026,6,23),COUNTIFS($C:$C,$C523,$I:$I,$I523)&gt;2),"⚠ "&amp;COUNTIFS($C:$C,$C523,$I:$I,$I523)&amp;" BAŞVURU!","")</f>
        <v/>
      </c>
    </row>
    <row r="524" spans="1:18" ht="94.5" customHeight="1" x14ac:dyDescent="0.25">
      <c r="A524" s="39" t="s">
        <v>2513</v>
      </c>
      <c r="B524" s="39" t="s">
        <v>2514</v>
      </c>
      <c r="C524" s="40" t="s">
        <v>412</v>
      </c>
      <c r="D524" s="40" t="s">
        <v>413</v>
      </c>
      <c r="E524" s="41" t="s">
        <v>2515</v>
      </c>
      <c r="F524" s="41" t="s">
        <v>2516</v>
      </c>
      <c r="G524" s="42" t="s">
        <v>35</v>
      </c>
      <c r="H524" s="44">
        <v>46178</v>
      </c>
      <c r="I524" s="44">
        <v>46196</v>
      </c>
      <c r="J524" s="40" t="s">
        <v>101</v>
      </c>
      <c r="K524" s="40" t="s">
        <v>74</v>
      </c>
      <c r="L524" s="46"/>
      <c r="M524" s="46"/>
      <c r="N524" s="46"/>
      <c r="O524" s="45"/>
      <c r="P524" s="46"/>
      <c r="R524" s="47" t="str">
        <f>IF(AND($I524&lt;&gt;"",$I524&gt;=DATE(2026,6,23),COUNTIFS($C:$C,$C524,$I:$I,$I524)&gt;2),"⚠ "&amp;COUNTIFS($C:$C,$C524,$I:$I,$I524)&amp;" BAŞVURU!","")</f>
        <v/>
      </c>
    </row>
    <row r="525" spans="1:18" ht="129" customHeight="1" x14ac:dyDescent="0.25">
      <c r="A525" s="39" t="s">
        <v>2517</v>
      </c>
      <c r="B525" s="39" t="s">
        <v>2518</v>
      </c>
      <c r="C525" s="40" t="s">
        <v>1555</v>
      </c>
      <c r="D525" s="40" t="s">
        <v>248</v>
      </c>
      <c r="E525" s="41" t="s">
        <v>2519</v>
      </c>
      <c r="F525" s="41" t="s">
        <v>2520</v>
      </c>
      <c r="G525" s="42" t="s">
        <v>34</v>
      </c>
      <c r="H525" s="44">
        <v>46178</v>
      </c>
      <c r="I525" s="44">
        <v>46196</v>
      </c>
      <c r="J525" s="40" t="s">
        <v>83</v>
      </c>
      <c r="K525" s="40" t="s">
        <v>101</v>
      </c>
      <c r="L525" s="46"/>
      <c r="M525" s="46"/>
      <c r="N525" s="46"/>
      <c r="O525" s="45"/>
      <c r="P525" s="46"/>
      <c r="R525" s="47" t="str">
        <f>IF(AND($I525&lt;&gt;"",$I525&gt;=DATE(2026,6,23),COUNTIFS($C:$C,$C525,$I:$I,$I525)&gt;2),"⚠ "&amp;COUNTIFS($C:$C,$C525,$I:$I,$I525)&amp;" BAŞVURU!","")</f>
        <v/>
      </c>
    </row>
    <row r="526" spans="1:18" ht="63" customHeight="1" x14ac:dyDescent="0.25">
      <c r="A526" s="39" t="s">
        <v>2521</v>
      </c>
      <c r="B526" s="39" t="s">
        <v>2522</v>
      </c>
      <c r="C526" s="40" t="s">
        <v>552</v>
      </c>
      <c r="D526" s="40" t="s">
        <v>107</v>
      </c>
      <c r="E526" s="41" t="s">
        <v>2523</v>
      </c>
      <c r="F526" s="41" t="s">
        <v>2524</v>
      </c>
      <c r="G526" s="42" t="s">
        <v>34</v>
      </c>
      <c r="H526" s="44">
        <v>46178</v>
      </c>
      <c r="I526" s="44">
        <v>46196</v>
      </c>
      <c r="J526" s="40" t="s">
        <v>102</v>
      </c>
      <c r="K526" s="40" t="s">
        <v>92</v>
      </c>
      <c r="L526" s="46"/>
      <c r="M526" s="46"/>
      <c r="N526" s="46"/>
      <c r="O526" s="45"/>
      <c r="P526" s="46"/>
      <c r="R526" s="47" t="str">
        <f>IF(AND($I526&lt;&gt;"",$I526&gt;=DATE(2026,6,23),COUNTIFS($C:$C,$C526,$I:$I,$I526)&gt;2),"⚠ "&amp;COUNTIFS($C:$C,$C526,$I:$I,$I526)&amp;" BAŞVURU!","")</f>
        <v/>
      </c>
    </row>
    <row r="527" spans="1:18" ht="78.75" customHeight="1" x14ac:dyDescent="0.25">
      <c r="A527" s="39" t="s">
        <v>2525</v>
      </c>
      <c r="B527" s="39" t="s">
        <v>2526</v>
      </c>
      <c r="C527" s="40" t="s">
        <v>2527</v>
      </c>
      <c r="D527" s="40" t="s">
        <v>2499</v>
      </c>
      <c r="E527" s="41" t="s">
        <v>2528</v>
      </c>
      <c r="F527" s="41" t="s">
        <v>2529</v>
      </c>
      <c r="G527" s="42" t="s">
        <v>36</v>
      </c>
      <c r="H527" s="44">
        <v>46178</v>
      </c>
      <c r="I527" s="44">
        <v>46196</v>
      </c>
      <c r="J527" s="40" t="s">
        <v>101</v>
      </c>
      <c r="K527" s="40" t="s">
        <v>82</v>
      </c>
      <c r="L527" s="46"/>
      <c r="M527" s="46"/>
      <c r="N527" s="46"/>
      <c r="O527" s="45"/>
      <c r="P527" s="46"/>
      <c r="R527" s="47" t="str">
        <f>IF(AND($I527&lt;&gt;"",$I527&gt;=DATE(2026,6,23),COUNTIFS($C:$C,$C527,$I:$I,$I527)&gt;2),"⚠ "&amp;COUNTIFS($C:$C,$C527,$I:$I,$I527)&amp;" BAŞVURU!","")</f>
        <v/>
      </c>
    </row>
    <row r="528" spans="1:18" ht="63" customHeight="1" x14ac:dyDescent="0.25">
      <c r="A528" s="39" t="s">
        <v>2530</v>
      </c>
      <c r="B528" s="39" t="s">
        <v>2531</v>
      </c>
      <c r="C528" s="40" t="s">
        <v>2532</v>
      </c>
      <c r="D528" s="40" t="s">
        <v>2533</v>
      </c>
      <c r="E528" s="41" t="s">
        <v>2534</v>
      </c>
      <c r="F528" s="41" t="s">
        <v>2535</v>
      </c>
      <c r="G528" s="42" t="s">
        <v>36</v>
      </c>
      <c r="H528" s="44">
        <v>46178</v>
      </c>
      <c r="I528" s="44">
        <v>46196</v>
      </c>
      <c r="J528" s="40" t="s">
        <v>64</v>
      </c>
      <c r="K528" s="40" t="s">
        <v>110</v>
      </c>
      <c r="L528" s="46"/>
      <c r="M528" s="46"/>
      <c r="N528" s="46"/>
      <c r="O528" s="45"/>
      <c r="P528" s="46"/>
      <c r="R528" s="47" t="str">
        <f>IF(AND($I528&lt;&gt;"",$I528&gt;=DATE(2026,6,23),COUNTIFS($C:$C,$C528,$I:$I,$I528)&gt;2),"⚠ "&amp;COUNTIFS($C:$C,$C528,$I:$I,$I528)&amp;" BAŞVURU!","")</f>
        <v/>
      </c>
    </row>
    <row r="529" spans="1:18" ht="63" customHeight="1" x14ac:dyDescent="0.25">
      <c r="A529" s="39" t="s">
        <v>2536</v>
      </c>
      <c r="B529" s="39" t="s">
        <v>2537</v>
      </c>
      <c r="C529" s="40" t="s">
        <v>2538</v>
      </c>
      <c r="D529" s="40" t="s">
        <v>107</v>
      </c>
      <c r="E529" s="41" t="s">
        <v>2539</v>
      </c>
      <c r="F529" s="41" t="s">
        <v>2540</v>
      </c>
      <c r="G529" s="42" t="s">
        <v>34</v>
      </c>
      <c r="H529" s="44">
        <v>46178</v>
      </c>
      <c r="I529" s="44">
        <v>46196</v>
      </c>
      <c r="J529" s="40" t="s">
        <v>82</v>
      </c>
      <c r="K529" s="40" t="s">
        <v>101</v>
      </c>
      <c r="L529" s="46"/>
      <c r="M529" s="46"/>
      <c r="N529" s="46"/>
      <c r="O529" s="45"/>
      <c r="P529" s="46"/>
      <c r="R529" s="47" t="str">
        <f>IF(AND($I529&lt;&gt;"",$I529&gt;=DATE(2026,6,23),COUNTIFS($C:$C,$C529,$I:$I,$I529)&gt;2),"⚠ "&amp;COUNTIFS($C:$C,$C529,$I:$I,$I529)&amp;" BAŞVURU!","")</f>
        <v/>
      </c>
    </row>
    <row r="530" spans="1:18" ht="63" customHeight="1" x14ac:dyDescent="0.25">
      <c r="A530" s="39" t="s">
        <v>2541</v>
      </c>
      <c r="B530" s="39" t="s">
        <v>2542</v>
      </c>
      <c r="C530" s="40" t="s">
        <v>2543</v>
      </c>
      <c r="D530" s="40" t="s">
        <v>512</v>
      </c>
      <c r="E530" s="41" t="s">
        <v>2544</v>
      </c>
      <c r="F530" s="41" t="s">
        <v>2545</v>
      </c>
      <c r="G530" s="42" t="s">
        <v>35</v>
      </c>
      <c r="H530" s="44">
        <v>46178</v>
      </c>
      <c r="I530" s="44">
        <v>46196</v>
      </c>
      <c r="J530" s="40" t="s">
        <v>118</v>
      </c>
      <c r="K530" s="40" t="s">
        <v>65</v>
      </c>
      <c r="L530" s="46"/>
      <c r="M530" s="46"/>
      <c r="N530" s="46"/>
      <c r="O530" s="45"/>
      <c r="P530" s="46"/>
      <c r="R530" s="47" t="str">
        <f>IF(AND($I530&lt;&gt;"",$I530&gt;=DATE(2026,6,23),COUNTIFS($C:$C,$C530,$I:$I,$I530)&gt;2),"⚠ "&amp;COUNTIFS($C:$C,$C530,$I:$I,$I530)&amp;" BAŞVURU!","")</f>
        <v/>
      </c>
    </row>
    <row r="531" spans="1:18" ht="63" customHeight="1" x14ac:dyDescent="0.25">
      <c r="A531" s="39" t="s">
        <v>2546</v>
      </c>
      <c r="B531" s="39" t="s">
        <v>2547</v>
      </c>
      <c r="C531" s="40" t="s">
        <v>881</v>
      </c>
      <c r="D531" s="40" t="s">
        <v>612</v>
      </c>
      <c r="E531" s="41" t="s">
        <v>2548</v>
      </c>
      <c r="F531" s="41" t="s">
        <v>2549</v>
      </c>
      <c r="G531" s="42" t="s">
        <v>37</v>
      </c>
      <c r="H531" s="44">
        <v>46178</v>
      </c>
      <c r="I531" s="44">
        <v>46196</v>
      </c>
      <c r="J531" s="40" t="s">
        <v>92</v>
      </c>
      <c r="K531" s="40" t="s">
        <v>110</v>
      </c>
      <c r="L531" s="46"/>
      <c r="M531" s="46"/>
      <c r="N531" s="46"/>
      <c r="O531" s="45"/>
      <c r="P531" s="46"/>
      <c r="R531" s="47" t="str">
        <f>IF(AND($I531&lt;&gt;"",$I531&gt;=DATE(2026,6,23),COUNTIFS($C:$C,$C531,$I:$I,$I531)&gt;2),"⚠ "&amp;COUNTIFS($C:$C,$C531,$I:$I,$I531)&amp;" BAŞVURU!","")</f>
        <v/>
      </c>
    </row>
    <row r="532" spans="1:18" ht="78.75" customHeight="1" x14ac:dyDescent="0.25">
      <c r="A532" s="39" t="s">
        <v>2550</v>
      </c>
      <c r="B532" s="39" t="s">
        <v>2551</v>
      </c>
      <c r="C532" s="40" t="s">
        <v>2552</v>
      </c>
      <c r="D532" s="40" t="s">
        <v>130</v>
      </c>
      <c r="E532" s="41" t="s">
        <v>2553</v>
      </c>
      <c r="F532" s="41" t="s">
        <v>2554</v>
      </c>
      <c r="G532" s="42" t="s">
        <v>34</v>
      </c>
      <c r="H532" s="44">
        <v>46178</v>
      </c>
      <c r="I532" s="44">
        <v>46196</v>
      </c>
      <c r="J532" s="40" t="s">
        <v>101</v>
      </c>
      <c r="K532" s="40" t="s">
        <v>92</v>
      </c>
      <c r="L532" s="46"/>
      <c r="M532" s="46"/>
      <c r="N532" s="46"/>
      <c r="O532" s="45"/>
      <c r="P532" s="46"/>
      <c r="R532" s="47" t="str">
        <f>IF(AND($I532&lt;&gt;"",$I532&gt;=DATE(2026,6,23),COUNTIFS($C:$C,$C532,$I:$I,$I532)&gt;2),"⚠ "&amp;COUNTIFS($C:$C,$C532,$I:$I,$I532)&amp;" BAŞVURU!","")</f>
        <v/>
      </c>
    </row>
    <row r="533" spans="1:18" ht="94.5" customHeight="1" x14ac:dyDescent="0.25">
      <c r="A533" s="39" t="s">
        <v>2555</v>
      </c>
      <c r="B533" s="39" t="s">
        <v>2556</v>
      </c>
      <c r="C533" s="40" t="s">
        <v>1701</v>
      </c>
      <c r="D533" s="40" t="s">
        <v>567</v>
      </c>
      <c r="E533" s="41" t="s">
        <v>2557</v>
      </c>
      <c r="F533" s="41" t="s">
        <v>2558</v>
      </c>
      <c r="G533" s="42" t="s">
        <v>35</v>
      </c>
      <c r="H533" s="44">
        <v>46178</v>
      </c>
      <c r="I533" s="44">
        <v>46196</v>
      </c>
      <c r="J533" s="40" t="s">
        <v>118</v>
      </c>
      <c r="K533" s="40" t="s">
        <v>64</v>
      </c>
      <c r="L533" s="46"/>
      <c r="M533" s="46"/>
      <c r="N533" s="46"/>
      <c r="O533" s="45"/>
      <c r="P533" s="46"/>
      <c r="R533" s="47" t="str">
        <f>IF(AND($I533&lt;&gt;"",$I533&gt;=DATE(2026,6,23),COUNTIFS($C:$C,$C533,$I:$I,$I533)&gt;2),"⚠ "&amp;COUNTIFS($C:$C,$C533,$I:$I,$I533)&amp;" BAŞVURU!","")</f>
        <v/>
      </c>
    </row>
    <row r="534" spans="1:18" ht="47.25" customHeight="1" x14ac:dyDescent="0.25">
      <c r="A534" s="39" t="s">
        <v>2559</v>
      </c>
      <c r="B534" s="39" t="s">
        <v>2560</v>
      </c>
      <c r="C534" s="40" t="s">
        <v>265</v>
      </c>
      <c r="D534" s="40" t="s">
        <v>248</v>
      </c>
      <c r="E534" s="41" t="s">
        <v>2561</v>
      </c>
      <c r="F534" s="41" t="s">
        <v>2562</v>
      </c>
      <c r="G534" s="42" t="s">
        <v>34</v>
      </c>
      <c r="H534" s="44">
        <v>46178</v>
      </c>
      <c r="I534" s="44">
        <v>46196</v>
      </c>
      <c r="J534" s="40" t="s">
        <v>102</v>
      </c>
      <c r="K534" s="40" t="s">
        <v>83</v>
      </c>
      <c r="L534" s="46"/>
      <c r="M534" s="46"/>
      <c r="N534" s="46"/>
      <c r="O534" s="45"/>
      <c r="P534" s="46"/>
      <c r="R534" s="47" t="str">
        <f>IF(AND($I534&lt;&gt;"",$I534&gt;=DATE(2026,6,23),COUNTIFS($C:$C,$C534,$I:$I,$I534)&gt;2),"⚠ "&amp;COUNTIFS($C:$C,$C534,$I:$I,$I534)&amp;" BAŞVURU!","")</f>
        <v/>
      </c>
    </row>
    <row r="535" spans="1:18" ht="96" customHeight="1" x14ac:dyDescent="0.25">
      <c r="A535" s="39" t="s">
        <v>2563</v>
      </c>
      <c r="B535" s="39" t="s">
        <v>2564</v>
      </c>
      <c r="C535" s="40" t="s">
        <v>2565</v>
      </c>
      <c r="D535" s="40" t="s">
        <v>234</v>
      </c>
      <c r="E535" s="41" t="s">
        <v>2566</v>
      </c>
      <c r="F535" s="41" t="s">
        <v>2567</v>
      </c>
      <c r="G535" s="42" t="s">
        <v>34</v>
      </c>
      <c r="H535" s="44">
        <v>46178</v>
      </c>
      <c r="I535" s="44">
        <v>46196</v>
      </c>
      <c r="J535" s="40" t="s">
        <v>92</v>
      </c>
      <c r="K535" s="40" t="s">
        <v>65</v>
      </c>
      <c r="L535" s="46"/>
      <c r="M535" s="46"/>
      <c r="N535" s="46"/>
      <c r="O535" s="45"/>
      <c r="P535" s="46"/>
      <c r="R535" s="47" t="str">
        <f>IF(AND($I535&lt;&gt;"",$I535&gt;=DATE(2026,6,23),COUNTIFS($C:$C,$C535,$I:$I,$I535)&gt;2),"⚠ "&amp;COUNTIFS($C:$C,$C535,$I:$I,$I535)&amp;" BAŞVURU!","")</f>
        <v/>
      </c>
    </row>
    <row r="536" spans="1:18" ht="78.75" customHeight="1" x14ac:dyDescent="0.25">
      <c r="A536" s="39" t="s">
        <v>2568</v>
      </c>
      <c r="B536" s="39" t="s">
        <v>2569</v>
      </c>
      <c r="C536" s="40" t="s">
        <v>2302</v>
      </c>
      <c r="D536" s="40" t="s">
        <v>186</v>
      </c>
      <c r="E536" s="41" t="s">
        <v>2570</v>
      </c>
      <c r="F536" s="41" t="s">
        <v>2571</v>
      </c>
      <c r="G536" s="42" t="s">
        <v>34</v>
      </c>
      <c r="H536" s="44">
        <v>46178</v>
      </c>
      <c r="I536" s="44">
        <v>46196</v>
      </c>
      <c r="J536" s="40" t="s">
        <v>82</v>
      </c>
      <c r="K536" s="40" t="s">
        <v>102</v>
      </c>
      <c r="L536" s="46"/>
      <c r="M536" s="46"/>
      <c r="N536" s="46"/>
      <c r="O536" s="45"/>
      <c r="P536" s="46"/>
      <c r="R536" s="47" t="str">
        <f>IF(AND($I536&lt;&gt;"",$I536&gt;=DATE(2026,6,23),COUNTIFS($C:$C,$C536,$I:$I,$I536)&gt;2),"⚠ "&amp;COUNTIFS($C:$C,$C536,$I:$I,$I536)&amp;" BAŞVURU!","")</f>
        <v/>
      </c>
    </row>
    <row r="537" spans="1:18" ht="81" customHeight="1" x14ac:dyDescent="0.25">
      <c r="A537" s="39" t="s">
        <v>2572</v>
      </c>
      <c r="B537" s="39" t="s">
        <v>2573</v>
      </c>
      <c r="C537" s="40" t="s">
        <v>699</v>
      </c>
      <c r="D537" s="40" t="s">
        <v>375</v>
      </c>
      <c r="E537" s="41" t="s">
        <v>2574</v>
      </c>
      <c r="F537" s="41" t="s">
        <v>2575</v>
      </c>
      <c r="G537" s="42" t="s">
        <v>34</v>
      </c>
      <c r="H537" s="44">
        <v>46178</v>
      </c>
      <c r="I537" s="44">
        <v>46196</v>
      </c>
      <c r="J537" s="40" t="s">
        <v>125</v>
      </c>
      <c r="K537" s="40" t="s">
        <v>74</v>
      </c>
      <c r="L537" s="46"/>
      <c r="M537" s="46"/>
      <c r="N537" s="46"/>
      <c r="O537" s="45"/>
      <c r="P537" s="46"/>
      <c r="R537" s="47" t="str">
        <f>IF(AND($I537&lt;&gt;"",$I537&gt;=DATE(2026,6,23),COUNTIFS($C:$C,$C537,$I:$I,$I537)&gt;2),"⚠ "&amp;COUNTIFS($C:$C,$C537,$I:$I,$I537)&amp;" BAŞVURU!","")</f>
        <v/>
      </c>
    </row>
    <row r="538" spans="1:18" ht="63" customHeight="1" x14ac:dyDescent="0.25">
      <c r="A538" s="39" t="s">
        <v>2576</v>
      </c>
      <c r="B538" s="39" t="s">
        <v>2577</v>
      </c>
      <c r="C538" s="40" t="s">
        <v>2578</v>
      </c>
      <c r="D538" s="40" t="s">
        <v>292</v>
      </c>
      <c r="E538" s="41" t="s">
        <v>2579</v>
      </c>
      <c r="F538" s="41" t="s">
        <v>2580</v>
      </c>
      <c r="G538" s="42" t="s">
        <v>34</v>
      </c>
      <c r="H538" s="44">
        <v>46178</v>
      </c>
      <c r="I538" s="44">
        <v>46196</v>
      </c>
      <c r="J538" s="40" t="s">
        <v>83</v>
      </c>
      <c r="K538" s="40" t="s">
        <v>110</v>
      </c>
      <c r="L538" s="46"/>
      <c r="M538" s="46"/>
      <c r="N538" s="46"/>
      <c r="O538" s="45"/>
      <c r="P538" s="46"/>
      <c r="R538" s="47" t="str">
        <f>IF(AND($I538&lt;&gt;"",$I538&gt;=DATE(2026,6,23),COUNTIFS($C:$C,$C538,$I:$I,$I538)&gt;2),"⚠ "&amp;COUNTIFS($C:$C,$C538,$I:$I,$I538)&amp;" BAŞVURU!","")</f>
        <v/>
      </c>
    </row>
    <row r="539" spans="1:18" ht="47.25" x14ac:dyDescent="0.25">
      <c r="A539" s="39" t="s">
        <v>2581</v>
      </c>
      <c r="B539" s="39" t="s">
        <v>2582</v>
      </c>
      <c r="C539" s="40" t="s">
        <v>5802</v>
      </c>
      <c r="D539" s="40" t="s">
        <v>5803</v>
      </c>
      <c r="E539" s="41" t="s">
        <v>5804</v>
      </c>
      <c r="F539" s="41" t="s">
        <v>5801</v>
      </c>
      <c r="G539" s="42" t="s">
        <v>34</v>
      </c>
      <c r="H539" s="44">
        <v>46186</v>
      </c>
      <c r="I539" s="44">
        <v>46196</v>
      </c>
      <c r="J539" s="40" t="s">
        <v>64</v>
      </c>
      <c r="K539" s="40" t="s">
        <v>82</v>
      </c>
      <c r="L539" s="46"/>
      <c r="M539" s="46"/>
      <c r="N539" s="46"/>
      <c r="O539" s="45"/>
      <c r="P539" s="46"/>
      <c r="R539" s="47" t="str">
        <f>IF(AND($I539&lt;&gt;"",$I539&gt;=DATE(2026,6,23),COUNTIFS($C:$C,$C539,$I:$I,$I539)&gt;2),"⚠ "&amp;COUNTIFS($C:$C,$C539,$I:$I,$I539)&amp;" BAŞVURU!","")</f>
        <v/>
      </c>
    </row>
    <row r="540" spans="1:18" ht="93.75" customHeight="1" x14ac:dyDescent="0.25">
      <c r="A540" s="39" t="s">
        <v>2583</v>
      </c>
      <c r="B540" s="39" t="s">
        <v>2584</v>
      </c>
      <c r="C540" s="40" t="s">
        <v>386</v>
      </c>
      <c r="D540" s="40" t="s">
        <v>241</v>
      </c>
      <c r="E540" s="41" t="s">
        <v>5665</v>
      </c>
      <c r="F540" s="41" t="s">
        <v>5666</v>
      </c>
      <c r="G540" s="42" t="s">
        <v>35</v>
      </c>
      <c r="H540" s="44">
        <v>46191</v>
      </c>
      <c r="I540" s="44">
        <v>46217</v>
      </c>
      <c r="J540" s="40"/>
      <c r="K540" s="40"/>
      <c r="L540" s="46"/>
      <c r="M540" s="46"/>
      <c r="N540" s="46"/>
      <c r="O540" s="45"/>
      <c r="P540" s="46"/>
      <c r="R540" s="47" t="str">
        <f>IF(AND($I540&lt;&gt;"",$I540&gt;=DATE(2026,6,23),COUNTIFS($C:$C,$C540,$I:$I,$I540)&gt;2),"⚠ "&amp;COUNTIFS($C:$C,$C540,$I:$I,$I540)&amp;" BAŞVURU!","")</f>
        <v/>
      </c>
    </row>
    <row r="541" spans="1:18" ht="64.5" customHeight="1" x14ac:dyDescent="0.25">
      <c r="A541" s="39" t="s">
        <v>2585</v>
      </c>
      <c r="B541" s="39" t="s">
        <v>2586</v>
      </c>
      <c r="C541" s="40" t="s">
        <v>552</v>
      </c>
      <c r="D541" s="40" t="s">
        <v>107</v>
      </c>
      <c r="E541" s="41" t="s">
        <v>5668</v>
      </c>
      <c r="F541" s="41" t="s">
        <v>5667</v>
      </c>
      <c r="G541" s="42" t="s">
        <v>34</v>
      </c>
      <c r="H541" s="44">
        <v>46191</v>
      </c>
      <c r="I541" s="44">
        <v>46217</v>
      </c>
      <c r="J541" s="40"/>
      <c r="K541" s="40"/>
      <c r="L541" s="46"/>
      <c r="M541" s="46"/>
      <c r="N541" s="46"/>
      <c r="O541" s="45"/>
      <c r="P541" s="46"/>
      <c r="R541" s="47" t="str">
        <f>IF(AND($I541&lt;&gt;"",$I541&gt;=DATE(2026,6,23),COUNTIFS($C:$C,$C541,$I:$I,$I541)&gt;2),"⚠ "&amp;COUNTIFS($C:$C,$C541,$I:$I,$I541)&amp;" BAŞVURU!","")</f>
        <v/>
      </c>
    </row>
    <row r="542" spans="1:18" ht="63" customHeight="1" x14ac:dyDescent="0.25">
      <c r="A542" s="39" t="s">
        <v>2587</v>
      </c>
      <c r="B542" s="39" t="s">
        <v>2588</v>
      </c>
      <c r="C542" s="40" t="s">
        <v>552</v>
      </c>
      <c r="D542" s="40" t="s">
        <v>107</v>
      </c>
      <c r="E542" s="41" t="s">
        <v>5668</v>
      </c>
      <c r="F542" s="41" t="s">
        <v>5669</v>
      </c>
      <c r="G542" s="42" t="s">
        <v>34</v>
      </c>
      <c r="H542" s="44">
        <v>46191</v>
      </c>
      <c r="I542" s="44">
        <v>46217</v>
      </c>
      <c r="J542" s="40"/>
      <c r="K542" s="40"/>
      <c r="L542" s="46"/>
      <c r="M542" s="46"/>
      <c r="N542" s="46"/>
      <c r="O542" s="45"/>
      <c r="P542" s="46"/>
      <c r="R542" s="47" t="str">
        <f>IF(AND($I542&lt;&gt;"",$I542&gt;=DATE(2026,6,23),COUNTIFS($C:$C,$C542,$I:$I,$I542)&gt;2),"⚠ "&amp;COUNTIFS($C:$C,$C542,$I:$I,$I542)&amp;" BAŞVURU!","")</f>
        <v/>
      </c>
    </row>
    <row r="543" spans="1:18" ht="78.75" x14ac:dyDescent="0.25">
      <c r="A543" s="39" t="s">
        <v>2589</v>
      </c>
      <c r="B543" s="39" t="s">
        <v>2590</v>
      </c>
      <c r="C543" s="40" t="s">
        <v>739</v>
      </c>
      <c r="D543" s="40" t="s">
        <v>107</v>
      </c>
      <c r="E543" s="41" t="s">
        <v>5670</v>
      </c>
      <c r="F543" s="41" t="s">
        <v>5671</v>
      </c>
      <c r="G543" s="42" t="s">
        <v>34</v>
      </c>
      <c r="H543" s="44">
        <v>46191</v>
      </c>
      <c r="I543" s="44">
        <v>46217</v>
      </c>
      <c r="J543" s="40"/>
      <c r="K543" s="40"/>
      <c r="L543" s="46"/>
      <c r="M543" s="46"/>
      <c r="N543" s="46"/>
      <c r="O543" s="45"/>
      <c r="P543" s="46"/>
      <c r="R543" s="47" t="str">
        <f>IF(AND($I543&lt;&gt;"",$I543&gt;=DATE(2026,6,23),COUNTIFS($C:$C,$C543,$I:$I,$I543)&gt;2),"⚠ "&amp;COUNTIFS($C:$C,$C543,$I:$I,$I543)&amp;" BAŞVURU!","")</f>
        <v/>
      </c>
    </row>
    <row r="544" spans="1:18" ht="94.5" x14ac:dyDescent="0.25">
      <c r="A544" s="39" t="s">
        <v>2591</v>
      </c>
      <c r="B544" s="39" t="s">
        <v>2592</v>
      </c>
      <c r="C544" s="40" t="s">
        <v>407</v>
      </c>
      <c r="D544" s="40" t="s">
        <v>234</v>
      </c>
      <c r="E544" s="41" t="s">
        <v>5672</v>
      </c>
      <c r="F544" s="41" t="s">
        <v>5673</v>
      </c>
      <c r="G544" s="42" t="s">
        <v>34</v>
      </c>
      <c r="H544" s="44">
        <v>46191</v>
      </c>
      <c r="I544" s="44">
        <v>46217</v>
      </c>
      <c r="J544" s="40"/>
      <c r="K544" s="40"/>
      <c r="L544" s="46"/>
      <c r="M544" s="46"/>
      <c r="N544" s="46"/>
      <c r="O544" s="45"/>
      <c r="P544" s="46"/>
      <c r="R544" s="47" t="str">
        <f>IF(AND($I544&lt;&gt;"",$I544&gt;=DATE(2026,6,23),COUNTIFS($C:$C,$C544,$I:$I,$I544)&gt;2),"⚠ "&amp;COUNTIFS($C:$C,$C544,$I:$I,$I544)&amp;" BAŞVURU!","")</f>
        <v/>
      </c>
    </row>
    <row r="545" spans="1:18" ht="126" x14ac:dyDescent="0.25">
      <c r="A545" s="39" t="s">
        <v>2593</v>
      </c>
      <c r="B545" s="39" t="s">
        <v>2594</v>
      </c>
      <c r="C545" s="40" t="s">
        <v>823</v>
      </c>
      <c r="D545" s="40" t="s">
        <v>234</v>
      </c>
      <c r="E545" s="41" t="s">
        <v>5675</v>
      </c>
      <c r="F545" s="41" t="s">
        <v>5676</v>
      </c>
      <c r="G545" s="42" t="s">
        <v>34</v>
      </c>
      <c r="H545" s="44">
        <v>46191</v>
      </c>
      <c r="I545" s="44">
        <v>46217</v>
      </c>
      <c r="J545" s="40"/>
      <c r="K545" s="40"/>
      <c r="L545" s="46"/>
      <c r="M545" s="46"/>
      <c r="N545" s="46"/>
      <c r="O545" s="45"/>
      <c r="P545" s="46"/>
      <c r="R545" s="47" t="str">
        <f>IF(AND($I545&lt;&gt;"",$I545&gt;=DATE(2026,6,23),COUNTIFS($C:$C,$C545,$I:$I,$I545)&gt;2),"⚠ "&amp;COUNTIFS($C:$C,$C545,$I:$I,$I545)&amp;" BAŞVURU!","")</f>
        <v/>
      </c>
    </row>
    <row r="546" spans="1:18" ht="63" x14ac:dyDescent="0.25">
      <c r="A546" s="39" t="s">
        <v>2595</v>
      </c>
      <c r="B546" s="39" t="s">
        <v>2596</v>
      </c>
      <c r="C546" s="40" t="s">
        <v>386</v>
      </c>
      <c r="D546" s="40" t="s">
        <v>241</v>
      </c>
      <c r="E546" s="41" t="s">
        <v>5678</v>
      </c>
      <c r="F546" s="41" t="s">
        <v>5677</v>
      </c>
      <c r="G546" s="42" t="s">
        <v>34</v>
      </c>
      <c r="H546" s="44">
        <v>46191</v>
      </c>
      <c r="I546" s="44">
        <v>46217</v>
      </c>
      <c r="J546" s="40"/>
      <c r="K546" s="40"/>
      <c r="L546" s="46"/>
      <c r="M546" s="46"/>
      <c r="N546" s="46"/>
      <c r="O546" s="45"/>
      <c r="P546" s="46"/>
      <c r="R546" s="47" t="str">
        <f>IF(AND($I546&lt;&gt;"",$I546&gt;=DATE(2026,6,23),COUNTIFS($C:$C,$C546,$I:$I,$I546)&gt;2),"⚠ "&amp;COUNTIFS($C:$C,$C546,$I:$I,$I546)&amp;" BAŞVURU!","")</f>
        <v/>
      </c>
    </row>
    <row r="547" spans="1:18" ht="94.5" x14ac:dyDescent="0.25">
      <c r="A547" s="39" t="s">
        <v>2597</v>
      </c>
      <c r="B547" s="39" t="s">
        <v>2598</v>
      </c>
      <c r="C547" s="40" t="s">
        <v>5276</v>
      </c>
      <c r="D547" s="40" t="s">
        <v>234</v>
      </c>
      <c r="E547" s="41" t="s">
        <v>5679</v>
      </c>
      <c r="F547" s="41" t="s">
        <v>5680</v>
      </c>
      <c r="G547" s="42" t="s">
        <v>34</v>
      </c>
      <c r="H547" s="44">
        <v>46191</v>
      </c>
      <c r="I547" s="44">
        <v>46217</v>
      </c>
      <c r="J547" s="40"/>
      <c r="K547" s="40"/>
      <c r="L547" s="46"/>
      <c r="M547" s="46"/>
      <c r="N547" s="46"/>
      <c r="O547" s="45"/>
      <c r="P547" s="46"/>
      <c r="R547" s="47" t="str">
        <f>IF(AND($I547&lt;&gt;"",$I547&gt;=DATE(2026,6,23),COUNTIFS($C:$C,$C547,$I:$I,$I547)&gt;2),"⚠ "&amp;COUNTIFS($C:$C,$C547,$I:$I,$I547)&amp;" BAŞVURU!","")</f>
        <v/>
      </c>
    </row>
    <row r="548" spans="1:18" ht="94.5" x14ac:dyDescent="0.25">
      <c r="A548" s="39" t="s">
        <v>2599</v>
      </c>
      <c r="B548" s="39" t="s">
        <v>2600</v>
      </c>
      <c r="C548" s="40" t="s">
        <v>5276</v>
      </c>
      <c r="D548" s="40" t="s">
        <v>234</v>
      </c>
      <c r="E548" s="41" t="s">
        <v>5679</v>
      </c>
      <c r="F548" s="41" t="s">
        <v>5681</v>
      </c>
      <c r="G548" s="42" t="s">
        <v>34</v>
      </c>
      <c r="H548" s="44">
        <v>46191</v>
      </c>
      <c r="I548" s="44">
        <v>46217</v>
      </c>
      <c r="J548" s="40"/>
      <c r="K548" s="40"/>
      <c r="L548" s="46"/>
      <c r="M548" s="46"/>
      <c r="N548" s="46"/>
      <c r="O548" s="45"/>
      <c r="P548" s="46"/>
      <c r="R548" s="47" t="str">
        <f>IF(AND($I548&lt;&gt;"",$I548&gt;=DATE(2026,6,23),COUNTIFS($C:$C,$C548,$I:$I,$I548)&gt;2),"⚠ "&amp;COUNTIFS($C:$C,$C548,$I:$I,$I548)&amp;" BAŞVURU!","")</f>
        <v/>
      </c>
    </row>
    <row r="549" spans="1:18" ht="78.75" x14ac:dyDescent="0.25">
      <c r="A549" s="39" t="s">
        <v>2601</v>
      </c>
      <c r="B549" s="39" t="s">
        <v>2602</v>
      </c>
      <c r="C549" s="40" t="s">
        <v>5683</v>
      </c>
      <c r="D549" s="40" t="s">
        <v>234</v>
      </c>
      <c r="E549" s="41" t="s">
        <v>5684</v>
      </c>
      <c r="F549" s="41" t="s">
        <v>5682</v>
      </c>
      <c r="G549" s="42" t="s">
        <v>34</v>
      </c>
      <c r="H549" s="44">
        <v>46191</v>
      </c>
      <c r="I549" s="44">
        <v>46217</v>
      </c>
      <c r="J549" s="40"/>
      <c r="K549" s="40"/>
      <c r="L549" s="46"/>
      <c r="M549" s="46"/>
      <c r="N549" s="46"/>
      <c r="O549" s="45"/>
      <c r="P549" s="46"/>
      <c r="R549" s="47" t="str">
        <f>IF(AND($I549&lt;&gt;"",$I549&gt;=DATE(2026,6,23),COUNTIFS($C:$C,$C549,$I:$I,$I549)&gt;2),"⚠ "&amp;COUNTIFS($C:$C,$C549,$I:$I,$I549)&amp;" BAŞVURU!","")</f>
        <v/>
      </c>
    </row>
    <row r="550" spans="1:18" ht="94.5" x14ac:dyDescent="0.25">
      <c r="A550" s="39" t="s">
        <v>2603</v>
      </c>
      <c r="B550" s="39" t="s">
        <v>2604</v>
      </c>
      <c r="C550" s="40" t="s">
        <v>1784</v>
      </c>
      <c r="D550" s="40" t="s">
        <v>1171</v>
      </c>
      <c r="E550" s="41" t="s">
        <v>5686</v>
      </c>
      <c r="F550" s="41" t="s">
        <v>5685</v>
      </c>
      <c r="G550" s="42" t="s">
        <v>34</v>
      </c>
      <c r="H550" s="44">
        <v>46191</v>
      </c>
      <c r="I550" s="44">
        <v>46217</v>
      </c>
      <c r="J550" s="40"/>
      <c r="K550" s="40"/>
      <c r="L550" s="46"/>
      <c r="M550" s="46"/>
      <c r="N550" s="46"/>
      <c r="O550" s="45"/>
      <c r="P550" s="46"/>
      <c r="R550" s="47" t="str">
        <f>IF(AND($I550&lt;&gt;"",$I550&gt;=DATE(2026,6,23),COUNTIFS($C:$C,$C550,$I:$I,$I550)&gt;2),"⚠ "&amp;COUNTIFS($C:$C,$C550,$I:$I,$I550)&amp;" BAŞVURU!","")</f>
        <v/>
      </c>
    </row>
    <row r="551" spans="1:18" ht="63" x14ac:dyDescent="0.25">
      <c r="A551" s="39" t="s">
        <v>2605</v>
      </c>
      <c r="B551" s="39" t="s">
        <v>2606</v>
      </c>
      <c r="C551" s="40" t="s">
        <v>5689</v>
      </c>
      <c r="D551" s="40" t="s">
        <v>375</v>
      </c>
      <c r="E551" s="41" t="s">
        <v>5687</v>
      </c>
      <c r="F551" s="41" t="s">
        <v>5688</v>
      </c>
      <c r="G551" s="42" t="s">
        <v>35</v>
      </c>
      <c r="H551" s="44">
        <v>46284</v>
      </c>
      <c r="I551" s="44">
        <v>46217</v>
      </c>
      <c r="J551" s="40"/>
      <c r="K551" s="40"/>
      <c r="L551" s="46"/>
      <c r="M551" s="46"/>
      <c r="N551" s="46"/>
      <c r="O551" s="45"/>
      <c r="P551" s="46"/>
      <c r="R551" s="47" t="str">
        <f>IF(AND($I551&lt;&gt;"",$I551&gt;=DATE(2026,6,23),COUNTIFS($C:$C,$C551,$I:$I,$I551)&gt;2),"⚠ "&amp;COUNTIFS($C:$C,$C551,$I:$I,$I551)&amp;" BAŞVURU!","")</f>
        <v/>
      </c>
    </row>
    <row r="552" spans="1:18" ht="63" x14ac:dyDescent="0.25">
      <c r="A552" s="39" t="s">
        <v>2607</v>
      </c>
      <c r="B552" s="39" t="s">
        <v>2608</v>
      </c>
      <c r="C552" s="40" t="s">
        <v>1720</v>
      </c>
      <c r="D552" s="40" t="s">
        <v>1520</v>
      </c>
      <c r="E552" s="41" t="s">
        <v>5690</v>
      </c>
      <c r="F552" s="41" t="s">
        <v>5691</v>
      </c>
      <c r="G552" s="42" t="s">
        <v>34</v>
      </c>
      <c r="H552" s="44">
        <v>46284</v>
      </c>
      <c r="I552" s="44">
        <v>46217</v>
      </c>
      <c r="J552" s="40"/>
      <c r="K552" s="40"/>
      <c r="L552" s="46"/>
      <c r="M552" s="46"/>
      <c r="N552" s="46"/>
      <c r="O552" s="45"/>
      <c r="P552" s="46"/>
      <c r="R552" s="47" t="str">
        <f>IF(AND($I552&lt;&gt;"",$I552&gt;=DATE(2026,6,23),COUNTIFS($C:$C,$C552,$I:$I,$I552)&gt;2),"⚠ "&amp;COUNTIFS($C:$C,$C552,$I:$I,$I552)&amp;" BAŞVURU!","")</f>
        <v/>
      </c>
    </row>
    <row r="553" spans="1:18" ht="47.25" x14ac:dyDescent="0.25">
      <c r="A553" s="39" t="s">
        <v>2609</v>
      </c>
      <c r="B553" s="39" t="s">
        <v>2610</v>
      </c>
      <c r="C553" s="40" t="s">
        <v>547</v>
      </c>
      <c r="D553" s="40" t="s">
        <v>392</v>
      </c>
      <c r="E553" s="41" t="s">
        <v>5743</v>
      </c>
      <c r="F553" s="41" t="s">
        <v>5744</v>
      </c>
      <c r="G553" s="42" t="s">
        <v>34</v>
      </c>
      <c r="H553" s="44">
        <v>46284</v>
      </c>
      <c r="I553" s="44">
        <v>46217</v>
      </c>
      <c r="J553" s="40"/>
      <c r="K553" s="40"/>
      <c r="L553" s="46"/>
      <c r="M553" s="46"/>
      <c r="N553" s="46"/>
      <c r="O553" s="45"/>
      <c r="P553" s="46"/>
      <c r="R553" s="47" t="str">
        <f>IF(AND($I553&lt;&gt;"",$I553&gt;=DATE(2026,6,23),COUNTIFS($C:$C,$C553,$I:$I,$I553)&gt;2),"⚠ "&amp;COUNTIFS($C:$C,$C553,$I:$I,$I553)&amp;" BAŞVURU!","")</f>
        <v/>
      </c>
    </row>
    <row r="554" spans="1:18" ht="63" x14ac:dyDescent="0.25">
      <c r="A554" s="39" t="s">
        <v>2611</v>
      </c>
      <c r="B554" s="39" t="s">
        <v>2612</v>
      </c>
      <c r="C554" s="40" t="s">
        <v>1720</v>
      </c>
      <c r="D554" s="40" t="s">
        <v>1520</v>
      </c>
      <c r="E554" s="41" t="s">
        <v>5745</v>
      </c>
      <c r="F554" s="41" t="s">
        <v>5746</v>
      </c>
      <c r="G554" s="42" t="s">
        <v>34</v>
      </c>
      <c r="H554" s="44">
        <v>46284</v>
      </c>
      <c r="I554" s="44">
        <v>46217</v>
      </c>
      <c r="J554" s="40"/>
      <c r="K554" s="40"/>
      <c r="L554" s="46"/>
      <c r="M554" s="46"/>
      <c r="N554" s="46"/>
      <c r="O554" s="45"/>
      <c r="P554" s="46"/>
      <c r="R554" s="47" t="str">
        <f>IF(AND($I554&lt;&gt;"",$I554&gt;=DATE(2026,6,23),COUNTIFS($C:$C,$C554,$I:$I,$I554)&gt;2),"⚠ "&amp;COUNTIFS($C:$C,$C554,$I:$I,$I554)&amp;" BAŞVURU!","")</f>
        <v/>
      </c>
    </row>
    <row r="555" spans="1:18" ht="95.25" customHeight="1" x14ac:dyDescent="0.25">
      <c r="A555" s="39" t="s">
        <v>2613</v>
      </c>
      <c r="B555" s="39" t="s">
        <v>2614</v>
      </c>
      <c r="C555" s="40" t="s">
        <v>106</v>
      </c>
      <c r="D555" s="40" t="s">
        <v>107</v>
      </c>
      <c r="E555" s="41" t="s">
        <v>5747</v>
      </c>
      <c r="F555" s="41" t="s">
        <v>5748</v>
      </c>
      <c r="G555" s="42" t="s">
        <v>34</v>
      </c>
      <c r="H555" s="44">
        <v>46284</v>
      </c>
      <c r="I555" s="44">
        <v>46217</v>
      </c>
      <c r="J555" s="40"/>
      <c r="K555" s="40"/>
      <c r="L555" s="46"/>
      <c r="M555" s="46"/>
      <c r="N555" s="46"/>
      <c r="O555" s="45"/>
      <c r="P555" s="46"/>
      <c r="R555" s="47" t="str">
        <f>IF(AND($I555&lt;&gt;"",$I555&gt;=DATE(2026,6,23),COUNTIFS($C:$C,$C555,$I:$I,$I555)&gt;2),"⚠ "&amp;COUNTIFS($C:$C,$C555,$I:$I,$I555)&amp;" BAŞVURU!","")</f>
        <v/>
      </c>
    </row>
    <row r="556" spans="1:18" ht="94.5" x14ac:dyDescent="0.25">
      <c r="A556" s="39" t="s">
        <v>2615</v>
      </c>
      <c r="B556" s="39" t="s">
        <v>2616</v>
      </c>
      <c r="C556" s="40" t="s">
        <v>1370</v>
      </c>
      <c r="D556" s="40" t="s">
        <v>1371</v>
      </c>
      <c r="E556" s="41" t="s">
        <v>5749</v>
      </c>
      <c r="F556" s="41" t="s">
        <v>5750</v>
      </c>
      <c r="G556" s="42" t="s">
        <v>34</v>
      </c>
      <c r="H556" s="44">
        <v>46284</v>
      </c>
      <c r="I556" s="44">
        <v>46217</v>
      </c>
      <c r="J556" s="40"/>
      <c r="K556" s="40"/>
      <c r="L556" s="46"/>
      <c r="M556" s="46"/>
      <c r="N556" s="46"/>
      <c r="O556" s="45"/>
      <c r="P556" s="46"/>
      <c r="R556" s="47" t="str">
        <f>IF(AND($I556&lt;&gt;"",$I556&gt;=DATE(2026,6,23),COUNTIFS($C:$C,$C556,$I:$I,$I556)&gt;2),"⚠ "&amp;COUNTIFS($C:$C,$C556,$I:$I,$I556)&amp;" BAŞVURU!","")</f>
        <v/>
      </c>
    </row>
    <row r="557" spans="1:18" ht="63" x14ac:dyDescent="0.25">
      <c r="A557" s="39" t="s">
        <v>2617</v>
      </c>
      <c r="B557" s="39" t="s">
        <v>2618</v>
      </c>
      <c r="C557" s="40" t="s">
        <v>2286</v>
      </c>
      <c r="D557" s="40" t="s">
        <v>186</v>
      </c>
      <c r="E557" s="41" t="s">
        <v>5751</v>
      </c>
      <c r="F557" s="41" t="s">
        <v>5752</v>
      </c>
      <c r="G557" s="42" t="s">
        <v>35</v>
      </c>
      <c r="H557" s="44">
        <v>46284</v>
      </c>
      <c r="I557" s="44">
        <v>46217</v>
      </c>
      <c r="J557" s="40"/>
      <c r="K557" s="40"/>
      <c r="L557" s="46"/>
      <c r="M557" s="46"/>
      <c r="N557" s="46"/>
      <c r="O557" s="45"/>
      <c r="P557" s="46"/>
      <c r="R557" s="47" t="str">
        <f>IF(AND($I557&lt;&gt;"",$I557&gt;=DATE(2026,6,23),COUNTIFS($C:$C,$C557,$I:$I,$I557)&gt;2),"⚠ "&amp;COUNTIFS($C:$C,$C557,$I:$I,$I557)&amp;" BAŞVURU!","")</f>
        <v/>
      </c>
    </row>
    <row r="558" spans="1:18" ht="78.75" customHeight="1" x14ac:dyDescent="0.25">
      <c r="A558" s="39" t="s">
        <v>2619</v>
      </c>
      <c r="B558" s="39" t="s">
        <v>2620</v>
      </c>
      <c r="C558" s="40" t="s">
        <v>4654</v>
      </c>
      <c r="D558" s="40" t="s">
        <v>79</v>
      </c>
      <c r="E558" s="41" t="s">
        <v>5753</v>
      </c>
      <c r="F558" s="41" t="s">
        <v>5754</v>
      </c>
      <c r="G558" s="42" t="s">
        <v>34</v>
      </c>
      <c r="H558" s="44">
        <v>46284</v>
      </c>
      <c r="I558" s="44">
        <v>46217</v>
      </c>
      <c r="J558" s="40"/>
      <c r="K558" s="40"/>
      <c r="L558" s="46"/>
      <c r="M558" s="46"/>
      <c r="N558" s="46"/>
      <c r="O558" s="45"/>
      <c r="P558" s="46"/>
      <c r="R558" s="47" t="str">
        <f>IF(AND($I558&lt;&gt;"",$I558&gt;=DATE(2026,6,23),COUNTIFS($C:$C,$C558,$I:$I,$I558)&gt;2),"⚠ "&amp;COUNTIFS($C:$C,$C558,$I:$I,$I558)&amp;" BAŞVURU!","")</f>
        <v/>
      </c>
    </row>
    <row r="559" spans="1:18" ht="110.25" x14ac:dyDescent="0.25">
      <c r="A559" s="39" t="s">
        <v>4593</v>
      </c>
      <c r="B559" s="39" t="s">
        <v>5692</v>
      </c>
      <c r="C559" s="40" t="s">
        <v>1686</v>
      </c>
      <c r="D559" s="40" t="s">
        <v>392</v>
      </c>
      <c r="E559" s="41" t="s">
        <v>5755</v>
      </c>
      <c r="F559" s="41" t="s">
        <v>5756</v>
      </c>
      <c r="G559" s="42" t="s">
        <v>35</v>
      </c>
      <c r="H559" s="44">
        <v>46284</v>
      </c>
      <c r="I559" s="44">
        <v>46217</v>
      </c>
      <c r="J559" s="40"/>
      <c r="K559" s="40"/>
      <c r="L559" s="46"/>
      <c r="M559" s="46"/>
      <c r="N559" s="46"/>
      <c r="O559" s="45"/>
      <c r="P559" s="46"/>
      <c r="R559" s="47" t="str">
        <f>IF(AND($I559&lt;&gt;"",$I559&gt;=DATE(2026,6,23),COUNTIFS($C:$C,$C559,$I:$I,$I559)&gt;2),"⚠ "&amp;COUNTIFS($C:$C,$C559,$I:$I,$I559)&amp;" BAŞVURU!","")</f>
        <v/>
      </c>
    </row>
    <row r="560" spans="1:18" ht="63" x14ac:dyDescent="0.25">
      <c r="A560" s="39" t="s">
        <v>4595</v>
      </c>
      <c r="B560" s="39" t="s">
        <v>5693</v>
      </c>
      <c r="C560" s="40" t="s">
        <v>1275</v>
      </c>
      <c r="D560" s="40" t="s">
        <v>234</v>
      </c>
      <c r="E560" s="41" t="s">
        <v>5757</v>
      </c>
      <c r="F560" s="41" t="s">
        <v>5758</v>
      </c>
      <c r="G560" s="42" t="s">
        <v>34</v>
      </c>
      <c r="H560" s="44">
        <v>46284</v>
      </c>
      <c r="I560" s="44">
        <v>46217</v>
      </c>
      <c r="J560" s="40"/>
      <c r="K560" s="40"/>
      <c r="L560" s="46"/>
      <c r="M560" s="46"/>
      <c r="N560" s="46"/>
      <c r="O560" s="45"/>
      <c r="P560" s="46"/>
      <c r="R560" s="47" t="str">
        <f>IF(AND($I560&lt;&gt;"",$I560&gt;=DATE(2026,6,23),COUNTIFS($C:$C,$C560,$I:$I,$I560)&gt;2),"⚠ "&amp;COUNTIFS($C:$C,$C560,$I:$I,$I560)&amp;" BAŞVURU!","")</f>
        <v/>
      </c>
    </row>
    <row r="561" spans="1:18" ht="63" x14ac:dyDescent="0.25">
      <c r="A561" s="39" t="s">
        <v>4598</v>
      </c>
      <c r="B561" s="39" t="s">
        <v>5694</v>
      </c>
      <c r="C561" s="40" t="s">
        <v>980</v>
      </c>
      <c r="D561" s="40" t="s">
        <v>432</v>
      </c>
      <c r="E561" s="41" t="s">
        <v>5760</v>
      </c>
      <c r="F561" s="41" t="s">
        <v>5759</v>
      </c>
      <c r="G561" s="42" t="s">
        <v>34</v>
      </c>
      <c r="H561" s="44">
        <v>46284</v>
      </c>
      <c r="I561" s="44">
        <v>46217</v>
      </c>
      <c r="J561" s="40"/>
      <c r="K561" s="40"/>
      <c r="L561" s="46"/>
      <c r="M561" s="46"/>
      <c r="N561" s="46"/>
      <c r="O561" s="45"/>
      <c r="P561" s="46"/>
      <c r="R561" s="47" t="str">
        <f>IF(AND($I561&lt;&gt;"",$I561&gt;=DATE(2026,6,23),COUNTIFS($C:$C,$C561,$I:$I,$I561)&gt;2),"⚠ "&amp;COUNTIFS($C:$C,$C561,$I:$I,$I561)&amp;" BAŞVURU!","")</f>
        <v/>
      </c>
    </row>
    <row r="562" spans="1:18" ht="63" x14ac:dyDescent="0.25">
      <c r="A562" s="39" t="s">
        <v>4600</v>
      </c>
      <c r="B562" s="39" t="s">
        <v>5695</v>
      </c>
      <c r="C562" s="40" t="s">
        <v>65</v>
      </c>
      <c r="D562" s="40" t="s">
        <v>234</v>
      </c>
      <c r="E562" s="41" t="s">
        <v>5762</v>
      </c>
      <c r="F562" s="41" t="s">
        <v>5761</v>
      </c>
      <c r="G562" s="42" t="s">
        <v>34</v>
      </c>
      <c r="H562" s="44">
        <v>46284</v>
      </c>
      <c r="I562" s="44">
        <v>46217</v>
      </c>
      <c r="J562" s="40"/>
      <c r="K562" s="40"/>
      <c r="L562" s="46"/>
      <c r="M562" s="46"/>
      <c r="N562" s="46"/>
      <c r="O562" s="45"/>
      <c r="P562" s="46"/>
      <c r="R562" s="47" t="str">
        <f>IF(AND($I562&lt;&gt;"",$I562&gt;=DATE(2026,6,23),COUNTIFS($C:$C,$C562,$I:$I,$I562)&gt;2),"⚠ "&amp;COUNTIFS($C:$C,$C562,$I:$I,$I562)&amp;" BAŞVURU!","")</f>
        <v/>
      </c>
    </row>
    <row r="563" spans="1:18" ht="94.5" x14ac:dyDescent="0.25">
      <c r="A563" s="39" t="s">
        <v>4602</v>
      </c>
      <c r="B563" s="39" t="s">
        <v>5696</v>
      </c>
      <c r="C563" s="40" t="s">
        <v>5765</v>
      </c>
      <c r="D563" s="40" t="s">
        <v>115</v>
      </c>
      <c r="E563" s="41" t="s">
        <v>5763</v>
      </c>
      <c r="F563" s="41" t="s">
        <v>5764</v>
      </c>
      <c r="G563" s="42" t="s">
        <v>35</v>
      </c>
      <c r="H563" s="44">
        <v>46284</v>
      </c>
      <c r="I563" s="44">
        <v>46217</v>
      </c>
      <c r="J563" s="40"/>
      <c r="K563" s="40"/>
      <c r="L563" s="46"/>
      <c r="M563" s="46"/>
      <c r="N563" s="46"/>
      <c r="O563" s="45"/>
      <c r="P563" s="46"/>
      <c r="R563" s="47" t="str">
        <f>IF(AND($I563&lt;&gt;"",$I563&gt;=DATE(2026,6,23),COUNTIFS($C:$C,$C563,$I:$I,$I563)&gt;2),"⚠ "&amp;COUNTIFS($C:$C,$C563,$I:$I,$I563)&amp;" BAŞVURU!","")</f>
        <v/>
      </c>
    </row>
    <row r="564" spans="1:18" ht="63" x14ac:dyDescent="0.25">
      <c r="A564" s="39" t="s">
        <v>4604</v>
      </c>
      <c r="B564" s="39" t="s">
        <v>5697</v>
      </c>
      <c r="C564" s="40" t="s">
        <v>5767</v>
      </c>
      <c r="D564" s="40" t="s">
        <v>5768</v>
      </c>
      <c r="E564" s="41" t="s">
        <v>5769</v>
      </c>
      <c r="F564" s="41" t="s">
        <v>5766</v>
      </c>
      <c r="G564" s="42" t="s">
        <v>34</v>
      </c>
      <c r="H564" s="44">
        <v>46284</v>
      </c>
      <c r="I564" s="44">
        <v>46217</v>
      </c>
      <c r="J564" s="40"/>
      <c r="K564" s="40"/>
      <c r="L564" s="46"/>
      <c r="M564" s="46"/>
      <c r="N564" s="46"/>
      <c r="O564" s="45"/>
      <c r="P564" s="46"/>
      <c r="R564" s="47" t="str">
        <f>IF(AND($I564&lt;&gt;"",$I564&gt;=DATE(2026,6,23),COUNTIFS($C:$C,$C564,$I:$I,$I564)&gt;2),"⚠ "&amp;COUNTIFS($C:$C,$C564,$I:$I,$I564)&amp;" BAŞVURU!","")</f>
        <v/>
      </c>
    </row>
    <row r="565" spans="1:18" ht="63" x14ac:dyDescent="0.25">
      <c r="A565" s="39" t="s">
        <v>4606</v>
      </c>
      <c r="B565" s="39" t="s">
        <v>5698</v>
      </c>
      <c r="C565" s="40" t="s">
        <v>122</v>
      </c>
      <c r="D565" s="40" t="s">
        <v>107</v>
      </c>
      <c r="E565" s="41" t="s">
        <v>5770</v>
      </c>
      <c r="F565" s="41" t="s">
        <v>5771</v>
      </c>
      <c r="G565" s="42" t="s">
        <v>34</v>
      </c>
      <c r="H565" s="44">
        <v>46284</v>
      </c>
      <c r="I565" s="44">
        <v>46217</v>
      </c>
      <c r="J565" s="40"/>
      <c r="K565" s="40"/>
      <c r="L565" s="46"/>
      <c r="M565" s="46"/>
      <c r="N565" s="46"/>
      <c r="O565" s="45"/>
      <c r="P565" s="46"/>
      <c r="R565" s="47" t="str">
        <f>IF(AND($I565&lt;&gt;"",$I565&gt;=DATE(2026,6,23),COUNTIFS($C:$C,$C565,$I:$I,$I565)&gt;2),"⚠ "&amp;COUNTIFS($C:$C,$C565,$I:$I,$I565)&amp;" BAŞVURU!","")</f>
        <v/>
      </c>
    </row>
    <row r="566" spans="1:18" ht="63" x14ac:dyDescent="0.25">
      <c r="A566" s="39" t="s">
        <v>4608</v>
      </c>
      <c r="B566" s="39" t="s">
        <v>5699</v>
      </c>
      <c r="C566" s="40" t="s">
        <v>233</v>
      </c>
      <c r="D566" s="40" t="s">
        <v>234</v>
      </c>
      <c r="E566" s="41" t="s">
        <v>5773</v>
      </c>
      <c r="F566" s="41" t="s">
        <v>5772</v>
      </c>
      <c r="G566" s="42" t="s">
        <v>34</v>
      </c>
      <c r="H566" s="44">
        <v>46284</v>
      </c>
      <c r="I566" s="44">
        <v>46217</v>
      </c>
      <c r="J566" s="40"/>
      <c r="K566" s="40"/>
      <c r="L566" s="46"/>
      <c r="M566" s="46"/>
      <c r="N566" s="46"/>
      <c r="O566" s="45"/>
      <c r="P566" s="46"/>
      <c r="R566" s="47" t="str">
        <f>IF(AND($I566&lt;&gt;"",$I566&gt;=DATE(2026,6,23),COUNTIFS($C:$C,$C566,$I:$I,$I566)&gt;2),"⚠ "&amp;COUNTIFS($C:$C,$C566,$I:$I,$I566)&amp;" BAŞVURU!","")</f>
        <v/>
      </c>
    </row>
    <row r="567" spans="1:18" ht="78.75" x14ac:dyDescent="0.25">
      <c r="A567" s="39" t="s">
        <v>4610</v>
      </c>
      <c r="B567" s="39" t="s">
        <v>5700</v>
      </c>
      <c r="C567" s="40" t="s">
        <v>5776</v>
      </c>
      <c r="D567" s="40" t="s">
        <v>234</v>
      </c>
      <c r="E567" s="41" t="s">
        <v>5774</v>
      </c>
      <c r="F567" s="41" t="s">
        <v>5775</v>
      </c>
      <c r="G567" s="42" t="s">
        <v>34</v>
      </c>
      <c r="H567" s="44">
        <v>46284</v>
      </c>
      <c r="I567" s="44">
        <v>46217</v>
      </c>
      <c r="J567" s="40"/>
      <c r="K567" s="40"/>
      <c r="L567" s="46"/>
      <c r="M567" s="46"/>
      <c r="N567" s="46"/>
      <c r="O567" s="45"/>
      <c r="P567" s="46"/>
      <c r="R567" s="47" t="str">
        <f>IF(AND($I567&lt;&gt;"",$I567&gt;=DATE(2026,6,23),COUNTIFS($C:$C,$C567,$I:$I,$I567)&gt;2),"⚠ "&amp;COUNTIFS($C:$C,$C567,$I:$I,$I567)&amp;" BAŞVURU!","")</f>
        <v/>
      </c>
    </row>
    <row r="568" spans="1:18" ht="110.25" customHeight="1" x14ac:dyDescent="0.25">
      <c r="A568" s="39" t="s">
        <v>4612</v>
      </c>
      <c r="B568" s="39" t="s">
        <v>5701</v>
      </c>
      <c r="C568" s="40" t="s">
        <v>837</v>
      </c>
      <c r="D568" s="40" t="s">
        <v>234</v>
      </c>
      <c r="E568" s="41" t="s">
        <v>5777</v>
      </c>
      <c r="F568" s="41" t="s">
        <v>5778</v>
      </c>
      <c r="G568" s="42" t="s">
        <v>34</v>
      </c>
      <c r="H568" s="44">
        <v>46284</v>
      </c>
      <c r="I568" s="44">
        <v>46217</v>
      </c>
      <c r="J568" s="40"/>
      <c r="K568" s="40"/>
      <c r="L568" s="46"/>
      <c r="M568" s="46"/>
      <c r="N568" s="46"/>
      <c r="O568" s="45"/>
      <c r="P568" s="46"/>
      <c r="R568" s="47" t="str">
        <f>IF(AND($I568&lt;&gt;"",$I568&gt;=DATE(2026,6,23),COUNTIFS($C:$C,$C568,$I:$I,$I568)&gt;2),"⚠ "&amp;COUNTIFS($C:$C,$C568,$I:$I,$I568)&amp;" BAŞVURU!","")</f>
        <v/>
      </c>
    </row>
    <row r="569" spans="1:18" ht="78.75" x14ac:dyDescent="0.25">
      <c r="A569" s="39" t="s">
        <v>4614</v>
      </c>
      <c r="B569" s="39" t="s">
        <v>5702</v>
      </c>
      <c r="C569" s="40" t="s">
        <v>828</v>
      </c>
      <c r="D569" s="40" t="s">
        <v>425</v>
      </c>
      <c r="E569" s="41" t="s">
        <v>5779</v>
      </c>
      <c r="F569" s="41" t="s">
        <v>5780</v>
      </c>
      <c r="G569" s="42" t="s">
        <v>36</v>
      </c>
      <c r="H569" s="44">
        <v>46195</v>
      </c>
      <c r="I569" s="44">
        <v>46217</v>
      </c>
      <c r="J569" s="40"/>
      <c r="K569" s="40"/>
      <c r="L569" s="46"/>
      <c r="M569" s="46"/>
      <c r="N569" s="46"/>
      <c r="O569" s="45"/>
      <c r="P569" s="46"/>
      <c r="R569" s="47" t="str">
        <f>IF(AND($I569&lt;&gt;"",$I569&gt;=DATE(2026,6,23),COUNTIFS($C:$C,$C569,$I:$I,$I569)&gt;2),"⚠ "&amp;COUNTIFS($C:$C,$C569,$I:$I,$I569)&amp;" BAŞVURU!","")</f>
        <v/>
      </c>
    </row>
    <row r="570" spans="1:18" ht="63" x14ac:dyDescent="0.25">
      <c r="A570" s="39" t="s">
        <v>4617</v>
      </c>
      <c r="B570" s="39" t="s">
        <v>5703</v>
      </c>
      <c r="C570" s="40" t="s">
        <v>5776</v>
      </c>
      <c r="D570" s="40" t="s">
        <v>234</v>
      </c>
      <c r="E570" s="41" t="s">
        <v>5781</v>
      </c>
      <c r="F570" s="41" t="s">
        <v>5782</v>
      </c>
      <c r="G570" s="42" t="s">
        <v>34</v>
      </c>
      <c r="H570" s="44">
        <v>46195</v>
      </c>
      <c r="I570" s="44">
        <v>46217</v>
      </c>
      <c r="J570" s="40"/>
      <c r="K570" s="40"/>
      <c r="L570" s="46"/>
      <c r="M570" s="46"/>
      <c r="N570" s="46"/>
      <c r="O570" s="45"/>
      <c r="P570" s="46"/>
      <c r="R570" s="47" t="str">
        <f>IF(AND($I570&lt;&gt;"",$I570&gt;=DATE(2026,6,23),COUNTIFS($C:$C,$C570,$I:$I,$I570)&gt;2),"⚠ "&amp;COUNTIFS($C:$C,$C570,$I:$I,$I570)&amp;" BAŞVURU!","")</f>
        <v/>
      </c>
    </row>
    <row r="571" spans="1:18" ht="78.75" customHeight="1" x14ac:dyDescent="0.25">
      <c r="A571" s="39" t="s">
        <v>4619</v>
      </c>
      <c r="B571" s="39" t="s">
        <v>5704</v>
      </c>
      <c r="C571" s="40" t="s">
        <v>5785</v>
      </c>
      <c r="D571" s="40" t="s">
        <v>234</v>
      </c>
      <c r="E571" s="41" t="s">
        <v>5783</v>
      </c>
      <c r="F571" s="41" t="s">
        <v>5784</v>
      </c>
      <c r="G571" s="42" t="s">
        <v>34</v>
      </c>
      <c r="H571" s="44">
        <v>46195</v>
      </c>
      <c r="I571" s="44">
        <v>46217</v>
      </c>
      <c r="J571" s="40"/>
      <c r="K571" s="40"/>
      <c r="L571" s="46"/>
      <c r="M571" s="46"/>
      <c r="N571" s="46"/>
      <c r="O571" s="45"/>
      <c r="P571" s="46"/>
      <c r="R571" s="47" t="str">
        <f>IF(AND($I571&lt;&gt;"",$I571&gt;=DATE(2026,6,23),COUNTIFS($C:$C,$C571,$I:$I,$I571)&gt;2),"⚠ "&amp;COUNTIFS($C:$C,$C571,$I:$I,$I571)&amp;" BAŞVURU!","")</f>
        <v/>
      </c>
    </row>
    <row r="572" spans="1:18" ht="63" x14ac:dyDescent="0.25">
      <c r="A572" s="39" t="s">
        <v>4622</v>
      </c>
      <c r="B572" s="39" t="s">
        <v>5705</v>
      </c>
      <c r="C572" s="40" t="s">
        <v>1555</v>
      </c>
      <c r="D572" s="40" t="s">
        <v>248</v>
      </c>
      <c r="E572" s="41" t="s">
        <v>5786</v>
      </c>
      <c r="F572" s="41" t="s">
        <v>5787</v>
      </c>
      <c r="G572" s="42" t="s">
        <v>34</v>
      </c>
      <c r="H572" s="44">
        <v>46195</v>
      </c>
      <c r="I572" s="44">
        <v>46217</v>
      </c>
      <c r="J572" s="40"/>
      <c r="K572" s="40"/>
      <c r="L572" s="46"/>
      <c r="M572" s="46"/>
      <c r="N572" s="46"/>
      <c r="O572" s="45"/>
      <c r="P572" s="46"/>
      <c r="R572" s="47" t="str">
        <f>IF(AND($I572&lt;&gt;"",$I572&gt;=DATE(2026,6,23),COUNTIFS($C:$C,$C572,$I:$I,$I572)&gt;2),"⚠ "&amp;COUNTIFS($C:$C,$C572,$I:$I,$I572)&amp;" BAŞVURU!","")</f>
        <v/>
      </c>
    </row>
    <row r="573" spans="1:18" ht="79.5" customHeight="1" x14ac:dyDescent="0.25">
      <c r="A573" s="39" t="s">
        <v>4624</v>
      </c>
      <c r="B573" s="39" t="s">
        <v>5706</v>
      </c>
      <c r="C573" s="40" t="s">
        <v>424</v>
      </c>
      <c r="D573" s="40" t="s">
        <v>425</v>
      </c>
      <c r="E573" s="41" t="s">
        <v>5789</v>
      </c>
      <c r="F573" s="41" t="s">
        <v>5788</v>
      </c>
      <c r="G573" s="42" t="s">
        <v>34</v>
      </c>
      <c r="H573" s="44">
        <v>46195</v>
      </c>
      <c r="I573" s="44">
        <v>46217</v>
      </c>
      <c r="J573" s="40"/>
      <c r="K573" s="40"/>
      <c r="L573" s="46"/>
      <c r="M573" s="46"/>
      <c r="N573" s="46"/>
      <c r="O573" s="45"/>
      <c r="P573" s="46"/>
      <c r="R573" s="47" t="str">
        <f>IF(AND($I573&lt;&gt;"",$I573&gt;=DATE(2026,6,23),COUNTIFS($C:$C,$C573,$I:$I,$I573)&gt;2),"⚠ "&amp;COUNTIFS($C:$C,$C573,$I:$I,$I573)&amp;" BAŞVURU!","")</f>
        <v/>
      </c>
    </row>
    <row r="574" spans="1:18" ht="94.5" x14ac:dyDescent="0.25">
      <c r="A574" s="39" t="s">
        <v>4626</v>
      </c>
      <c r="B574" s="39" t="s">
        <v>5707</v>
      </c>
      <c r="C574" s="40" t="s">
        <v>1401</v>
      </c>
      <c r="D574" s="40" t="s">
        <v>234</v>
      </c>
      <c r="E574" s="41" t="s">
        <v>5790</v>
      </c>
      <c r="F574" s="41" t="s">
        <v>5791</v>
      </c>
      <c r="G574" s="42" t="s">
        <v>34</v>
      </c>
      <c r="H574" s="44">
        <v>46195</v>
      </c>
      <c r="I574" s="44">
        <v>46217</v>
      </c>
      <c r="J574" s="40"/>
      <c r="K574" s="40"/>
      <c r="L574" s="46"/>
      <c r="M574" s="46"/>
      <c r="N574" s="46"/>
      <c r="O574" s="45"/>
      <c r="P574" s="46"/>
      <c r="R574" s="47" t="str">
        <f>IF(AND($I574&lt;&gt;"",$I574&gt;=DATE(2026,6,23),COUNTIFS($C:$C,$C574,$I:$I,$I574)&gt;2),"⚠ "&amp;COUNTIFS($C:$C,$C574,$I:$I,$I574)&amp;" BAŞVURU!","")</f>
        <v/>
      </c>
    </row>
    <row r="575" spans="1:18" ht="78.75" x14ac:dyDescent="0.25">
      <c r="A575" s="39" t="s">
        <v>4629</v>
      </c>
      <c r="B575" s="39" t="s">
        <v>5708</v>
      </c>
      <c r="C575" s="40" t="s">
        <v>4171</v>
      </c>
      <c r="D575" s="40" t="s">
        <v>234</v>
      </c>
      <c r="E575" s="41" t="s">
        <v>5792</v>
      </c>
      <c r="F575" s="41" t="s">
        <v>5793</v>
      </c>
      <c r="G575" s="42" t="s">
        <v>34</v>
      </c>
      <c r="H575" s="44">
        <v>46195</v>
      </c>
      <c r="I575" s="44">
        <v>46217</v>
      </c>
      <c r="J575" s="40"/>
      <c r="K575" s="40"/>
      <c r="L575" s="46"/>
      <c r="M575" s="46"/>
      <c r="N575" s="46"/>
      <c r="O575" s="45"/>
      <c r="P575" s="46"/>
      <c r="R575" s="47" t="str">
        <f>IF(AND($I575&lt;&gt;"",$I575&gt;=DATE(2026,6,23),COUNTIFS($C:$C,$C575,$I:$I,$I575)&gt;2),"⚠ "&amp;COUNTIFS($C:$C,$C575,$I:$I,$I575)&amp;" BAŞVURU!","")</f>
        <v/>
      </c>
    </row>
    <row r="576" spans="1:18" ht="63" customHeight="1" x14ac:dyDescent="0.25">
      <c r="A576" s="39" t="s">
        <v>4631</v>
      </c>
      <c r="B576" s="39" t="s">
        <v>5709</v>
      </c>
      <c r="C576" s="40" t="s">
        <v>1459</v>
      </c>
      <c r="D576" s="40" t="s">
        <v>107</v>
      </c>
      <c r="E576" s="41" t="s">
        <v>5794</v>
      </c>
      <c r="F576" s="41" t="s">
        <v>5795</v>
      </c>
      <c r="G576" s="42" t="s">
        <v>34</v>
      </c>
      <c r="H576" s="44">
        <v>46195</v>
      </c>
      <c r="I576" s="44">
        <v>46217</v>
      </c>
      <c r="J576" s="40"/>
      <c r="K576" s="40"/>
      <c r="L576" s="46"/>
      <c r="M576" s="46"/>
      <c r="N576" s="46"/>
      <c r="O576" s="45"/>
      <c r="P576" s="46"/>
      <c r="R576" s="47" t="str">
        <f>IF(AND($I576&lt;&gt;"",$I576&gt;=DATE(2026,6,23),COUNTIFS($C:$C,$C576,$I:$I,$I576)&gt;2),"⚠ "&amp;COUNTIFS($C:$C,$C576,$I:$I,$I576)&amp;" BAŞVURU!","")</f>
        <v/>
      </c>
    </row>
    <row r="577" spans="1:18" ht="78.75" x14ac:dyDescent="0.25">
      <c r="A577" s="39" t="s">
        <v>4634</v>
      </c>
      <c r="B577" s="39" t="s">
        <v>5710</v>
      </c>
      <c r="C577" s="40" t="s">
        <v>739</v>
      </c>
      <c r="D577" s="40" t="s">
        <v>107</v>
      </c>
      <c r="E577" s="41" t="s">
        <v>5796</v>
      </c>
      <c r="F577" s="41" t="s">
        <v>5797</v>
      </c>
      <c r="G577" s="42" t="s">
        <v>35</v>
      </c>
      <c r="H577" s="44">
        <v>46195</v>
      </c>
      <c r="I577" s="44">
        <v>46217</v>
      </c>
      <c r="J577" s="40"/>
      <c r="K577" s="40"/>
      <c r="L577" s="46"/>
      <c r="M577" s="46"/>
      <c r="N577" s="46"/>
      <c r="O577" s="45"/>
      <c r="P577" s="46"/>
      <c r="R577" s="47" t="str">
        <f>IF(AND($I577&lt;&gt;"",$I577&gt;=DATE(2026,6,23),COUNTIFS($C:$C,$C577,$I:$I,$I577)&gt;2),"⚠ "&amp;COUNTIFS($C:$C,$C577,$I:$I,$I577)&amp;" BAŞVURU!","")</f>
        <v/>
      </c>
    </row>
    <row r="578" spans="1:18" ht="63" x14ac:dyDescent="0.25">
      <c r="A578" s="39" t="s">
        <v>4636</v>
      </c>
      <c r="B578" s="39" t="s">
        <v>5711</v>
      </c>
      <c r="C578" s="40" t="s">
        <v>5799</v>
      </c>
      <c r="D578" s="40" t="s">
        <v>920</v>
      </c>
      <c r="E578" s="41" t="s">
        <v>5800</v>
      </c>
      <c r="F578" s="41" t="s">
        <v>5798</v>
      </c>
      <c r="G578" s="42" t="s">
        <v>34</v>
      </c>
      <c r="H578" s="44">
        <v>46195</v>
      </c>
      <c r="I578" s="44">
        <v>46217</v>
      </c>
      <c r="J578" s="40"/>
      <c r="K578" s="40"/>
      <c r="L578" s="46"/>
      <c r="M578" s="46"/>
      <c r="N578" s="46"/>
      <c r="O578" s="45"/>
      <c r="P578" s="46"/>
      <c r="R578" s="47" t="str">
        <f>IF(AND($I578&lt;&gt;"",$I578&gt;=DATE(2026,6,23),COUNTIFS($C:$C,$C578,$I:$I,$I578)&gt;2),"⚠ "&amp;COUNTIFS($C:$C,$C578,$I:$I,$I578)&amp;" BAŞVURU!","")</f>
        <v/>
      </c>
    </row>
    <row r="579" spans="1:18" ht="78.75" x14ac:dyDescent="0.25">
      <c r="A579" s="39" t="s">
        <v>4638</v>
      </c>
      <c r="B579" s="39" t="s">
        <v>5712</v>
      </c>
      <c r="C579" s="40" t="s">
        <v>1401</v>
      </c>
      <c r="D579" s="40" t="s">
        <v>234</v>
      </c>
      <c r="E579" s="41" t="s">
        <v>5674</v>
      </c>
      <c r="F579" s="41" t="s">
        <v>5664</v>
      </c>
      <c r="G579" s="42" t="s">
        <v>34</v>
      </c>
      <c r="H579" s="44">
        <v>46191</v>
      </c>
      <c r="I579" s="44">
        <v>46217</v>
      </c>
      <c r="J579" s="40"/>
      <c r="K579" s="40"/>
      <c r="L579" s="46"/>
      <c r="M579" s="46"/>
      <c r="N579" s="46"/>
      <c r="O579" s="45"/>
      <c r="P579" s="46"/>
      <c r="R579" s="47" t="str">
        <f>IF(AND($I579&lt;&gt;"",$I579&gt;=DATE(2026,6,23),COUNTIFS($C:$C,$C579,$I:$I,$I579)&gt;2),"⚠ "&amp;COUNTIFS($C:$C,$C579,$I:$I,$I579)&amp;" BAŞVURU!","")</f>
        <v/>
      </c>
    </row>
    <row r="580" spans="1:18" ht="15.75" x14ac:dyDescent="0.25">
      <c r="A580" s="39" t="s">
        <v>4640</v>
      </c>
      <c r="B580" s="39" t="s">
        <v>5713</v>
      </c>
      <c r="C580" s="40"/>
      <c r="D580" s="40"/>
      <c r="E580" s="41"/>
      <c r="F580" s="41"/>
      <c r="G580" s="42"/>
      <c r="H580" s="44"/>
      <c r="I580" s="44"/>
      <c r="J580" s="40"/>
      <c r="K580" s="40"/>
      <c r="L580" s="46"/>
      <c r="M580" s="46"/>
      <c r="N580" s="46"/>
      <c r="O580" s="45"/>
      <c r="P580" s="46"/>
      <c r="R580" s="47" t="str">
        <f>IF(AND($I580&lt;&gt;"",$I580&gt;=DATE(2026,6,23),COUNTIFS($C:$C,$C580,$I:$I,$I580)&gt;2),"⚠ "&amp;COUNTIFS($C:$C,$C580,$I:$I,$I580)&amp;" BAŞVURU!","")</f>
        <v/>
      </c>
    </row>
    <row r="581" spans="1:18" ht="15.75" x14ac:dyDescent="0.25">
      <c r="A581" s="39" t="s">
        <v>4642</v>
      </c>
      <c r="B581" s="39" t="s">
        <v>5714</v>
      </c>
      <c r="C581" s="40"/>
      <c r="D581" s="40"/>
      <c r="E581" s="41"/>
      <c r="F581" s="41"/>
      <c r="G581" s="42"/>
      <c r="H581" s="44"/>
      <c r="I581" s="44"/>
      <c r="J581" s="40"/>
      <c r="K581" s="40"/>
      <c r="L581" s="46"/>
      <c r="M581" s="46"/>
      <c r="N581" s="46"/>
      <c r="O581" s="45"/>
      <c r="P581" s="46"/>
      <c r="R581" s="47" t="str">
        <f>IF(AND($I581&lt;&gt;"",$I581&gt;=DATE(2026,6,23),COUNTIFS($C:$C,$C581,$I:$I,$I581)&gt;2),"⚠ "&amp;COUNTIFS($C:$C,$C581,$I:$I,$I581)&amp;" BAŞVURU!","")</f>
        <v/>
      </c>
    </row>
    <row r="582" spans="1:18" ht="15.75" x14ac:dyDescent="0.25">
      <c r="A582" s="39" t="s">
        <v>4644</v>
      </c>
      <c r="B582" s="39" t="s">
        <v>5715</v>
      </c>
      <c r="C582" s="40"/>
      <c r="D582" s="40"/>
      <c r="E582" s="41"/>
      <c r="F582" s="41"/>
      <c r="G582" s="42"/>
      <c r="H582" s="44"/>
      <c r="I582" s="44"/>
      <c r="J582" s="40"/>
      <c r="K582" s="40"/>
      <c r="L582" s="46"/>
      <c r="M582" s="46"/>
      <c r="N582" s="46"/>
      <c r="O582" s="45"/>
      <c r="P582" s="46"/>
      <c r="R582" s="47" t="str">
        <f>IF(AND($I582&lt;&gt;"",$I582&gt;=DATE(2026,6,23),COUNTIFS($C:$C,$C582,$I:$I,$I582)&gt;2),"⚠ "&amp;COUNTIFS($C:$C,$C582,$I:$I,$I582)&amp;" BAŞVURU!","")</f>
        <v/>
      </c>
    </row>
    <row r="583" spans="1:18" ht="15.75" x14ac:dyDescent="0.25">
      <c r="A583" s="39" t="s">
        <v>4646</v>
      </c>
      <c r="B583" s="39" t="s">
        <v>5716</v>
      </c>
      <c r="C583" s="40"/>
      <c r="D583" s="40"/>
      <c r="E583" s="41"/>
      <c r="F583" s="41"/>
      <c r="G583" s="42"/>
      <c r="H583" s="44"/>
      <c r="I583" s="44"/>
      <c r="J583" s="40"/>
      <c r="K583" s="40"/>
      <c r="L583" s="46"/>
      <c r="M583" s="46"/>
      <c r="N583" s="46"/>
      <c r="O583" s="45"/>
      <c r="P583" s="46"/>
      <c r="R583" s="47" t="str">
        <f>IF(AND($I583&lt;&gt;"",$I583&gt;=DATE(2026,6,23),COUNTIFS($C:$C,$C583,$I:$I,$I583)&gt;2),"⚠ "&amp;COUNTIFS($C:$C,$C583,$I:$I,$I583)&amp;" BAŞVURU!","")</f>
        <v/>
      </c>
    </row>
    <row r="584" spans="1:18" ht="15.75" x14ac:dyDescent="0.25">
      <c r="A584" s="39" t="s">
        <v>4648</v>
      </c>
      <c r="B584" s="39" t="s">
        <v>5717</v>
      </c>
      <c r="C584" s="40"/>
      <c r="D584" s="40"/>
      <c r="E584" s="41"/>
      <c r="F584" s="41"/>
      <c r="G584" s="42"/>
      <c r="H584" s="44"/>
      <c r="I584" s="44"/>
      <c r="J584" s="40"/>
      <c r="K584" s="40"/>
      <c r="L584" s="46"/>
      <c r="M584" s="46"/>
      <c r="N584" s="46"/>
      <c r="O584" s="45"/>
      <c r="P584" s="46"/>
      <c r="R584" s="47" t="str">
        <f>IF(AND($I584&lt;&gt;"",$I584&gt;=DATE(2026,6,23),COUNTIFS($C:$C,$C584,$I:$I,$I584)&gt;2),"⚠ "&amp;COUNTIFS($C:$C,$C584,$I:$I,$I584)&amp;" BAŞVURU!","")</f>
        <v/>
      </c>
    </row>
    <row r="585" spans="1:18" ht="15.75" x14ac:dyDescent="0.25">
      <c r="A585" s="39" t="s">
        <v>4650</v>
      </c>
      <c r="B585" s="39" t="s">
        <v>5718</v>
      </c>
      <c r="C585" s="40"/>
      <c r="D585" s="40"/>
      <c r="E585" s="41"/>
      <c r="F585" s="41"/>
      <c r="G585" s="42"/>
      <c r="H585" s="44"/>
      <c r="I585" s="44"/>
      <c r="J585" s="40"/>
      <c r="K585" s="40"/>
      <c r="L585" s="46"/>
      <c r="M585" s="46"/>
      <c r="N585" s="46"/>
      <c r="O585" s="45"/>
      <c r="P585" s="46"/>
      <c r="R585" s="47" t="str">
        <f>IF(AND($I585&lt;&gt;"",$I585&gt;=DATE(2026,6,23),COUNTIFS($C:$C,$C585,$I:$I,$I585)&gt;2),"⚠ "&amp;COUNTIFS($C:$C,$C585,$I:$I,$I585)&amp;" BAŞVURU!","")</f>
        <v/>
      </c>
    </row>
    <row r="586" spans="1:18" ht="15.75" x14ac:dyDescent="0.25">
      <c r="A586" s="39" t="s">
        <v>4652</v>
      </c>
      <c r="B586" s="39" t="s">
        <v>5719</v>
      </c>
      <c r="C586" s="40"/>
      <c r="D586" s="40"/>
      <c r="E586" s="41"/>
      <c r="F586" s="41"/>
      <c r="G586" s="42"/>
      <c r="H586" s="44"/>
      <c r="I586" s="44"/>
      <c r="J586" s="40"/>
      <c r="K586" s="40"/>
      <c r="L586" s="46"/>
      <c r="M586" s="46"/>
      <c r="N586" s="46"/>
      <c r="O586" s="45"/>
      <c r="P586" s="46"/>
      <c r="R586" s="47" t="str">
        <f>IF(AND($I586&lt;&gt;"",$I586&gt;=DATE(2026,6,23),COUNTIFS($C:$C,$C586,$I:$I,$I586)&gt;2),"⚠ "&amp;COUNTIFS($C:$C,$C586,$I:$I,$I586)&amp;" BAŞVURU!","")</f>
        <v/>
      </c>
    </row>
    <row r="587" spans="1:18" ht="15.75" x14ac:dyDescent="0.25">
      <c r="A587" s="39" t="s">
        <v>4655</v>
      </c>
      <c r="B587" s="39" t="s">
        <v>5720</v>
      </c>
      <c r="C587" s="40"/>
      <c r="D587" s="40"/>
      <c r="E587" s="41"/>
      <c r="F587" s="41"/>
      <c r="G587" s="42"/>
      <c r="H587" s="44"/>
      <c r="I587" s="44"/>
      <c r="J587" s="40"/>
      <c r="K587" s="40"/>
      <c r="L587" s="46"/>
      <c r="M587" s="46"/>
      <c r="N587" s="46"/>
      <c r="O587" s="45"/>
      <c r="P587" s="46"/>
      <c r="R587" s="47" t="str">
        <f>IF(AND($I587&lt;&gt;"",$I587&gt;=DATE(2026,6,23),COUNTIFS($C:$C,$C587,$I:$I,$I587)&gt;2),"⚠ "&amp;COUNTIFS($C:$C,$C587,$I:$I,$I587)&amp;" BAŞVURU!","")</f>
        <v/>
      </c>
    </row>
    <row r="588" spans="1:18" ht="15.75" x14ac:dyDescent="0.25">
      <c r="A588" s="39" t="s">
        <v>4657</v>
      </c>
      <c r="B588" s="39" t="s">
        <v>5721</v>
      </c>
      <c r="C588" s="40"/>
      <c r="D588" s="40"/>
      <c r="E588" s="41"/>
      <c r="F588" s="41"/>
      <c r="G588" s="42"/>
      <c r="H588" s="44"/>
      <c r="I588" s="44"/>
      <c r="J588" s="40"/>
      <c r="K588" s="40"/>
      <c r="L588" s="46"/>
      <c r="M588" s="46"/>
      <c r="N588" s="46"/>
      <c r="O588" s="45"/>
      <c r="P588" s="46"/>
      <c r="R588" s="47" t="str">
        <f>IF(AND($I588&lt;&gt;"",$I588&gt;=DATE(2026,6,23),COUNTIFS($C:$C,$C588,$I:$I,$I588)&gt;2),"⚠ "&amp;COUNTIFS($C:$C,$C588,$I:$I,$I588)&amp;" BAŞVURU!","")</f>
        <v/>
      </c>
    </row>
    <row r="589" spans="1:18" ht="15.75" x14ac:dyDescent="0.25">
      <c r="A589" s="39" t="s">
        <v>4660</v>
      </c>
      <c r="B589" s="39" t="s">
        <v>5722</v>
      </c>
      <c r="C589" s="40"/>
      <c r="D589" s="40"/>
      <c r="E589" s="41"/>
      <c r="F589" s="41"/>
      <c r="G589" s="42"/>
      <c r="H589" s="44"/>
      <c r="I589" s="44"/>
      <c r="J589" s="40"/>
      <c r="K589" s="40"/>
      <c r="L589" s="46"/>
      <c r="M589" s="46"/>
      <c r="N589" s="46"/>
      <c r="O589" s="45"/>
      <c r="P589" s="46"/>
      <c r="R589" s="47" t="str">
        <f>IF(AND($I589&lt;&gt;"",$I589&gt;=DATE(2026,6,23),COUNTIFS($C:$C,$C589,$I:$I,$I589)&gt;2),"⚠ "&amp;COUNTIFS($C:$C,$C589,$I:$I,$I589)&amp;" BAŞVURU!","")</f>
        <v/>
      </c>
    </row>
    <row r="590" spans="1:18" ht="15.75" x14ac:dyDescent="0.25">
      <c r="A590" s="39" t="s">
        <v>4662</v>
      </c>
      <c r="B590" s="39" t="s">
        <v>5723</v>
      </c>
      <c r="C590" s="40"/>
      <c r="D590" s="40"/>
      <c r="E590" s="41"/>
      <c r="F590" s="41"/>
      <c r="G590" s="42"/>
      <c r="H590" s="44"/>
      <c r="I590" s="44"/>
      <c r="J590" s="40"/>
      <c r="K590" s="40"/>
      <c r="L590" s="46"/>
      <c r="M590" s="46"/>
      <c r="N590" s="46"/>
      <c r="O590" s="45"/>
      <c r="P590" s="46"/>
      <c r="R590" s="47" t="str">
        <f>IF(AND($I590&lt;&gt;"",$I590&gt;=DATE(2026,6,23),COUNTIFS($C:$C,$C590,$I:$I,$I590)&gt;2),"⚠ "&amp;COUNTIFS($C:$C,$C590,$I:$I,$I590)&amp;" BAŞVURU!","")</f>
        <v/>
      </c>
    </row>
    <row r="591" spans="1:18" ht="15.75" x14ac:dyDescent="0.25">
      <c r="A591" s="39" t="s">
        <v>4665</v>
      </c>
      <c r="B591" s="39" t="s">
        <v>5724</v>
      </c>
      <c r="C591" s="40"/>
      <c r="D591" s="40"/>
      <c r="E591" s="41"/>
      <c r="F591" s="41"/>
      <c r="G591" s="42"/>
      <c r="H591" s="44"/>
      <c r="I591" s="44"/>
      <c r="J591" s="40"/>
      <c r="K591" s="40"/>
      <c r="L591" s="46"/>
      <c r="M591" s="46"/>
      <c r="N591" s="46"/>
      <c r="O591" s="45"/>
      <c r="P591" s="46"/>
      <c r="R591" s="47" t="str">
        <f>IF(AND($I591&lt;&gt;"",$I591&gt;=DATE(2026,6,23),COUNTIFS($C:$C,$C591,$I:$I,$I591)&gt;2),"⚠ "&amp;COUNTIFS($C:$C,$C591,$I:$I,$I591)&amp;" BAŞVURU!","")</f>
        <v/>
      </c>
    </row>
    <row r="592" spans="1:18" ht="15.75" x14ac:dyDescent="0.25">
      <c r="A592" s="39" t="s">
        <v>4667</v>
      </c>
      <c r="B592" s="39" t="s">
        <v>5725</v>
      </c>
      <c r="C592" s="40"/>
      <c r="D592" s="40"/>
      <c r="E592" s="41"/>
      <c r="F592" s="41"/>
      <c r="G592" s="42"/>
      <c r="H592" s="44"/>
      <c r="I592" s="44"/>
      <c r="J592" s="40"/>
      <c r="K592" s="40"/>
      <c r="L592" s="46"/>
      <c r="M592" s="46"/>
      <c r="N592" s="46"/>
      <c r="O592" s="45"/>
      <c r="P592" s="46"/>
      <c r="R592" s="47" t="str">
        <f>IF(AND($I592&lt;&gt;"",$I592&gt;=DATE(2026,6,23),COUNTIFS($C:$C,$C592,$I:$I,$I592)&gt;2),"⚠ "&amp;COUNTIFS($C:$C,$C592,$I:$I,$I592)&amp;" BAŞVURU!","")</f>
        <v/>
      </c>
    </row>
    <row r="593" spans="1:18" ht="15.75" x14ac:dyDescent="0.25">
      <c r="A593" s="39" t="s">
        <v>4669</v>
      </c>
      <c r="B593" s="39" t="s">
        <v>5726</v>
      </c>
      <c r="C593" s="40"/>
      <c r="D593" s="40"/>
      <c r="E593" s="41"/>
      <c r="F593" s="41"/>
      <c r="G593" s="42"/>
      <c r="H593" s="44"/>
      <c r="I593" s="44"/>
      <c r="J593" s="40"/>
      <c r="K593" s="40"/>
      <c r="L593" s="46"/>
      <c r="M593" s="46"/>
      <c r="N593" s="46"/>
      <c r="O593" s="45"/>
      <c r="P593" s="46"/>
      <c r="R593" s="47" t="str">
        <f>IF(AND($I593&lt;&gt;"",$I593&gt;=DATE(2026,6,23),COUNTIFS($C:$C,$C593,$I:$I,$I593)&gt;2),"⚠ "&amp;COUNTIFS($C:$C,$C593,$I:$I,$I593)&amp;" BAŞVURU!","")</f>
        <v/>
      </c>
    </row>
    <row r="594" spans="1:18" ht="15.75" x14ac:dyDescent="0.25">
      <c r="A594" s="39" t="s">
        <v>4671</v>
      </c>
      <c r="B594" s="39" t="s">
        <v>5727</v>
      </c>
      <c r="C594" s="40"/>
      <c r="D594" s="40"/>
      <c r="E594" s="41"/>
      <c r="F594" s="41"/>
      <c r="G594" s="42"/>
      <c r="H594" s="44"/>
      <c r="I594" s="44"/>
      <c r="J594" s="40"/>
      <c r="K594" s="40"/>
      <c r="L594" s="46"/>
      <c r="M594" s="46"/>
      <c r="N594" s="46"/>
      <c r="O594" s="45"/>
      <c r="P594" s="46"/>
      <c r="R594" s="47" t="str">
        <f>IF(AND($I594&lt;&gt;"",$I594&gt;=DATE(2026,6,23),COUNTIFS($C:$C,$C594,$I:$I,$I594)&gt;2),"⚠ "&amp;COUNTIFS($C:$C,$C594,$I:$I,$I594)&amp;" BAŞVURU!","")</f>
        <v/>
      </c>
    </row>
    <row r="595" spans="1:18" ht="15.75" x14ac:dyDescent="0.25">
      <c r="A595" s="39" t="s">
        <v>4673</v>
      </c>
      <c r="B595" s="39" t="s">
        <v>5728</v>
      </c>
      <c r="C595" s="40"/>
      <c r="D595" s="40"/>
      <c r="E595" s="41"/>
      <c r="F595" s="41"/>
      <c r="G595" s="42"/>
      <c r="H595" s="44"/>
      <c r="I595" s="44"/>
      <c r="J595" s="40"/>
      <c r="K595" s="40"/>
      <c r="L595" s="46"/>
      <c r="M595" s="46"/>
      <c r="N595" s="46"/>
      <c r="O595" s="45"/>
      <c r="P595" s="46"/>
      <c r="R595" s="47" t="str">
        <f>IF(AND($I595&lt;&gt;"",$I595&gt;=DATE(2026,6,23),COUNTIFS($C:$C,$C595,$I:$I,$I595)&gt;2),"⚠ "&amp;COUNTIFS($C:$C,$C595,$I:$I,$I595)&amp;" BAŞVURU!","")</f>
        <v/>
      </c>
    </row>
    <row r="596" spans="1:18" ht="15.75" x14ac:dyDescent="0.25">
      <c r="A596" s="39" t="s">
        <v>4675</v>
      </c>
      <c r="B596" s="39" t="s">
        <v>5729</v>
      </c>
      <c r="C596" s="40"/>
      <c r="D596" s="40"/>
      <c r="E596" s="41"/>
      <c r="F596" s="41"/>
      <c r="G596" s="42"/>
      <c r="H596" s="44"/>
      <c r="I596" s="44"/>
      <c r="J596" s="40"/>
      <c r="K596" s="40"/>
      <c r="L596" s="46"/>
      <c r="M596" s="46"/>
      <c r="N596" s="46"/>
      <c r="O596" s="45"/>
      <c r="P596" s="46"/>
      <c r="R596" s="47" t="str">
        <f>IF(AND($I596&lt;&gt;"",$I596&gt;=DATE(2026,6,23),COUNTIFS($C:$C,$C596,$I:$I,$I596)&gt;2),"⚠ "&amp;COUNTIFS($C:$C,$C596,$I:$I,$I596)&amp;" BAŞVURU!","")</f>
        <v/>
      </c>
    </row>
    <row r="597" spans="1:18" ht="15.75" x14ac:dyDescent="0.25">
      <c r="A597" s="39" t="s">
        <v>4678</v>
      </c>
      <c r="B597" s="39" t="s">
        <v>5730</v>
      </c>
      <c r="C597" s="40"/>
      <c r="D597" s="40"/>
      <c r="E597" s="41"/>
      <c r="F597" s="41"/>
      <c r="G597" s="42"/>
      <c r="H597" s="44"/>
      <c r="I597" s="44"/>
      <c r="J597" s="40"/>
      <c r="K597" s="40"/>
      <c r="L597" s="46"/>
      <c r="M597" s="46"/>
      <c r="N597" s="46"/>
      <c r="O597" s="45"/>
      <c r="P597" s="46"/>
      <c r="R597" s="47" t="str">
        <f>IF(AND($I597&lt;&gt;"",$I597&gt;=DATE(2026,6,23),COUNTIFS($C:$C,$C597,$I:$I,$I597)&gt;2),"⚠ "&amp;COUNTIFS($C:$C,$C597,$I:$I,$I597)&amp;" BAŞVURU!","")</f>
        <v/>
      </c>
    </row>
    <row r="598" spans="1:18" ht="15.75" x14ac:dyDescent="0.25">
      <c r="A598" s="39" t="s">
        <v>4681</v>
      </c>
      <c r="B598" s="39" t="s">
        <v>5731</v>
      </c>
      <c r="C598" s="40"/>
      <c r="D598" s="40"/>
      <c r="E598" s="41"/>
      <c r="F598" s="41"/>
      <c r="G598" s="42"/>
      <c r="H598" s="44"/>
      <c r="I598" s="44"/>
      <c r="J598" s="40"/>
      <c r="K598" s="40"/>
      <c r="L598" s="46"/>
      <c r="M598" s="46"/>
      <c r="N598" s="46"/>
      <c r="O598" s="45"/>
      <c r="P598" s="46"/>
      <c r="R598" s="47" t="str">
        <f>IF(AND($I598&lt;&gt;"",$I598&gt;=DATE(2026,6,23),COUNTIFS($C:$C,$C598,$I:$I,$I598)&gt;2),"⚠ "&amp;COUNTIFS($C:$C,$C598,$I:$I,$I598)&amp;" BAŞVURU!","")</f>
        <v/>
      </c>
    </row>
    <row r="599" spans="1:18" ht="15.75" x14ac:dyDescent="0.25">
      <c r="A599" s="39" t="s">
        <v>4683</v>
      </c>
      <c r="B599" s="39" t="s">
        <v>5732</v>
      </c>
      <c r="C599" s="40"/>
      <c r="D599" s="40"/>
      <c r="E599" s="41"/>
      <c r="F599" s="41"/>
      <c r="G599" s="42"/>
      <c r="H599" s="44"/>
      <c r="I599" s="44"/>
      <c r="J599" s="40"/>
      <c r="K599" s="40"/>
      <c r="L599" s="46"/>
      <c r="M599" s="46"/>
      <c r="N599" s="46"/>
      <c r="O599" s="45"/>
      <c r="P599" s="46"/>
      <c r="R599" s="47" t="str">
        <f>IF(AND($I599&lt;&gt;"",$I599&gt;=DATE(2026,6,23),COUNTIFS($C:$C,$C599,$I:$I,$I599)&gt;2),"⚠ "&amp;COUNTIFS($C:$C,$C599,$I:$I,$I599)&amp;" BAŞVURU!","")</f>
        <v/>
      </c>
    </row>
    <row r="600" spans="1:18" ht="15.75" x14ac:dyDescent="0.25">
      <c r="A600" s="39" t="s">
        <v>4685</v>
      </c>
      <c r="B600" s="39" t="s">
        <v>5733</v>
      </c>
      <c r="C600" s="40"/>
      <c r="D600" s="40"/>
      <c r="E600" s="41"/>
      <c r="F600" s="41"/>
      <c r="G600" s="42"/>
      <c r="H600" s="44"/>
      <c r="I600" s="44"/>
      <c r="J600" s="40"/>
      <c r="K600" s="40"/>
      <c r="L600" s="46"/>
      <c r="M600" s="46"/>
      <c r="N600" s="46"/>
      <c r="O600" s="45"/>
      <c r="P600" s="46"/>
      <c r="R600" s="47" t="str">
        <f>IF(AND($I600&lt;&gt;"",$I600&gt;=DATE(2026,6,23),COUNTIFS($C:$C,$C600,$I:$I,$I600)&gt;2),"⚠ "&amp;COUNTIFS($C:$C,$C600,$I:$I,$I600)&amp;" BAŞVURU!","")</f>
        <v/>
      </c>
    </row>
    <row r="601" spans="1:18" ht="15.75" x14ac:dyDescent="0.25">
      <c r="A601" s="39" t="s">
        <v>4688</v>
      </c>
      <c r="B601" s="39" t="s">
        <v>5734</v>
      </c>
      <c r="C601" s="40"/>
      <c r="D601" s="40"/>
      <c r="E601" s="41"/>
      <c r="F601" s="41"/>
      <c r="G601" s="42"/>
      <c r="H601" s="44"/>
      <c r="I601" s="44"/>
      <c r="J601" s="40"/>
      <c r="K601" s="40"/>
      <c r="L601" s="46"/>
      <c r="M601" s="46"/>
      <c r="N601" s="46"/>
      <c r="O601" s="45"/>
      <c r="P601" s="46"/>
      <c r="R601" s="47" t="str">
        <f>IF(AND($I601&lt;&gt;"",$I601&gt;=DATE(2026,6,23),COUNTIFS($C:$C,$C601,$I:$I,$I601)&gt;2),"⚠ "&amp;COUNTIFS($C:$C,$C601,$I:$I,$I601)&amp;" BAŞVURU!","")</f>
        <v/>
      </c>
    </row>
    <row r="602" spans="1:18" ht="15.75" x14ac:dyDescent="0.25">
      <c r="A602" s="39" t="s">
        <v>4690</v>
      </c>
      <c r="B602" s="39" t="s">
        <v>5735</v>
      </c>
      <c r="C602" s="40"/>
      <c r="D602" s="40"/>
      <c r="E602" s="41"/>
      <c r="F602" s="41"/>
      <c r="G602" s="42"/>
      <c r="H602" s="44"/>
      <c r="I602" s="44"/>
      <c r="J602" s="40"/>
      <c r="K602" s="40"/>
      <c r="L602" s="46"/>
      <c r="M602" s="46"/>
      <c r="N602" s="46"/>
      <c r="O602" s="45"/>
      <c r="P602" s="46"/>
      <c r="R602" s="47" t="str">
        <f>IF(AND($I602&lt;&gt;"",$I602&gt;=DATE(2026,6,23),COUNTIFS($C:$C,$C602,$I:$I,$I602)&gt;2),"⚠ "&amp;COUNTIFS($C:$C,$C602,$I:$I,$I602)&amp;" BAŞVURU!","")</f>
        <v/>
      </c>
    </row>
    <row r="603" spans="1:18" ht="15.75" x14ac:dyDescent="0.25">
      <c r="A603" s="39" t="s">
        <v>4692</v>
      </c>
      <c r="B603" s="39" t="s">
        <v>5736</v>
      </c>
      <c r="C603" s="40"/>
      <c r="D603" s="40"/>
      <c r="E603" s="41"/>
      <c r="F603" s="41"/>
      <c r="G603" s="42"/>
      <c r="H603" s="44"/>
      <c r="I603" s="44"/>
      <c r="J603" s="40"/>
      <c r="K603" s="40"/>
      <c r="L603" s="46"/>
      <c r="M603" s="46"/>
      <c r="N603" s="46"/>
      <c r="O603" s="45"/>
      <c r="P603" s="46"/>
      <c r="R603" s="47" t="str">
        <f>IF(AND($I603&lt;&gt;"",$I603&gt;=DATE(2026,6,23),COUNTIFS($C:$C,$C603,$I:$I,$I603)&gt;2),"⚠ "&amp;COUNTIFS($C:$C,$C603,$I:$I,$I603)&amp;" BAŞVURU!","")</f>
        <v/>
      </c>
    </row>
    <row r="604" spans="1:18" ht="15.75" customHeight="1" x14ac:dyDescent="0.25">
      <c r="A604" s="39" t="s">
        <v>4694</v>
      </c>
      <c r="B604" s="39" t="s">
        <v>5737</v>
      </c>
      <c r="C604" s="40"/>
      <c r="D604" s="40"/>
      <c r="E604" s="41"/>
      <c r="F604" s="41"/>
      <c r="G604" s="42"/>
      <c r="H604" s="44"/>
      <c r="I604" s="44"/>
      <c r="J604" s="40"/>
      <c r="K604" s="40"/>
      <c r="L604" s="46"/>
      <c r="M604" s="46"/>
      <c r="N604" s="46"/>
      <c r="O604" s="45"/>
      <c r="P604" s="46"/>
      <c r="R604" s="47" t="str">
        <f>IF(AND($I604&lt;&gt;"",$I604&gt;=DATE(2026,6,23),COUNTIFS($C:$C,$C604,$I:$I,$I604)&gt;2),"⚠ "&amp;COUNTIFS($C:$C,$C604,$I:$I,$I604)&amp;" BAŞVURU!","")</f>
        <v/>
      </c>
    </row>
    <row r="605" spans="1:18" ht="15.75" customHeight="1" x14ac:dyDescent="0.25">
      <c r="A605" s="39" t="s">
        <v>4696</v>
      </c>
      <c r="B605" s="39" t="s">
        <v>5738</v>
      </c>
      <c r="C605" s="40"/>
      <c r="D605" s="40"/>
      <c r="E605" s="41"/>
      <c r="F605" s="41"/>
      <c r="G605" s="42"/>
      <c r="H605" s="44"/>
      <c r="I605" s="44"/>
      <c r="J605" s="40"/>
      <c r="K605" s="40"/>
      <c r="L605" s="46"/>
      <c r="M605" s="46"/>
      <c r="N605" s="46"/>
      <c r="O605" s="45"/>
      <c r="P605" s="46"/>
      <c r="R605" s="47" t="str">
        <f>IF(AND($I605&lt;&gt;"",$I605&gt;=DATE(2026,6,23),COUNTIFS($C:$C,$C605,$I:$I,$I605)&gt;2),"⚠ "&amp;COUNTIFS($C:$C,$C605,$I:$I,$I605)&amp;" BAŞVURU!","")</f>
        <v/>
      </c>
    </row>
    <row r="606" spans="1:18" ht="15.75" customHeight="1" x14ac:dyDescent="0.25">
      <c r="A606" s="39" t="s">
        <v>4698</v>
      </c>
      <c r="B606" s="39" t="s">
        <v>5739</v>
      </c>
      <c r="C606" s="40"/>
      <c r="D606" s="40"/>
      <c r="E606" s="41"/>
      <c r="F606" s="41"/>
      <c r="G606" s="42"/>
      <c r="H606" s="44"/>
      <c r="I606" s="44"/>
      <c r="J606" s="40"/>
      <c r="K606" s="40"/>
      <c r="L606" s="46"/>
      <c r="M606" s="46"/>
      <c r="N606" s="46"/>
      <c r="O606" s="45"/>
      <c r="P606" s="46"/>
      <c r="R606" s="47" t="str">
        <f>IF(AND($I606&lt;&gt;"",$I606&gt;=DATE(2026,6,23),COUNTIFS($C:$C,$C606,$I:$I,$I606)&gt;2),"⚠ "&amp;COUNTIFS($C:$C,$C606,$I:$I,$I606)&amp;" BAŞVURU!","")</f>
        <v/>
      </c>
    </row>
    <row r="607" spans="1:18" ht="15.75" customHeight="1" x14ac:dyDescent="0.25">
      <c r="A607" s="39" t="s">
        <v>4700</v>
      </c>
      <c r="B607" s="39" t="s">
        <v>5740</v>
      </c>
      <c r="C607" s="40"/>
      <c r="D607" s="40"/>
      <c r="E607" s="41"/>
      <c r="F607" s="41"/>
      <c r="G607" s="42"/>
      <c r="H607" s="44"/>
      <c r="I607" s="44"/>
      <c r="J607" s="40"/>
      <c r="K607" s="40"/>
      <c r="L607" s="46"/>
      <c r="M607" s="46"/>
      <c r="N607" s="46"/>
      <c r="O607" s="45"/>
      <c r="P607" s="46">
        <f>IF(O607&lt;&gt;"",O607, IF(N607&lt;&gt;"",N607, IF(M607&lt;&gt;"",M607, L607)))</f>
        <v>0</v>
      </c>
      <c r="R607" s="47" t="str">
        <f>IF(AND($I607&lt;&gt;"",$I607&gt;=DATE(2026,6,23),COUNTIFS($C:$C,$C607,$I:$I,$I607)&gt;2),"⚠ "&amp;COUNTIFS($C:$C,$C607,$I:$I,$I607)&amp;" BAŞVURU!","")</f>
        <v/>
      </c>
    </row>
    <row r="608" spans="1:18" ht="15.75" customHeight="1" x14ac:dyDescent="0.25">
      <c r="A608" s="39" t="s">
        <v>4702</v>
      </c>
      <c r="B608" s="39" t="s">
        <v>5741</v>
      </c>
      <c r="C608" s="40"/>
      <c r="D608" s="40"/>
      <c r="E608" s="41"/>
      <c r="F608" s="41"/>
      <c r="G608" s="42"/>
      <c r="H608" s="44"/>
      <c r="I608" s="44"/>
      <c r="J608" s="40"/>
      <c r="K608" s="40"/>
      <c r="L608" s="46"/>
      <c r="M608" s="46"/>
      <c r="N608" s="46"/>
      <c r="O608" s="45"/>
      <c r="P608" s="46">
        <f>IF(O608&lt;&gt;"",O608, IF(N608&lt;&gt;"",N608, IF(M608&lt;&gt;"",M608, L608)))</f>
        <v>0</v>
      </c>
      <c r="R608" s="47" t="str">
        <f>IF(AND($I608&lt;&gt;"",$I608&gt;=DATE(2026,6,23),COUNTIFS($C:$C,$C608,$I:$I,$I608)&gt;2),"⚠ "&amp;COUNTIFS($C:$C,$C608,$I:$I,$I608)&amp;" BAŞVURU!","")</f>
        <v/>
      </c>
    </row>
    <row r="609" spans="1:18" ht="15.75" customHeight="1" x14ac:dyDescent="0.25">
      <c r="A609" s="39" t="s">
        <v>4704</v>
      </c>
      <c r="B609" s="39" t="s">
        <v>5742</v>
      </c>
      <c r="C609" s="40"/>
      <c r="D609" s="40"/>
      <c r="E609" s="41"/>
      <c r="F609" s="41"/>
      <c r="G609" s="42"/>
      <c r="H609" s="44"/>
      <c r="I609" s="44"/>
      <c r="J609" s="40"/>
      <c r="K609" s="40"/>
      <c r="L609" s="46"/>
      <c r="M609" s="46"/>
      <c r="N609" s="46"/>
      <c r="O609" s="45"/>
      <c r="P609" s="46">
        <f>IF(O609&lt;&gt;"",O609, IF(N609&lt;&gt;"",N609, IF(M609&lt;&gt;"",M609, L609)))</f>
        <v>0</v>
      </c>
      <c r="R609" s="47" t="str">
        <f>IF(AND($I609&lt;&gt;"",$I609&gt;=DATE(2026,6,23),COUNTIFS($C:$C,$C609,$I:$I,$I609)&gt;2),"⚠ "&amp;COUNTIFS($C:$C,$C609,$I:$I,$I609)&amp;" BAŞVURU!","")</f>
        <v/>
      </c>
    </row>
    <row r="610" spans="1:18" ht="15.75" customHeight="1" x14ac:dyDescent="0.25">
      <c r="C610" s="25"/>
      <c r="D610" s="25"/>
      <c r="E610" s="54"/>
      <c r="F610" s="54"/>
      <c r="G610" s="26"/>
      <c r="H610" s="55"/>
      <c r="I610" s="56"/>
      <c r="J610" s="25"/>
      <c r="K610" s="25"/>
      <c r="L610" s="29"/>
      <c r="M610" s="29"/>
      <c r="N610" s="29"/>
      <c r="O610" s="29"/>
      <c r="R610" s="47" t="str">
        <f>IF(AND($I610&lt;&gt;"",$I610&gt;=DATE(2026,6,23),COUNTIFS($C:$C,$C610,$I:$I,$I610)&gt;2),"⚠ "&amp;COUNTIFS($C:$C,$C610,$I:$I,$I610)&amp;" BAŞVURU!","")</f>
        <v/>
      </c>
    </row>
    <row r="611" spans="1:18" ht="15.75" customHeight="1" x14ac:dyDescent="0.25">
      <c r="C611" s="25"/>
      <c r="D611" s="25"/>
      <c r="E611" s="54"/>
      <c r="F611" s="54"/>
      <c r="G611" s="26"/>
      <c r="H611" s="55"/>
      <c r="I611" s="56"/>
      <c r="J611" s="25"/>
      <c r="K611" s="25"/>
      <c r="L611" s="29"/>
      <c r="M611" s="29"/>
      <c r="N611" s="29"/>
      <c r="O611" s="29"/>
      <c r="R611" s="47" t="str">
        <f>IF(AND($I611&lt;&gt;"",$I611&gt;=DATE(2026,6,23),COUNTIFS($C:$C,$C611,$I:$I,$I611)&gt;2),"⚠ "&amp;COUNTIFS($C:$C,$C611,$I:$I,$I611)&amp;" BAŞVURU!","")</f>
        <v/>
      </c>
    </row>
    <row r="612" spans="1:18" ht="15.75" customHeight="1" x14ac:dyDescent="0.25">
      <c r="C612" s="25"/>
      <c r="D612" s="25"/>
      <c r="E612" s="54"/>
      <c r="F612" s="54"/>
      <c r="G612" s="26"/>
      <c r="H612" s="55"/>
      <c r="I612" s="56"/>
      <c r="J612" s="25"/>
      <c r="K612" s="25"/>
      <c r="L612" s="29"/>
      <c r="M612" s="29"/>
      <c r="N612" s="29"/>
      <c r="O612" s="29"/>
      <c r="R612" s="47" t="str">
        <f>IF(AND($I612&lt;&gt;"",$I612&gt;=DATE(2026,6,23),COUNTIFS($C:$C,$C612,$I:$I,$I612)&gt;2),"⚠ "&amp;COUNTIFS($C:$C,$C612,$I:$I,$I612)&amp;" BAŞVURU!","")</f>
        <v/>
      </c>
    </row>
    <row r="613" spans="1:18" ht="15.75" customHeight="1" x14ac:dyDescent="0.25">
      <c r="R613" s="47" t="str">
        <f>IF(AND($I613&lt;&gt;"",$I613&gt;=DATE(2026,6,23),COUNTIFS($C:$C,$C613,$I:$I,$I613)&gt;2),"⚠ "&amp;COUNTIFS($C:$C,$C613,$I:$I,$I613)&amp;" BAŞVURU!","")</f>
        <v/>
      </c>
    </row>
    <row r="614" spans="1:18" ht="31.5" customHeight="1" x14ac:dyDescent="0.25">
      <c r="F614" s="57" t="s">
        <v>2621</v>
      </c>
      <c r="K614" s="58" t="s">
        <v>66</v>
      </c>
      <c r="L614" s="59">
        <f>COUNTIF(L2:L609,"ONAY")</f>
        <v>266</v>
      </c>
      <c r="M614" s="60">
        <f>COUNTIF(M2:M609,"ONAY")</f>
        <v>108</v>
      </c>
      <c r="N614" s="59">
        <f>COUNTIF(N2:N609,"ONAY")</f>
        <v>15</v>
      </c>
      <c r="O614" s="61">
        <f>COUNTIF(O2:O609,"ONAY")</f>
        <v>1</v>
      </c>
      <c r="P614" s="60">
        <f>COUNTIF(P2:P609,"ONAY")</f>
        <v>390</v>
      </c>
      <c r="R614" s="47" t="str">
        <f>IF(AND($I614&lt;&gt;"",$I614&gt;=DATE(2026,6,23),COUNTIFS($C:$C,$C614,$I:$I,$I614)&gt;2),"⚠ "&amp;COUNTIFS($C:$C,$C614,$I:$I,$I614)&amp;" BAŞVURU!","")</f>
        <v/>
      </c>
    </row>
    <row r="615" spans="1:18" ht="31.5" customHeight="1" x14ac:dyDescent="0.25">
      <c r="F615" s="57" t="s">
        <v>2622</v>
      </c>
      <c r="K615" s="62" t="s">
        <v>93</v>
      </c>
      <c r="L615" s="63">
        <f>COUNTIF(L2:L609,"DÜZELTME")</f>
        <v>165</v>
      </c>
      <c r="M615" s="64">
        <f>COUNTIF(M2:M609,"DÜZELTME")</f>
        <v>23</v>
      </c>
      <c r="N615" s="63">
        <f>COUNTIF(N2:N609,"DÜZELTME")</f>
        <v>3</v>
      </c>
      <c r="O615" s="64">
        <f>COUNTIF(O2:O609,"DÜZELTME")</f>
        <v>0</v>
      </c>
      <c r="P615" s="65">
        <f>COUNTIF(P2:P609,"DÜZELTME")</f>
        <v>56</v>
      </c>
      <c r="R615" s="47" t="str">
        <f>IF(AND($I615&lt;&gt;"",$I615&gt;=DATE(2026,6,23),COUNTIFS($C:$C,$C615,$I:$I,$I615)&gt;2),"⚠ "&amp;COUNTIFS($C:$C,$C615,$I:$I,$I615)&amp;" BAŞVURU!","")</f>
        <v/>
      </c>
    </row>
    <row r="616" spans="1:18" ht="47.25" customHeight="1" x14ac:dyDescent="0.25">
      <c r="F616" s="57" t="s">
        <v>2623</v>
      </c>
      <c r="K616" s="66" t="s">
        <v>229</v>
      </c>
      <c r="L616" s="67">
        <f>COUNTIF(L2:L609,"KAEK")</f>
        <v>7</v>
      </c>
      <c r="M616" s="68">
        <f>COUNTIF(M2:M609,"KAEK")</f>
        <v>1</v>
      </c>
      <c r="N616" s="67">
        <f>COUNTIF(N2:N609,"KAEK")</f>
        <v>0</v>
      </c>
      <c r="O616" s="68">
        <f>COUNTIF(O2:O609,"KAEK")</f>
        <v>0</v>
      </c>
      <c r="P616" s="68">
        <f>COUNTIF(P2:P609,"KAEK")</f>
        <v>8</v>
      </c>
      <c r="R616" s="47" t="str">
        <f>IF(AND($I616&lt;&gt;"",$I616&gt;=DATE(2026,6,23),COUNTIFS($C:$C,$C616,$I:$I,$I616)&gt;2),"⚠ "&amp;COUNTIFS($C:$C,$C616,$I:$I,$I616)&amp;" BAŞVURU!","")</f>
        <v/>
      </c>
    </row>
    <row r="617" spans="1:18" ht="63" customHeight="1" x14ac:dyDescent="0.25">
      <c r="F617" s="57" t="s">
        <v>2624</v>
      </c>
      <c r="K617" s="69" t="s">
        <v>215</v>
      </c>
      <c r="L617" s="70">
        <f>COUNTIF(L2:L609,"GÖRÜŞ")</f>
        <v>23</v>
      </c>
      <c r="M617" s="71">
        <f>COUNTIF(M2:M609,"GÖRÜŞ")</f>
        <v>6</v>
      </c>
      <c r="N617" s="70">
        <f>COUNTIF(N2:N609,"GÖRÜŞ")</f>
        <v>0</v>
      </c>
      <c r="O617" s="71">
        <f>COUNTIF(O2:O609,"GÖRÜŞ")</f>
        <v>0</v>
      </c>
      <c r="P617" s="71">
        <f>COUNTIF(P2:P609,"GÖRÜŞ")</f>
        <v>5</v>
      </c>
      <c r="R617" s="47" t="str">
        <f>IF(AND($I617&lt;&gt;"",$I617&gt;=DATE(2026,6,23),COUNTIFS($C:$C,$C617,$I:$I,$I617)&gt;2),"⚠ "&amp;COUNTIFS($C:$C,$C617,$I:$I,$I617)&amp;" BAŞVURU!","")</f>
        <v/>
      </c>
    </row>
    <row r="618" spans="1:18" ht="47.25" customHeight="1" x14ac:dyDescent="0.25">
      <c r="F618" s="57" t="s">
        <v>2625</v>
      </c>
      <c r="K618" s="72" t="s">
        <v>153</v>
      </c>
      <c r="L618" s="73">
        <f>COUNTIF(L2:L609,"KAPSAM DIŞI")</f>
        <v>7</v>
      </c>
      <c r="M618" s="74">
        <f>COUNTIF(M2:M609,"KAPSAM DIŞI")</f>
        <v>1</v>
      </c>
      <c r="N618" s="73">
        <f>COUNTIF(N2:N609,"KAPSAM DIŞI")</f>
        <v>0</v>
      </c>
      <c r="O618" s="74">
        <f>COUNTIF(O2:O609,"KAPSAM DIŞI")</f>
        <v>0</v>
      </c>
      <c r="P618" s="74">
        <f>COUNTIF(P2:P609,"KAPSAM DIŞI")</f>
        <v>8</v>
      </c>
      <c r="R618" s="47" t="str">
        <f>IF(AND($I618&lt;&gt;"",$I618&gt;=DATE(2026,6,23),COUNTIFS($C:$C,$C618,$I:$I,$I618)&gt;2),"⚠ "&amp;COUNTIFS($C:$C,$C618,$I:$I,$I618)&amp;" BAŞVURU!","")</f>
        <v/>
      </c>
    </row>
    <row r="619" spans="1:18" ht="31.5" customHeight="1" x14ac:dyDescent="0.25">
      <c r="F619" s="57" t="s">
        <v>2626</v>
      </c>
      <c r="K619" s="75" t="s">
        <v>175</v>
      </c>
      <c r="L619" s="76">
        <f>COUNTIF(L2:L609,"RET")</f>
        <v>18</v>
      </c>
      <c r="M619" s="77">
        <f>COUNTIF(M2:M609,"RET")</f>
        <v>1</v>
      </c>
      <c r="N619" s="76">
        <f>COUNTIF(N2:N609,"RET")</f>
        <v>0</v>
      </c>
      <c r="O619" s="77">
        <f>COUNTIF(O2:O609,"RET")</f>
        <v>0</v>
      </c>
      <c r="P619" s="77">
        <f>COUNTIF(P2:P609,"RET")</f>
        <v>15</v>
      </c>
      <c r="R619" s="47" t="str">
        <f>IF(AND($I619&lt;&gt;"",$I619&gt;=DATE(2026,6,23),COUNTIFS($C:$C,$C619,$I:$I,$I619)&gt;2),"⚠ "&amp;COUNTIFS($C:$C,$C619,$I:$I,$I619)&amp;" BAŞVURU!","")</f>
        <v/>
      </c>
    </row>
    <row r="620" spans="1:18" ht="31.5" customHeight="1" x14ac:dyDescent="0.25">
      <c r="F620" s="57" t="s">
        <v>2627</v>
      </c>
      <c r="K620" s="78" t="s">
        <v>428</v>
      </c>
      <c r="L620" s="79">
        <f>COUNTIF(L2:L609,"GERİ ÇEKİLDİ")</f>
        <v>0</v>
      </c>
      <c r="M620" s="80">
        <f>COUNTIF(M2:M609,"GERİ ÇEKİLDİ")</f>
        <v>4</v>
      </c>
      <c r="N620" s="79">
        <f>COUNTIF(N2:N609,"GERİ ÇEKİLDİ")</f>
        <v>0</v>
      </c>
      <c r="O620" s="80">
        <f>COUNTIF(O2:O609,"GERİ ÇEKİLDİ")</f>
        <v>0</v>
      </c>
      <c r="P620" s="80">
        <f>COUNTIF(P2:P609,"GERİ ÇEKİLDİ")</f>
        <v>4</v>
      </c>
      <c r="R620" s="47" t="str">
        <f>IF(AND($I620&lt;&gt;"",$I620&gt;=DATE(2026,6,23),COUNTIFS($C:$C,$C620,$I:$I,$I620)&gt;2),"⚠ "&amp;COUNTIFS($C:$C,$C620,$I:$I,$I620)&amp;" BAŞVURU!","")</f>
        <v/>
      </c>
    </row>
    <row r="621" spans="1:18" ht="47.25" customHeight="1" x14ac:dyDescent="0.25">
      <c r="F621" s="57" t="s">
        <v>2628</v>
      </c>
      <c r="K621" s="81" t="s">
        <v>4</v>
      </c>
      <c r="L621" s="82">
        <f>SUM(L614:L620)</f>
        <v>486</v>
      </c>
      <c r="M621" s="83">
        <f>SUM(M614:M620)</f>
        <v>144</v>
      </c>
      <c r="N621" s="82">
        <f>SUM(N614:N620)</f>
        <v>18</v>
      </c>
      <c r="O621" s="83">
        <f>SUM(O614:O620)</f>
        <v>1</v>
      </c>
      <c r="P621" s="83">
        <f>SUM(P614:P620)</f>
        <v>486</v>
      </c>
      <c r="R621" s="47" t="str">
        <f>IF(AND($I621&lt;&gt;"",$I621&gt;=DATE(2026,6,23),COUNTIFS($C:$C,$C621,$I:$I,$I621)&gt;2),"⚠ "&amp;COUNTIFS($C:$C,$C621,$I:$I,$I621)&amp;" BAŞVURU!","")</f>
        <v/>
      </c>
    </row>
    <row r="622" spans="1:18" ht="31.5" customHeight="1" x14ac:dyDescent="0.25">
      <c r="F622" s="57" t="s">
        <v>2629</v>
      </c>
      <c r="R622" s="47" t="str">
        <f>IF(AND($I622&lt;&gt;"",$I622&gt;=DATE(2026,6,23),COUNTIFS($C:$C,$C622,$I:$I,$I622)&gt;2),"⚠ "&amp;COUNTIFS($C:$C,$C622,$I:$I,$I622)&amp;" BAŞVURU!","")</f>
        <v/>
      </c>
    </row>
    <row r="623" spans="1:18" ht="47.25" customHeight="1" x14ac:dyDescent="0.25">
      <c r="F623" s="57" t="s">
        <v>2630</v>
      </c>
      <c r="R623" s="47" t="str">
        <f>IF(AND($I623&lt;&gt;"",$I623&gt;=DATE(2026,6,23),COUNTIFS($C:$C,$C623,$I:$I,$I623)&gt;2),"⚠ "&amp;COUNTIFS($C:$C,$C623,$I:$I,$I623)&amp;" BAŞVURU!","")</f>
        <v/>
      </c>
    </row>
    <row r="624" spans="1:18" ht="63" customHeight="1" x14ac:dyDescent="0.25">
      <c r="F624" s="57" t="s">
        <v>2631</v>
      </c>
      <c r="L624" s="25">
        <f>COUNTIF(L2:L609,"")</f>
        <v>122</v>
      </c>
      <c r="R624" s="47" t="str">
        <f>IF(AND($I624&lt;&gt;"",$I624&gt;=DATE(2026,6,23),COUNTIFS($C:$C,$C624,$I:$I,$I624)&gt;2),"⚠ "&amp;COUNTIFS($C:$C,$C624,$I:$I,$I624)&amp;" BAŞVURU!","")</f>
        <v/>
      </c>
    </row>
    <row r="625" spans="6:18" ht="31.5" customHeight="1" x14ac:dyDescent="0.25">
      <c r="F625" s="57" t="s">
        <v>2632</v>
      </c>
      <c r="R625" s="47" t="str">
        <f>IF(AND($I625&lt;&gt;"",$I625&gt;=DATE(2026,6,23),COUNTIFS($C:$C,$C625,$I:$I,$I625)&gt;2),"⚠ "&amp;COUNTIFS($C:$C,$C625,$I:$I,$I625)&amp;" BAŞVURU!","")</f>
        <v/>
      </c>
    </row>
    <row r="626" spans="6:18" ht="31.5" customHeight="1" x14ac:dyDescent="0.25">
      <c r="F626" s="57" t="s">
        <v>2633</v>
      </c>
      <c r="L626" s="84" t="str">
        <f>IF(COUNTIF(L2:L609,"")&gt;0, "⚠ DİKKAT: Boş bırakılan alanlar var!", "✓ Tüm alanlar dolu")</f>
        <v>⚠ DİKKAT: Boş bırakılan alanlar var!</v>
      </c>
      <c r="M626" s="84"/>
      <c r="R626" s="47" t="str">
        <f>IF(AND($I626&lt;&gt;"",$I626&gt;=DATE(2026,6,23),COUNTIFS($C:$C,$C626,$I:$I,$I626)&gt;2),"⚠ "&amp;COUNTIFS($C:$C,$C626,$I:$I,$I626)&amp;" BAŞVURU!","")</f>
        <v/>
      </c>
    </row>
    <row r="627" spans="6:18" ht="31.5" customHeight="1" x14ac:dyDescent="0.25">
      <c r="F627" s="57" t="s">
        <v>2634</v>
      </c>
      <c r="M627" s="84"/>
      <c r="R627" s="47" t="str">
        <f>IF(AND($I627&lt;&gt;"",$I627&gt;=DATE(2026,6,23),COUNTIFS($C:$C,$C627,$I:$I,$I627)&gt;2),"⚠ "&amp;COUNTIFS($C:$C,$C627,$I:$I,$I627)&amp;" BAŞVURU!","")</f>
        <v/>
      </c>
    </row>
    <row r="628" spans="6:18" ht="31.5" customHeight="1" x14ac:dyDescent="0.25">
      <c r="F628" s="57" t="s">
        <v>2635</v>
      </c>
      <c r="L628" s="84"/>
      <c r="R628" s="47" t="str">
        <f>IF(AND($I628&lt;&gt;"",$I628&gt;=DATE(2026,6,23),COUNTIFS($C:$C,$C628,$I:$I,$I628)&gt;2),"⚠ "&amp;COUNTIFS($C:$C,$C628,$I:$I,$I628)&amp;" BAŞVURU!","")</f>
        <v/>
      </c>
    </row>
    <row r="629" spans="6:18" ht="31.5" customHeight="1" x14ac:dyDescent="0.25">
      <c r="F629" s="57" t="s">
        <v>2636</v>
      </c>
      <c r="R629" s="47" t="str">
        <f>IF(AND($I629&lt;&gt;"",$I629&gt;=DATE(2026,6,23),COUNTIFS($C:$C,$C629,$I:$I,$I629)&gt;2),"⚠ "&amp;COUNTIFS($C:$C,$C629,$I:$I,$I629)&amp;" BAŞVURU!","")</f>
        <v/>
      </c>
    </row>
    <row r="630" spans="6:18" ht="47.25" customHeight="1" x14ac:dyDescent="0.25">
      <c r="F630" s="57" t="s">
        <v>2637</v>
      </c>
      <c r="R630" s="47" t="str">
        <f>IF(AND($I630&lt;&gt;"",$I630&gt;=DATE(2026,6,23),COUNTIFS($C:$C,$C630,$I:$I,$I630)&gt;2),"⚠ "&amp;COUNTIFS($C:$C,$C630,$I:$I,$I630)&amp;" BAŞVURU!","")</f>
        <v/>
      </c>
    </row>
    <row r="631" spans="6:18" ht="31.5" customHeight="1" x14ac:dyDescent="0.25">
      <c r="F631" s="57" t="s">
        <v>2638</v>
      </c>
      <c r="R631" s="47" t="str">
        <f>IF(AND($I631&lt;&gt;"",$I631&gt;=DATE(2026,6,23),COUNTIFS($C:$C,$C631,$I:$I,$I631)&gt;2),"⚠ "&amp;COUNTIFS($C:$C,$C631,$I:$I,$I631)&amp;" BAŞVURU!","")</f>
        <v/>
      </c>
    </row>
    <row r="632" spans="6:18" ht="47.25" customHeight="1" x14ac:dyDescent="0.25">
      <c r="F632" s="57" t="s">
        <v>2639</v>
      </c>
      <c r="R632" s="47" t="str">
        <f>IF(AND($I632&lt;&gt;"",$I632&gt;=DATE(2026,6,23),COUNTIFS($C:$C,$C632,$I:$I,$I632)&gt;2),"⚠ "&amp;COUNTIFS($C:$C,$C632,$I:$I,$I632)&amp;" BAŞVURU!","")</f>
        <v/>
      </c>
    </row>
    <row r="633" spans="6:18" ht="47.25" customHeight="1" x14ac:dyDescent="0.25">
      <c r="F633" s="57" t="s">
        <v>2640</v>
      </c>
      <c r="R633" s="47" t="str">
        <f>IF(AND($I633&lt;&gt;"",$I633&gt;=DATE(2026,6,23),COUNTIFS($C:$C,$C633,$I:$I,$I633)&gt;2),"⚠ "&amp;COUNTIFS($C:$C,$C633,$I:$I,$I633)&amp;" BAŞVURU!","")</f>
        <v/>
      </c>
    </row>
    <row r="634" spans="6:18" ht="47.25" customHeight="1" x14ac:dyDescent="0.25">
      <c r="F634" s="57" t="s">
        <v>2641</v>
      </c>
      <c r="R634" s="47" t="str">
        <f>IF(AND($I634&lt;&gt;"",$I634&gt;=DATE(2026,6,23),COUNTIFS($C:$C,$C634,$I:$I,$I634)&gt;2),"⚠ "&amp;COUNTIFS($C:$C,$C634,$I:$I,$I634)&amp;" BAŞVURU!","")</f>
        <v/>
      </c>
    </row>
    <row r="635" spans="6:18" ht="47.25" customHeight="1" x14ac:dyDescent="0.25">
      <c r="F635" s="57" t="s">
        <v>2642</v>
      </c>
      <c r="R635" s="47" t="str">
        <f>IF(AND($I635&lt;&gt;"",$I635&gt;=DATE(2026,6,23),COUNTIFS($C:$C,$C635,$I:$I,$I635)&gt;2),"⚠ "&amp;COUNTIFS($C:$C,$C635,$I:$I,$I635)&amp;" BAŞVURU!","")</f>
        <v/>
      </c>
    </row>
    <row r="636" spans="6:18" ht="31.5" customHeight="1" x14ac:dyDescent="0.25">
      <c r="F636" s="57" t="s">
        <v>2643</v>
      </c>
      <c r="R636" s="47" t="str">
        <f>IF(AND($I636&lt;&gt;"",$I636&gt;=DATE(2026,6,23),COUNTIFS($C:$C,$C636,$I:$I,$I636)&gt;2),"⚠ "&amp;COUNTIFS($C:$C,$C636,$I:$I,$I636)&amp;" BAŞVURU!","")</f>
        <v/>
      </c>
    </row>
    <row r="637" spans="6:18" ht="31.5" customHeight="1" x14ac:dyDescent="0.25">
      <c r="F637" s="57" t="s">
        <v>2644</v>
      </c>
      <c r="R637" s="47" t="str">
        <f>IF(AND($I637&lt;&gt;"",$I637&gt;=DATE(2026,6,23),COUNTIFS($C:$C,$C637,$I:$I,$I637)&gt;2),"⚠ "&amp;COUNTIFS($C:$C,$C637,$I:$I,$I637)&amp;" BAŞVURU!","")</f>
        <v/>
      </c>
    </row>
    <row r="638" spans="6:18" ht="31.5" customHeight="1" x14ac:dyDescent="0.25">
      <c r="F638" s="57" t="s">
        <v>2645</v>
      </c>
      <c r="R638" s="47" t="str">
        <f>IF(AND($I638&lt;&gt;"",$I638&gt;=DATE(2026,6,23),COUNTIFS($C:$C,$C638,$I:$I,$I638)&gt;2),"⚠ "&amp;COUNTIFS($C:$C,$C638,$I:$I,$I638)&amp;" BAŞVURU!","")</f>
        <v/>
      </c>
    </row>
    <row r="639" spans="6:18" ht="31.5" customHeight="1" x14ac:dyDescent="0.25">
      <c r="F639" s="57" t="s">
        <v>2646</v>
      </c>
      <c r="R639" s="47" t="str">
        <f>IF(AND($I639&lt;&gt;"",$I639&gt;=DATE(2026,6,23),COUNTIFS($C:$C,$C639,$I:$I,$I639)&gt;2),"⚠ "&amp;COUNTIFS($C:$C,$C639,$I:$I,$I639)&amp;" BAŞVURU!","")</f>
        <v/>
      </c>
    </row>
    <row r="640" spans="6:18" ht="47.25" customHeight="1" x14ac:dyDescent="0.25">
      <c r="F640" s="57" t="s">
        <v>2647</v>
      </c>
      <c r="R640" s="47" t="str">
        <f>IF(AND($I640&lt;&gt;"",$I640&gt;=DATE(2026,6,23),COUNTIFS($C:$C,$C640,$I:$I,$I640)&gt;2),"⚠ "&amp;COUNTIFS($C:$C,$C640,$I:$I,$I640)&amp;" BAŞVURU!","")</f>
        <v/>
      </c>
    </row>
    <row r="641" spans="6:18" ht="47.25" customHeight="1" x14ac:dyDescent="0.25">
      <c r="F641" s="57" t="s">
        <v>2648</v>
      </c>
      <c r="R641" s="47" t="str">
        <f>IF(AND($I641&lt;&gt;"",$I641&gt;=DATE(2026,6,23),COUNTIFS($C:$C,$C641,$I:$I,$I641)&gt;2),"⚠ "&amp;COUNTIFS($C:$C,$C641,$I:$I,$I641)&amp;" BAŞVURU!","")</f>
        <v/>
      </c>
    </row>
    <row r="642" spans="6:18" ht="47.25" customHeight="1" x14ac:dyDescent="0.25">
      <c r="F642" s="57" t="s">
        <v>2649</v>
      </c>
      <c r="R642" s="47" t="str">
        <f>IF(AND($I642&lt;&gt;"",$I642&gt;=DATE(2026,6,23),COUNTIFS($C:$C,$C642,$I:$I,$I642)&gt;2),"⚠ "&amp;COUNTIFS($C:$C,$C642,$I:$I,$I642)&amp;" BAŞVURU!","")</f>
        <v/>
      </c>
    </row>
    <row r="643" spans="6:18" ht="31.5" customHeight="1" x14ac:dyDescent="0.25">
      <c r="F643" s="57" t="s">
        <v>2650</v>
      </c>
      <c r="R643" s="47" t="str">
        <f>IF(AND($I643&lt;&gt;"",$I643&gt;=DATE(2026,6,23),COUNTIFS($C:$C,$C643,$I:$I,$I643)&gt;2),"⚠ "&amp;COUNTIFS($C:$C,$C643,$I:$I,$I643)&amp;" BAŞVURU!","")</f>
        <v/>
      </c>
    </row>
    <row r="644" spans="6:18" ht="63" customHeight="1" x14ac:dyDescent="0.25">
      <c r="F644" s="57" t="s">
        <v>2651</v>
      </c>
      <c r="R644" s="47" t="str">
        <f>IF(AND($I644&lt;&gt;"",$I644&gt;=DATE(2026,6,23),COUNTIFS($C:$C,$C644,$I:$I,$I644)&gt;2),"⚠ "&amp;COUNTIFS($C:$C,$C644,$I:$I,$I644)&amp;" BAŞVURU!","")</f>
        <v/>
      </c>
    </row>
    <row r="645" spans="6:18" ht="47.25" customHeight="1" x14ac:dyDescent="0.25">
      <c r="F645" s="57" t="s">
        <v>2652</v>
      </c>
      <c r="R645" s="47" t="str">
        <f>IF(AND($I645&lt;&gt;"",$I645&gt;=DATE(2026,6,23),COUNTIFS($C:$C,$C645,$I:$I,$I645)&gt;2),"⚠ "&amp;COUNTIFS($C:$C,$C645,$I:$I,$I645)&amp;" BAŞVURU!","")</f>
        <v/>
      </c>
    </row>
    <row r="646" spans="6:18" ht="63" customHeight="1" x14ac:dyDescent="0.25">
      <c r="F646" s="57" t="s">
        <v>2653</v>
      </c>
      <c r="R646" s="47" t="str">
        <f>IF(AND($I646&lt;&gt;"",$I646&gt;=DATE(2026,6,23),COUNTIFS($C:$C,$C646,$I:$I,$I646)&gt;2),"⚠ "&amp;COUNTIFS($C:$C,$C646,$I:$I,$I646)&amp;" BAŞVURU!","")</f>
        <v/>
      </c>
    </row>
    <row r="647" spans="6:18" ht="47.25" customHeight="1" x14ac:dyDescent="0.25">
      <c r="F647" s="57" t="s">
        <v>2654</v>
      </c>
      <c r="R647" s="47" t="str">
        <f>IF(AND($I647&lt;&gt;"",$I647&gt;=DATE(2026,6,23),COUNTIFS($C:$C,$C647,$I:$I,$I647)&gt;2),"⚠ "&amp;COUNTIFS($C:$C,$C647,$I:$I,$I647)&amp;" BAŞVURU!","")</f>
        <v/>
      </c>
    </row>
    <row r="648" spans="6:18" ht="47.25" customHeight="1" x14ac:dyDescent="0.25">
      <c r="F648" s="57" t="s">
        <v>2655</v>
      </c>
      <c r="R648" s="47" t="str">
        <f>IF(AND($I648&lt;&gt;"",$I648&gt;=DATE(2026,6,23),COUNTIFS($C:$C,$C648,$I:$I,$I648)&gt;2),"⚠ "&amp;COUNTIFS($C:$C,$C648,$I:$I,$I648)&amp;" BAŞVURU!","")</f>
        <v/>
      </c>
    </row>
    <row r="649" spans="6:18" ht="47.25" customHeight="1" x14ac:dyDescent="0.25">
      <c r="F649" s="57" t="s">
        <v>2656</v>
      </c>
      <c r="R649" s="47" t="str">
        <f>IF(AND($I649&lt;&gt;"",$I649&gt;=DATE(2026,6,23),COUNTIFS($C:$C,$C649,$I:$I,$I649)&gt;2),"⚠ "&amp;COUNTIFS($C:$C,$C649,$I:$I,$I649)&amp;" BAŞVURU!","")</f>
        <v/>
      </c>
    </row>
    <row r="650" spans="6:18" ht="47.25" customHeight="1" x14ac:dyDescent="0.25">
      <c r="F650" s="57" t="s">
        <v>2657</v>
      </c>
      <c r="R650" s="47" t="str">
        <f>IF(AND($I650&lt;&gt;"",$I650&gt;=DATE(2026,6,23),COUNTIFS($C:$C,$C650,$I:$I,$I650)&gt;2),"⚠ "&amp;COUNTIFS($C:$C,$C650,$I:$I,$I650)&amp;" BAŞVURU!","")</f>
        <v/>
      </c>
    </row>
    <row r="651" spans="6:18" ht="47.25" customHeight="1" x14ac:dyDescent="0.25">
      <c r="F651" s="57" t="s">
        <v>2658</v>
      </c>
      <c r="R651" s="47" t="str">
        <f>IF(AND($I651&lt;&gt;"",$I651&gt;=DATE(2026,6,23),COUNTIFS($C:$C,$C651,$I:$I,$I651)&gt;2),"⚠ "&amp;COUNTIFS($C:$C,$C651,$I:$I,$I651)&amp;" BAŞVURU!","")</f>
        <v/>
      </c>
    </row>
    <row r="652" spans="6:18" ht="63" customHeight="1" x14ac:dyDescent="0.25">
      <c r="F652" s="57" t="s">
        <v>2659</v>
      </c>
      <c r="R652" s="47" t="str">
        <f>IF(AND($I652&lt;&gt;"",$I652&gt;=DATE(2026,6,23),COUNTIFS($C:$C,$C652,$I:$I,$I652)&gt;2),"⚠ "&amp;COUNTIFS($C:$C,$C652,$I:$I,$I652)&amp;" BAŞVURU!","")</f>
        <v/>
      </c>
    </row>
    <row r="653" spans="6:18" ht="78.75" customHeight="1" x14ac:dyDescent="0.25">
      <c r="F653" s="57" t="s">
        <v>2660</v>
      </c>
      <c r="R653" s="47" t="str">
        <f>IF(AND($I653&lt;&gt;"",$I653&gt;=DATE(2026,6,23),COUNTIFS($C:$C,$C653,$I:$I,$I653)&gt;2),"⚠ "&amp;COUNTIFS($C:$C,$C653,$I:$I,$I653)&amp;" BAŞVURU!","")</f>
        <v/>
      </c>
    </row>
    <row r="654" spans="6:18" ht="31.5" customHeight="1" x14ac:dyDescent="0.25">
      <c r="F654" s="57" t="s">
        <v>2661</v>
      </c>
      <c r="R654" s="47" t="str">
        <f>IF(AND($I654&lt;&gt;"",$I654&gt;=DATE(2026,6,23),COUNTIFS($C:$C,$C654,$I:$I,$I654)&gt;2),"⚠ "&amp;COUNTIFS($C:$C,$C654,$I:$I,$I654)&amp;" BAŞVURU!","")</f>
        <v/>
      </c>
    </row>
    <row r="655" spans="6:18" ht="47.25" customHeight="1" x14ac:dyDescent="0.25">
      <c r="F655" s="57" t="s">
        <v>2662</v>
      </c>
      <c r="R655" s="47" t="str">
        <f>IF(AND($I655&lt;&gt;"",$I655&gt;=DATE(2026,6,23),COUNTIFS($C:$C,$C655,$I:$I,$I655)&gt;2),"⚠ "&amp;COUNTIFS($C:$C,$C655,$I:$I,$I655)&amp;" BAŞVURU!","")</f>
        <v/>
      </c>
    </row>
    <row r="656" spans="6:18" ht="63" customHeight="1" x14ac:dyDescent="0.25">
      <c r="F656" s="57" t="s">
        <v>2663</v>
      </c>
      <c r="R656" s="47" t="str">
        <f>IF(AND($I656&lt;&gt;"",$I656&gt;=DATE(2026,6,23),COUNTIFS($C:$C,$C656,$I:$I,$I656)&gt;2),"⚠ "&amp;COUNTIFS($C:$C,$C656,$I:$I,$I656)&amp;" BAŞVURU!","")</f>
        <v/>
      </c>
    </row>
    <row r="657" spans="6:18" ht="63" customHeight="1" x14ac:dyDescent="0.25">
      <c r="F657" s="57" t="s">
        <v>2664</v>
      </c>
      <c r="R657" s="47" t="str">
        <f>IF(AND($I657&lt;&gt;"",$I657&gt;=DATE(2026,6,23),COUNTIFS($C:$C,$C657,$I:$I,$I657)&gt;2),"⚠ "&amp;COUNTIFS($C:$C,$C657,$I:$I,$I657)&amp;" BAŞVURU!","")</f>
        <v/>
      </c>
    </row>
    <row r="658" spans="6:18" ht="31.5" customHeight="1" x14ac:dyDescent="0.25">
      <c r="F658" s="57" t="s">
        <v>2665</v>
      </c>
      <c r="R658" s="47" t="str">
        <f>IF(AND($I658&lt;&gt;"",$I658&gt;=DATE(2026,6,23),COUNTIFS($C:$C,$C658,$I:$I,$I658)&gt;2),"⚠ "&amp;COUNTIFS($C:$C,$C658,$I:$I,$I658)&amp;" BAŞVURU!","")</f>
        <v/>
      </c>
    </row>
    <row r="659" spans="6:18" ht="31.5" customHeight="1" x14ac:dyDescent="0.25">
      <c r="F659" s="57" t="s">
        <v>2666</v>
      </c>
      <c r="R659" s="47" t="str">
        <f>IF(AND($I659&lt;&gt;"",$I659&gt;=DATE(2026,6,23),COUNTIFS($C:$C,$C659,$I:$I,$I659)&gt;2),"⚠ "&amp;COUNTIFS($C:$C,$C659,$I:$I,$I659)&amp;" BAŞVURU!","")</f>
        <v/>
      </c>
    </row>
    <row r="660" spans="6:18" ht="31.5" customHeight="1" x14ac:dyDescent="0.25">
      <c r="F660" s="57" t="s">
        <v>2667</v>
      </c>
    </row>
    <row r="661" spans="6:18" ht="31.5" customHeight="1" x14ac:dyDescent="0.25">
      <c r="F661" s="57" t="s">
        <v>2668</v>
      </c>
    </row>
    <row r="662" spans="6:18" ht="31.5" customHeight="1" x14ac:dyDescent="0.25">
      <c r="F662" s="57" t="s">
        <v>2669</v>
      </c>
    </row>
    <row r="663" spans="6:18" ht="31.5" customHeight="1" x14ac:dyDescent="0.25">
      <c r="F663" s="57" t="s">
        <v>2670</v>
      </c>
    </row>
    <row r="664" spans="6:18" ht="31.5" customHeight="1" x14ac:dyDescent="0.25">
      <c r="F664" s="57" t="s">
        <v>2671</v>
      </c>
    </row>
    <row r="665" spans="6:18" ht="47.25" customHeight="1" x14ac:dyDescent="0.25">
      <c r="F665" s="57" t="s">
        <v>2672</v>
      </c>
    </row>
    <row r="666" spans="6:18" ht="31.5" customHeight="1" x14ac:dyDescent="0.25">
      <c r="F666" s="57" t="s">
        <v>2673</v>
      </c>
    </row>
    <row r="667" spans="6:18" ht="63" customHeight="1" x14ac:dyDescent="0.25">
      <c r="F667" s="57" t="s">
        <v>2674</v>
      </c>
    </row>
    <row r="668" spans="6:18" ht="47.25" customHeight="1" x14ac:dyDescent="0.25">
      <c r="F668" s="57" t="s">
        <v>2675</v>
      </c>
    </row>
    <row r="669" spans="6:18" ht="47.25" customHeight="1" x14ac:dyDescent="0.25">
      <c r="F669" s="57" t="s">
        <v>2676</v>
      </c>
    </row>
    <row r="670" spans="6:18" ht="31.5" customHeight="1" x14ac:dyDescent="0.25">
      <c r="F670" s="57" t="s">
        <v>2677</v>
      </c>
    </row>
    <row r="671" spans="6:18" ht="31.5" customHeight="1" x14ac:dyDescent="0.25">
      <c r="F671" s="57" t="s">
        <v>2678</v>
      </c>
    </row>
    <row r="672" spans="6:18" ht="47.25" customHeight="1" x14ac:dyDescent="0.25">
      <c r="F672" s="57" t="s">
        <v>2679</v>
      </c>
    </row>
    <row r="673" spans="6:6" ht="31.5" customHeight="1" x14ac:dyDescent="0.25">
      <c r="F673" s="57" t="s">
        <v>2680</v>
      </c>
    </row>
    <row r="674" spans="6:6" ht="47.25" customHeight="1" x14ac:dyDescent="0.25">
      <c r="F674" s="57" t="s">
        <v>2681</v>
      </c>
    </row>
    <row r="675" spans="6:6" ht="63" customHeight="1" x14ac:dyDescent="0.25">
      <c r="F675" s="57" t="s">
        <v>2682</v>
      </c>
    </row>
    <row r="676" spans="6:6" ht="31.5" customHeight="1" x14ac:dyDescent="0.25">
      <c r="F676" s="57" t="s">
        <v>2683</v>
      </c>
    </row>
    <row r="677" spans="6:6" ht="47.25" customHeight="1" x14ac:dyDescent="0.25">
      <c r="F677" s="57" t="s">
        <v>2684</v>
      </c>
    </row>
    <row r="678" spans="6:6" ht="31.5" customHeight="1" x14ac:dyDescent="0.25">
      <c r="F678" s="57" t="s">
        <v>2685</v>
      </c>
    </row>
    <row r="679" spans="6:6" ht="31.5" customHeight="1" x14ac:dyDescent="0.25">
      <c r="F679" s="57" t="s">
        <v>2686</v>
      </c>
    </row>
    <row r="680" spans="6:6" ht="63" customHeight="1" x14ac:dyDescent="0.25">
      <c r="F680" s="57" t="s">
        <v>2687</v>
      </c>
    </row>
    <row r="681" spans="6:6" ht="47.25" customHeight="1" x14ac:dyDescent="0.25">
      <c r="F681" s="57" t="s">
        <v>2688</v>
      </c>
    </row>
    <row r="682" spans="6:6" ht="31.5" customHeight="1" x14ac:dyDescent="0.25">
      <c r="F682" s="57" t="s">
        <v>2689</v>
      </c>
    </row>
    <row r="683" spans="6:6" ht="31.5" customHeight="1" x14ac:dyDescent="0.25">
      <c r="F683" s="57" t="s">
        <v>2690</v>
      </c>
    </row>
    <row r="684" spans="6:6" ht="31.5" customHeight="1" x14ac:dyDescent="0.25">
      <c r="F684" s="57" t="s">
        <v>2691</v>
      </c>
    </row>
    <row r="685" spans="6:6" ht="31.5" customHeight="1" x14ac:dyDescent="0.25">
      <c r="F685" s="41" t="s">
        <v>2692</v>
      </c>
    </row>
    <row r="686" spans="6:6" ht="63" customHeight="1" x14ac:dyDescent="0.25">
      <c r="F686" s="41" t="s">
        <v>2693</v>
      </c>
    </row>
    <row r="687" spans="6:6" ht="63" customHeight="1" x14ac:dyDescent="0.25">
      <c r="F687" s="41" t="s">
        <v>2694</v>
      </c>
    </row>
    <row r="688" spans="6:6" ht="31.5" customHeight="1" x14ac:dyDescent="0.25">
      <c r="F688" s="41" t="s">
        <v>2695</v>
      </c>
    </row>
    <row r="689" spans="6:6" ht="47.25" customHeight="1" x14ac:dyDescent="0.25">
      <c r="F689" s="41" t="s">
        <v>2696</v>
      </c>
    </row>
    <row r="690" spans="6:6" ht="31.5" customHeight="1" x14ac:dyDescent="0.25">
      <c r="F690" s="41" t="s">
        <v>2697</v>
      </c>
    </row>
    <row r="691" spans="6:6" ht="31.5" customHeight="1" x14ac:dyDescent="0.25">
      <c r="F691" s="41" t="s">
        <v>2698</v>
      </c>
    </row>
    <row r="692" spans="6:6" ht="63" customHeight="1" x14ac:dyDescent="0.25">
      <c r="F692" s="41" t="s">
        <v>2699</v>
      </c>
    </row>
    <row r="693" spans="6:6" ht="31.5" customHeight="1" x14ac:dyDescent="0.25">
      <c r="F693" s="41" t="s">
        <v>2700</v>
      </c>
    </row>
    <row r="694" spans="6:6" ht="47.25" customHeight="1" x14ac:dyDescent="0.25">
      <c r="F694" s="41" t="s">
        <v>2701</v>
      </c>
    </row>
    <row r="695" spans="6:6" ht="47.25" customHeight="1" x14ac:dyDescent="0.25">
      <c r="F695" s="41" t="s">
        <v>2702</v>
      </c>
    </row>
    <row r="696" spans="6:6" ht="47.25" customHeight="1" x14ac:dyDescent="0.25">
      <c r="F696" s="41" t="s">
        <v>2703</v>
      </c>
    </row>
    <row r="697" spans="6:6" ht="47.25" customHeight="1" x14ac:dyDescent="0.25">
      <c r="F697" s="41" t="s">
        <v>2704</v>
      </c>
    </row>
    <row r="698" spans="6:6" ht="31.5" customHeight="1" x14ac:dyDescent="0.25">
      <c r="F698" s="41" t="s">
        <v>2705</v>
      </c>
    </row>
    <row r="699" spans="6:6" ht="47.25" customHeight="1" x14ac:dyDescent="0.25">
      <c r="F699" s="41" t="s">
        <v>2706</v>
      </c>
    </row>
    <row r="700" spans="6:6" ht="31.5" customHeight="1" x14ac:dyDescent="0.25">
      <c r="F700" s="41" t="s">
        <v>2707</v>
      </c>
    </row>
    <row r="701" spans="6:6" ht="47.25" customHeight="1" x14ac:dyDescent="0.25">
      <c r="F701" s="41" t="s">
        <v>2708</v>
      </c>
    </row>
    <row r="702" spans="6:6" ht="47.25" customHeight="1" x14ac:dyDescent="0.25">
      <c r="F702" s="41" t="s">
        <v>2709</v>
      </c>
    </row>
    <row r="703" spans="6:6" ht="47.25" customHeight="1" x14ac:dyDescent="0.25">
      <c r="F703" s="41" t="s">
        <v>2710</v>
      </c>
    </row>
    <row r="704" spans="6:6" ht="47.25" customHeight="1" x14ac:dyDescent="0.25">
      <c r="F704" s="41" t="s">
        <v>2711</v>
      </c>
    </row>
    <row r="705" spans="6:6" ht="47.25" customHeight="1" x14ac:dyDescent="0.25">
      <c r="F705" s="41" t="s">
        <v>2712</v>
      </c>
    </row>
    <row r="706" spans="6:6" ht="78.75" customHeight="1" x14ac:dyDescent="0.25">
      <c r="F706" s="41" t="s">
        <v>2713</v>
      </c>
    </row>
    <row r="707" spans="6:6" ht="78.75" customHeight="1" x14ac:dyDescent="0.25">
      <c r="F707" s="41" t="s">
        <v>2714</v>
      </c>
    </row>
    <row r="708" spans="6:6" ht="31.5" customHeight="1" x14ac:dyDescent="0.25">
      <c r="F708" s="41" t="s">
        <v>2715</v>
      </c>
    </row>
    <row r="709" spans="6:6" ht="31.5" customHeight="1" x14ac:dyDescent="0.25">
      <c r="F709" s="41" t="s">
        <v>2716</v>
      </c>
    </row>
    <row r="710" spans="6:6" ht="63" customHeight="1" x14ac:dyDescent="0.25">
      <c r="F710" s="41" t="s">
        <v>2717</v>
      </c>
    </row>
    <row r="711" spans="6:6" ht="31.5" customHeight="1" x14ac:dyDescent="0.25">
      <c r="F711" s="41" t="s">
        <v>2718</v>
      </c>
    </row>
    <row r="712" spans="6:6" ht="47.25" customHeight="1" x14ac:dyDescent="0.25">
      <c r="F712" s="41" t="s">
        <v>2719</v>
      </c>
    </row>
    <row r="713" spans="6:6" ht="47.25" customHeight="1" x14ac:dyDescent="0.25">
      <c r="F713" s="41" t="s">
        <v>2720</v>
      </c>
    </row>
    <row r="714" spans="6:6" ht="63" customHeight="1" x14ac:dyDescent="0.25">
      <c r="F714" s="41" t="s">
        <v>2721</v>
      </c>
    </row>
    <row r="715" spans="6:6" ht="31.5" customHeight="1" x14ac:dyDescent="0.25">
      <c r="F715" s="41" t="s">
        <v>2722</v>
      </c>
    </row>
    <row r="716" spans="6:6" ht="47.25" customHeight="1" x14ac:dyDescent="0.25">
      <c r="F716" s="41" t="s">
        <v>2723</v>
      </c>
    </row>
    <row r="717" spans="6:6" ht="63" customHeight="1" x14ac:dyDescent="0.25">
      <c r="F717" s="41" t="s">
        <v>2724</v>
      </c>
    </row>
    <row r="718" spans="6:6" ht="47.25" customHeight="1" x14ac:dyDescent="0.25">
      <c r="F718" s="41" t="s">
        <v>2725</v>
      </c>
    </row>
    <row r="719" spans="6:6" ht="47.25" customHeight="1" x14ac:dyDescent="0.25">
      <c r="F719" s="41" t="s">
        <v>2726</v>
      </c>
    </row>
    <row r="720" spans="6:6" ht="47.25" customHeight="1" x14ac:dyDescent="0.25">
      <c r="F720" s="41" t="s">
        <v>2727</v>
      </c>
    </row>
    <row r="721" spans="6:6" ht="47.25" customHeight="1" x14ac:dyDescent="0.25">
      <c r="F721" s="41" t="s">
        <v>2728</v>
      </c>
    </row>
    <row r="722" spans="6:6" ht="47.25" customHeight="1" x14ac:dyDescent="0.25">
      <c r="F722" s="41" t="s">
        <v>2729</v>
      </c>
    </row>
    <row r="723" spans="6:6" ht="31.5" customHeight="1" x14ac:dyDescent="0.25">
      <c r="F723" s="41" t="s">
        <v>2730</v>
      </c>
    </row>
    <row r="724" spans="6:6" ht="31.5" customHeight="1" x14ac:dyDescent="0.25">
      <c r="F724" s="41" t="s">
        <v>2731</v>
      </c>
    </row>
    <row r="725" spans="6:6" ht="63" customHeight="1" x14ac:dyDescent="0.25">
      <c r="F725" s="41" t="s">
        <v>2732</v>
      </c>
    </row>
    <row r="726" spans="6:6" ht="47.25" customHeight="1" x14ac:dyDescent="0.25">
      <c r="F726" s="41" t="s">
        <v>2733</v>
      </c>
    </row>
    <row r="727" spans="6:6" ht="47.25" customHeight="1" x14ac:dyDescent="0.25">
      <c r="F727" s="41" t="s">
        <v>2734</v>
      </c>
    </row>
    <row r="728" spans="6:6" ht="47.25" customHeight="1" x14ac:dyDescent="0.25">
      <c r="F728" s="41" t="s">
        <v>2735</v>
      </c>
    </row>
    <row r="729" spans="6:6" ht="63" customHeight="1" x14ac:dyDescent="0.25">
      <c r="F729" s="41" t="s">
        <v>2736</v>
      </c>
    </row>
    <row r="730" spans="6:6" ht="31.5" customHeight="1" x14ac:dyDescent="0.25">
      <c r="F730" s="41" t="s">
        <v>2737</v>
      </c>
    </row>
    <row r="731" spans="6:6" ht="31.5" customHeight="1" x14ac:dyDescent="0.25">
      <c r="F731" s="41" t="s">
        <v>2738</v>
      </c>
    </row>
    <row r="732" spans="6:6" ht="63" customHeight="1" x14ac:dyDescent="0.25">
      <c r="F732" s="41" t="s">
        <v>2739</v>
      </c>
    </row>
    <row r="733" spans="6:6" ht="47.25" customHeight="1" x14ac:dyDescent="0.25">
      <c r="F733" s="41" t="s">
        <v>2740</v>
      </c>
    </row>
    <row r="734" spans="6:6" ht="47.25" customHeight="1" x14ac:dyDescent="0.25">
      <c r="F734" s="41" t="s">
        <v>2741</v>
      </c>
    </row>
    <row r="735" spans="6:6" ht="31.5" customHeight="1" x14ac:dyDescent="0.25">
      <c r="F735" s="41" t="s">
        <v>2742</v>
      </c>
    </row>
    <row r="736" spans="6:6" ht="63" customHeight="1" x14ac:dyDescent="0.25">
      <c r="F736" s="41" t="s">
        <v>2743</v>
      </c>
    </row>
    <row r="737" spans="6:6" ht="78.75" customHeight="1" x14ac:dyDescent="0.25">
      <c r="F737" s="41" t="s">
        <v>2744</v>
      </c>
    </row>
    <row r="738" spans="6:6" ht="31.5" customHeight="1" x14ac:dyDescent="0.25">
      <c r="F738" s="41" t="s">
        <v>2745</v>
      </c>
    </row>
    <row r="739" spans="6:6" ht="31.5" customHeight="1" x14ac:dyDescent="0.25">
      <c r="F739" s="41" t="s">
        <v>2746</v>
      </c>
    </row>
    <row r="740" spans="6:6" ht="31.5" customHeight="1" x14ac:dyDescent="0.25">
      <c r="F740" s="41" t="s">
        <v>2747</v>
      </c>
    </row>
    <row r="741" spans="6:6" ht="31.5" customHeight="1" x14ac:dyDescent="0.25">
      <c r="F741" s="41" t="s">
        <v>2748</v>
      </c>
    </row>
    <row r="742" spans="6:6" ht="31.5" customHeight="1" x14ac:dyDescent="0.25">
      <c r="F742" s="41" t="s">
        <v>2749</v>
      </c>
    </row>
    <row r="743" spans="6:6" ht="31.5" customHeight="1" x14ac:dyDescent="0.25">
      <c r="F743" s="41" t="s">
        <v>2750</v>
      </c>
    </row>
    <row r="744" spans="6:6" ht="47.25" customHeight="1" x14ac:dyDescent="0.25">
      <c r="F744" s="41" t="s">
        <v>2751</v>
      </c>
    </row>
    <row r="745" spans="6:6" ht="47.25" customHeight="1" x14ac:dyDescent="0.25">
      <c r="F745" s="41" t="s">
        <v>2752</v>
      </c>
    </row>
    <row r="746" spans="6:6" ht="47.25" customHeight="1" x14ac:dyDescent="0.25">
      <c r="F746" s="41" t="s">
        <v>2753</v>
      </c>
    </row>
    <row r="747" spans="6:6" ht="78.75" customHeight="1" x14ac:dyDescent="0.25">
      <c r="F747" s="41" t="s">
        <v>2754</v>
      </c>
    </row>
    <row r="748" spans="6:6" ht="47.25" customHeight="1" x14ac:dyDescent="0.25">
      <c r="F748" s="41" t="s">
        <v>2755</v>
      </c>
    </row>
    <row r="749" spans="6:6" ht="47.25" customHeight="1" x14ac:dyDescent="0.25">
      <c r="F749" s="41" t="s">
        <v>2756</v>
      </c>
    </row>
    <row r="750" spans="6:6" ht="47.25" customHeight="1" x14ac:dyDescent="0.25">
      <c r="F750" s="41" t="s">
        <v>2757</v>
      </c>
    </row>
    <row r="751" spans="6:6" ht="47.25" customHeight="1" x14ac:dyDescent="0.25">
      <c r="F751" s="41" t="s">
        <v>2758</v>
      </c>
    </row>
    <row r="752" spans="6:6" ht="31.5" customHeight="1" x14ac:dyDescent="0.25">
      <c r="F752" s="41" t="s">
        <v>2759</v>
      </c>
    </row>
    <row r="753" spans="6:6" ht="47.25" customHeight="1" x14ac:dyDescent="0.25">
      <c r="F753" s="41" t="s">
        <v>2760</v>
      </c>
    </row>
    <row r="754" spans="6:6" ht="31.5" customHeight="1" x14ac:dyDescent="0.25">
      <c r="F754" s="41" t="s">
        <v>2761</v>
      </c>
    </row>
    <row r="755" spans="6:6" ht="110.25" customHeight="1" x14ac:dyDescent="0.25">
      <c r="F755" s="41" t="s">
        <v>2762</v>
      </c>
    </row>
    <row r="756" spans="6:6" ht="31.5" customHeight="1" x14ac:dyDescent="0.25">
      <c r="F756" s="41" t="s">
        <v>2763</v>
      </c>
    </row>
    <row r="757" spans="6:6" ht="47.25" customHeight="1" x14ac:dyDescent="0.25">
      <c r="F757" s="41" t="s">
        <v>2764</v>
      </c>
    </row>
    <row r="758" spans="6:6" ht="31.5" customHeight="1" x14ac:dyDescent="0.25">
      <c r="F758" s="41" t="s">
        <v>2765</v>
      </c>
    </row>
    <row r="759" spans="6:6" ht="47.25" customHeight="1" x14ac:dyDescent="0.25">
      <c r="F759" s="41" t="s">
        <v>2766</v>
      </c>
    </row>
    <row r="760" spans="6:6" ht="63" customHeight="1" x14ac:dyDescent="0.25">
      <c r="F760" s="41" t="s">
        <v>2767</v>
      </c>
    </row>
    <row r="761" spans="6:6" ht="63" customHeight="1" x14ac:dyDescent="0.25">
      <c r="F761" s="41" t="s">
        <v>2768</v>
      </c>
    </row>
    <row r="762" spans="6:6" ht="31.5" customHeight="1" x14ac:dyDescent="0.25">
      <c r="F762" s="41" t="s">
        <v>2769</v>
      </c>
    </row>
    <row r="763" spans="6:6" ht="47.25" customHeight="1" x14ac:dyDescent="0.25">
      <c r="F763" s="41" t="s">
        <v>2770</v>
      </c>
    </row>
    <row r="764" spans="6:6" ht="47.25" customHeight="1" x14ac:dyDescent="0.25">
      <c r="F764" s="41" t="s">
        <v>2771</v>
      </c>
    </row>
    <row r="765" spans="6:6" ht="47.25" customHeight="1" x14ac:dyDescent="0.25">
      <c r="F765" s="41" t="s">
        <v>2772</v>
      </c>
    </row>
    <row r="766" spans="6:6" ht="47.25" customHeight="1" x14ac:dyDescent="0.25">
      <c r="F766" s="41" t="s">
        <v>2773</v>
      </c>
    </row>
    <row r="767" spans="6:6" ht="47.25" customHeight="1" x14ac:dyDescent="0.25">
      <c r="F767" s="41" t="s">
        <v>2774</v>
      </c>
    </row>
    <row r="768" spans="6:6" ht="47.25" customHeight="1" x14ac:dyDescent="0.25">
      <c r="F768" s="41" t="s">
        <v>2775</v>
      </c>
    </row>
    <row r="769" spans="6:6" ht="63" customHeight="1" x14ac:dyDescent="0.25">
      <c r="F769" s="41" t="s">
        <v>2776</v>
      </c>
    </row>
    <row r="770" spans="6:6" ht="63" customHeight="1" x14ac:dyDescent="0.25">
      <c r="F770" s="41" t="s">
        <v>2777</v>
      </c>
    </row>
    <row r="771" spans="6:6" ht="78.75" customHeight="1" x14ac:dyDescent="0.25">
      <c r="F771" s="41" t="s">
        <v>2778</v>
      </c>
    </row>
    <row r="772" spans="6:6" ht="47.25" customHeight="1" x14ac:dyDescent="0.25">
      <c r="F772" s="41" t="s">
        <v>2779</v>
      </c>
    </row>
    <row r="773" spans="6:6" ht="31.5" customHeight="1" x14ac:dyDescent="0.25">
      <c r="F773" s="41" t="s">
        <v>2780</v>
      </c>
    </row>
    <row r="774" spans="6:6" ht="31.5" customHeight="1" x14ac:dyDescent="0.25">
      <c r="F774" s="41" t="s">
        <v>2781</v>
      </c>
    </row>
    <row r="775" spans="6:6" x14ac:dyDescent="0.25">
      <c r="F775" s="41" t="s">
        <v>2782</v>
      </c>
    </row>
    <row r="776" spans="6:6" ht="31.5" customHeight="1" x14ac:dyDescent="0.25">
      <c r="F776" s="41" t="s">
        <v>2783</v>
      </c>
    </row>
    <row r="777" spans="6:6" ht="47.25" customHeight="1" x14ac:dyDescent="0.25">
      <c r="F777" s="41" t="s">
        <v>2784</v>
      </c>
    </row>
    <row r="778" spans="6:6" ht="47.25" customHeight="1" x14ac:dyDescent="0.25">
      <c r="F778" s="41" t="s">
        <v>2785</v>
      </c>
    </row>
    <row r="779" spans="6:6" ht="47.25" customHeight="1" x14ac:dyDescent="0.25">
      <c r="F779" s="41" t="s">
        <v>2786</v>
      </c>
    </row>
    <row r="780" spans="6:6" ht="47.25" customHeight="1" x14ac:dyDescent="0.25">
      <c r="F780" s="41" t="s">
        <v>2787</v>
      </c>
    </row>
    <row r="781" spans="6:6" ht="47.25" customHeight="1" x14ac:dyDescent="0.25">
      <c r="F781" s="41" t="s">
        <v>2788</v>
      </c>
    </row>
    <row r="782" spans="6:6" ht="47.25" customHeight="1" x14ac:dyDescent="0.25">
      <c r="F782" s="41" t="s">
        <v>2789</v>
      </c>
    </row>
    <row r="783" spans="6:6" ht="31.5" customHeight="1" x14ac:dyDescent="0.25">
      <c r="F783" s="41" t="s">
        <v>2790</v>
      </c>
    </row>
    <row r="784" spans="6:6" ht="47.25" customHeight="1" x14ac:dyDescent="0.25">
      <c r="F784" s="41" t="s">
        <v>2791</v>
      </c>
    </row>
    <row r="785" spans="6:6" ht="47.25" customHeight="1" x14ac:dyDescent="0.25">
      <c r="F785" s="41" t="s">
        <v>2792</v>
      </c>
    </row>
    <row r="786" spans="6:6" ht="47.25" customHeight="1" x14ac:dyDescent="0.25">
      <c r="F786" s="41" t="s">
        <v>2793</v>
      </c>
    </row>
    <row r="787" spans="6:6" ht="47.25" customHeight="1" x14ac:dyDescent="0.25">
      <c r="F787" s="41" t="s">
        <v>2794</v>
      </c>
    </row>
    <row r="788" spans="6:6" ht="31.5" customHeight="1" x14ac:dyDescent="0.25">
      <c r="F788" s="41" t="s">
        <v>2795</v>
      </c>
    </row>
    <row r="789" spans="6:6" ht="31.5" customHeight="1" x14ac:dyDescent="0.25">
      <c r="F789" s="41" t="s">
        <v>2796</v>
      </c>
    </row>
    <row r="790" spans="6:6" ht="47.25" customHeight="1" x14ac:dyDescent="0.25">
      <c r="F790" s="41" t="s">
        <v>2797</v>
      </c>
    </row>
    <row r="791" spans="6:6" ht="63" customHeight="1" x14ac:dyDescent="0.25">
      <c r="F791" s="41" t="s">
        <v>2798</v>
      </c>
    </row>
    <row r="792" spans="6:6" ht="31.5" customHeight="1" x14ac:dyDescent="0.25">
      <c r="F792" s="41" t="s">
        <v>2799</v>
      </c>
    </row>
    <row r="793" spans="6:6" ht="31.5" customHeight="1" x14ac:dyDescent="0.25">
      <c r="F793" s="41" t="s">
        <v>2800</v>
      </c>
    </row>
    <row r="794" spans="6:6" ht="63" customHeight="1" x14ac:dyDescent="0.25">
      <c r="F794" s="41" t="s">
        <v>2801</v>
      </c>
    </row>
    <row r="795" spans="6:6" ht="47.25" customHeight="1" x14ac:dyDescent="0.25">
      <c r="F795" s="41" t="s">
        <v>2802</v>
      </c>
    </row>
    <row r="796" spans="6:6" ht="31.5" customHeight="1" x14ac:dyDescent="0.25">
      <c r="F796" s="41" t="s">
        <v>2803</v>
      </c>
    </row>
    <row r="797" spans="6:6" ht="47.25" customHeight="1" x14ac:dyDescent="0.25">
      <c r="F797" s="41" t="s">
        <v>2804</v>
      </c>
    </row>
    <row r="798" spans="6:6" ht="47.25" customHeight="1" x14ac:dyDescent="0.25">
      <c r="F798" s="41" t="s">
        <v>2805</v>
      </c>
    </row>
    <row r="799" spans="6:6" ht="31.5" customHeight="1" x14ac:dyDescent="0.25">
      <c r="F799" s="41" t="s">
        <v>2806</v>
      </c>
    </row>
    <row r="800" spans="6:6" ht="31.5" customHeight="1" x14ac:dyDescent="0.25">
      <c r="F800" s="41" t="s">
        <v>2807</v>
      </c>
    </row>
    <row r="801" spans="6:6" ht="63" customHeight="1" x14ac:dyDescent="0.25">
      <c r="F801" s="41" t="s">
        <v>2808</v>
      </c>
    </row>
    <row r="802" spans="6:6" ht="31.5" customHeight="1" x14ac:dyDescent="0.25">
      <c r="F802" s="41" t="s">
        <v>2809</v>
      </c>
    </row>
    <row r="803" spans="6:6" ht="47.25" customHeight="1" x14ac:dyDescent="0.25">
      <c r="F803" s="41" t="s">
        <v>2810</v>
      </c>
    </row>
    <row r="804" spans="6:6" ht="31.5" customHeight="1" x14ac:dyDescent="0.25">
      <c r="F804" s="41" t="s">
        <v>2811</v>
      </c>
    </row>
    <row r="805" spans="6:6" ht="63" customHeight="1" x14ac:dyDescent="0.25">
      <c r="F805" s="41" t="s">
        <v>2812</v>
      </c>
    </row>
    <row r="806" spans="6:6" ht="78.75" customHeight="1" x14ac:dyDescent="0.25">
      <c r="F806" s="41" t="s">
        <v>2813</v>
      </c>
    </row>
    <row r="807" spans="6:6" ht="31.5" customHeight="1" x14ac:dyDescent="0.25">
      <c r="F807" s="41" t="s">
        <v>2814</v>
      </c>
    </row>
    <row r="808" spans="6:6" ht="63" customHeight="1" x14ac:dyDescent="0.25">
      <c r="F808" s="41" t="s">
        <v>2815</v>
      </c>
    </row>
    <row r="809" spans="6:6" ht="47.25" customHeight="1" x14ac:dyDescent="0.25">
      <c r="F809" s="41" t="s">
        <v>2816</v>
      </c>
    </row>
    <row r="810" spans="6:6" ht="47.25" customHeight="1" x14ac:dyDescent="0.25">
      <c r="F810" s="41" t="s">
        <v>2817</v>
      </c>
    </row>
    <row r="811" spans="6:6" ht="31.5" customHeight="1" x14ac:dyDescent="0.25">
      <c r="F811" s="41" t="s">
        <v>2818</v>
      </c>
    </row>
    <row r="812" spans="6:6" ht="31.5" customHeight="1" x14ac:dyDescent="0.25">
      <c r="F812" s="41" t="s">
        <v>2819</v>
      </c>
    </row>
    <row r="813" spans="6:6" ht="31.5" customHeight="1" x14ac:dyDescent="0.25">
      <c r="F813" s="41" t="s">
        <v>2820</v>
      </c>
    </row>
    <row r="814" spans="6:6" ht="31.5" customHeight="1" x14ac:dyDescent="0.25">
      <c r="F814" s="41" t="s">
        <v>2821</v>
      </c>
    </row>
    <row r="815" spans="6:6" ht="47.25" customHeight="1" x14ac:dyDescent="0.25">
      <c r="F815" s="41" t="s">
        <v>2822</v>
      </c>
    </row>
    <row r="816" spans="6:6" ht="47.25" customHeight="1" x14ac:dyDescent="0.25">
      <c r="F816" s="41" t="s">
        <v>2823</v>
      </c>
    </row>
    <row r="817" spans="6:6" ht="63" customHeight="1" x14ac:dyDescent="0.25">
      <c r="F817" s="41" t="s">
        <v>2824</v>
      </c>
    </row>
    <row r="818" spans="6:6" ht="63" customHeight="1" x14ac:dyDescent="0.25">
      <c r="F818" s="41" t="s">
        <v>2825</v>
      </c>
    </row>
    <row r="819" spans="6:6" ht="31.5" customHeight="1" x14ac:dyDescent="0.25">
      <c r="F819" s="41" t="s">
        <v>2826</v>
      </c>
    </row>
    <row r="820" spans="6:6" ht="31.5" customHeight="1" x14ac:dyDescent="0.25">
      <c r="F820" s="41" t="s">
        <v>2827</v>
      </c>
    </row>
    <row r="821" spans="6:6" ht="47.25" customHeight="1" x14ac:dyDescent="0.25">
      <c r="F821" s="41" t="s">
        <v>2828</v>
      </c>
    </row>
    <row r="822" spans="6:6" ht="31.5" customHeight="1" x14ac:dyDescent="0.25">
      <c r="F822" s="41" t="s">
        <v>2829</v>
      </c>
    </row>
    <row r="823" spans="6:6" ht="31.5" customHeight="1" x14ac:dyDescent="0.25">
      <c r="F823" s="41" t="s">
        <v>2830</v>
      </c>
    </row>
    <row r="824" spans="6:6" ht="63" customHeight="1" x14ac:dyDescent="0.25">
      <c r="F824" s="41" t="s">
        <v>2831</v>
      </c>
    </row>
    <row r="825" spans="6:6" ht="31.5" customHeight="1" x14ac:dyDescent="0.25">
      <c r="F825" s="41" t="s">
        <v>2832</v>
      </c>
    </row>
    <row r="826" spans="6:6" ht="47.25" customHeight="1" x14ac:dyDescent="0.25">
      <c r="F826" s="41" t="s">
        <v>2833</v>
      </c>
    </row>
    <row r="827" spans="6:6" ht="47.25" customHeight="1" x14ac:dyDescent="0.25">
      <c r="F827" s="41" t="s">
        <v>2834</v>
      </c>
    </row>
    <row r="828" spans="6:6" ht="47.25" customHeight="1" x14ac:dyDescent="0.25">
      <c r="F828" s="41" t="s">
        <v>2835</v>
      </c>
    </row>
    <row r="829" spans="6:6" ht="47.25" customHeight="1" x14ac:dyDescent="0.25">
      <c r="F829" s="41" t="s">
        <v>2836</v>
      </c>
    </row>
    <row r="830" spans="6:6" ht="47.25" customHeight="1" x14ac:dyDescent="0.25">
      <c r="F830" s="41" t="s">
        <v>2837</v>
      </c>
    </row>
    <row r="831" spans="6:6" ht="47.25" customHeight="1" x14ac:dyDescent="0.25">
      <c r="F831" s="41" t="s">
        <v>2838</v>
      </c>
    </row>
    <row r="832" spans="6:6" ht="47.25" customHeight="1" x14ac:dyDescent="0.25">
      <c r="F832" s="41" t="s">
        <v>2839</v>
      </c>
    </row>
    <row r="833" spans="6:6" ht="63" customHeight="1" x14ac:dyDescent="0.25">
      <c r="F833" s="41" t="s">
        <v>2840</v>
      </c>
    </row>
    <row r="834" spans="6:6" ht="47.25" customHeight="1" x14ac:dyDescent="0.25">
      <c r="F834" s="41" t="s">
        <v>2841</v>
      </c>
    </row>
    <row r="835" spans="6:6" ht="47.25" customHeight="1" x14ac:dyDescent="0.25">
      <c r="F835" s="41" t="s">
        <v>2842</v>
      </c>
    </row>
    <row r="836" spans="6:6" ht="31.5" customHeight="1" x14ac:dyDescent="0.25">
      <c r="F836" s="41" t="s">
        <v>2843</v>
      </c>
    </row>
    <row r="837" spans="6:6" ht="31.5" customHeight="1" x14ac:dyDescent="0.25">
      <c r="F837" s="41" t="s">
        <v>2844</v>
      </c>
    </row>
    <row r="838" spans="6:6" ht="47.25" customHeight="1" x14ac:dyDescent="0.25">
      <c r="F838" s="41" t="s">
        <v>2845</v>
      </c>
    </row>
    <row r="839" spans="6:6" ht="47.25" customHeight="1" x14ac:dyDescent="0.25">
      <c r="F839" s="41" t="s">
        <v>2846</v>
      </c>
    </row>
    <row r="840" spans="6:6" ht="31.5" customHeight="1" x14ac:dyDescent="0.25">
      <c r="F840" s="41" t="s">
        <v>2847</v>
      </c>
    </row>
    <row r="841" spans="6:6" ht="31.5" customHeight="1" x14ac:dyDescent="0.25">
      <c r="F841" s="41" t="s">
        <v>2848</v>
      </c>
    </row>
    <row r="842" spans="6:6" ht="31.5" customHeight="1" x14ac:dyDescent="0.25">
      <c r="F842" s="41" t="s">
        <v>2849</v>
      </c>
    </row>
    <row r="843" spans="6:6" ht="31.5" customHeight="1" x14ac:dyDescent="0.25">
      <c r="F843" s="41" t="s">
        <v>2850</v>
      </c>
    </row>
    <row r="844" spans="6:6" ht="31.5" customHeight="1" x14ac:dyDescent="0.25">
      <c r="F844" s="41" t="s">
        <v>2851</v>
      </c>
    </row>
    <row r="845" spans="6:6" ht="63" customHeight="1" x14ac:dyDescent="0.25">
      <c r="F845" s="41" t="s">
        <v>2852</v>
      </c>
    </row>
    <row r="846" spans="6:6" ht="31.5" customHeight="1" x14ac:dyDescent="0.25">
      <c r="F846" s="41" t="s">
        <v>2853</v>
      </c>
    </row>
    <row r="847" spans="6:6" ht="47.25" customHeight="1" x14ac:dyDescent="0.25">
      <c r="F847" s="41" t="s">
        <v>2854</v>
      </c>
    </row>
    <row r="848" spans="6:6" ht="47.25" customHeight="1" x14ac:dyDescent="0.25">
      <c r="F848" s="41" t="s">
        <v>2855</v>
      </c>
    </row>
    <row r="849" spans="6:6" ht="47.25" customHeight="1" x14ac:dyDescent="0.25">
      <c r="F849" s="41" t="s">
        <v>2856</v>
      </c>
    </row>
    <row r="850" spans="6:6" ht="47.25" customHeight="1" x14ac:dyDescent="0.25">
      <c r="F850" s="41" t="s">
        <v>2857</v>
      </c>
    </row>
    <row r="851" spans="6:6" ht="47.25" customHeight="1" x14ac:dyDescent="0.25">
      <c r="F851" s="41" t="s">
        <v>2858</v>
      </c>
    </row>
    <row r="852" spans="6:6" ht="47.25" customHeight="1" x14ac:dyDescent="0.25">
      <c r="F852" s="41" t="s">
        <v>2859</v>
      </c>
    </row>
    <row r="853" spans="6:6" ht="47.25" customHeight="1" x14ac:dyDescent="0.25">
      <c r="F853" s="41" t="s">
        <v>2860</v>
      </c>
    </row>
    <row r="854" spans="6:6" ht="31.5" customHeight="1" x14ac:dyDescent="0.25">
      <c r="F854" s="41" t="s">
        <v>2861</v>
      </c>
    </row>
    <row r="855" spans="6:6" ht="31.5" customHeight="1" x14ac:dyDescent="0.25">
      <c r="F855" s="41" t="s">
        <v>2862</v>
      </c>
    </row>
    <row r="856" spans="6:6" ht="47.25" customHeight="1" x14ac:dyDescent="0.25">
      <c r="F856" s="41" t="s">
        <v>2863</v>
      </c>
    </row>
    <row r="857" spans="6:6" ht="31.5" customHeight="1" x14ac:dyDescent="0.25">
      <c r="F857" s="41" t="s">
        <v>2864</v>
      </c>
    </row>
    <row r="858" spans="6:6" ht="47.25" customHeight="1" x14ac:dyDescent="0.25">
      <c r="F858" s="41" t="s">
        <v>2865</v>
      </c>
    </row>
    <row r="859" spans="6:6" ht="47.25" customHeight="1" x14ac:dyDescent="0.25">
      <c r="F859" s="41" t="s">
        <v>2866</v>
      </c>
    </row>
    <row r="860" spans="6:6" ht="31.5" customHeight="1" x14ac:dyDescent="0.25">
      <c r="F860" s="41" t="s">
        <v>2867</v>
      </c>
    </row>
    <row r="861" spans="6:6" ht="47.25" customHeight="1" x14ac:dyDescent="0.25">
      <c r="F861" s="41" t="s">
        <v>2868</v>
      </c>
    </row>
    <row r="862" spans="6:6" ht="31.5" customHeight="1" x14ac:dyDescent="0.25">
      <c r="F862" s="41" t="s">
        <v>2869</v>
      </c>
    </row>
    <row r="863" spans="6:6" ht="47.25" customHeight="1" x14ac:dyDescent="0.25">
      <c r="F863" s="41" t="s">
        <v>2870</v>
      </c>
    </row>
    <row r="864" spans="6:6" ht="31.5" customHeight="1" x14ac:dyDescent="0.25">
      <c r="F864" s="41" t="s">
        <v>2871</v>
      </c>
    </row>
    <row r="865" spans="6:6" ht="31.5" customHeight="1" x14ac:dyDescent="0.25">
      <c r="F865" s="41" t="s">
        <v>2872</v>
      </c>
    </row>
    <row r="866" spans="6:6" ht="31.5" customHeight="1" x14ac:dyDescent="0.25">
      <c r="F866" s="41" t="s">
        <v>2873</v>
      </c>
    </row>
    <row r="867" spans="6:6" ht="63" customHeight="1" x14ac:dyDescent="0.25">
      <c r="F867" s="41" t="s">
        <v>2874</v>
      </c>
    </row>
    <row r="868" spans="6:6" ht="31.5" customHeight="1" x14ac:dyDescent="0.25">
      <c r="F868" s="41" t="s">
        <v>2875</v>
      </c>
    </row>
    <row r="869" spans="6:6" ht="31.5" customHeight="1" x14ac:dyDescent="0.25">
      <c r="F869" s="41" t="s">
        <v>2876</v>
      </c>
    </row>
    <row r="870" spans="6:6" ht="47.25" customHeight="1" x14ac:dyDescent="0.25">
      <c r="F870" s="41" t="s">
        <v>2877</v>
      </c>
    </row>
    <row r="871" spans="6:6" ht="31.5" customHeight="1" x14ac:dyDescent="0.25">
      <c r="F871" s="41" t="s">
        <v>2878</v>
      </c>
    </row>
    <row r="872" spans="6:6" ht="31.5" customHeight="1" x14ac:dyDescent="0.25">
      <c r="F872" s="41" t="s">
        <v>2879</v>
      </c>
    </row>
    <row r="873" spans="6:6" ht="31.5" customHeight="1" x14ac:dyDescent="0.25">
      <c r="F873" s="41" t="s">
        <v>2880</v>
      </c>
    </row>
    <row r="874" spans="6:6" ht="47.25" customHeight="1" x14ac:dyDescent="0.25">
      <c r="F874" s="41" t="s">
        <v>2881</v>
      </c>
    </row>
    <row r="875" spans="6:6" ht="47.25" customHeight="1" x14ac:dyDescent="0.25">
      <c r="F875" s="41" t="s">
        <v>2882</v>
      </c>
    </row>
    <row r="876" spans="6:6" ht="47.25" customHeight="1" x14ac:dyDescent="0.25">
      <c r="F876" s="41" t="s">
        <v>2883</v>
      </c>
    </row>
    <row r="877" spans="6:6" ht="78.75" customHeight="1" x14ac:dyDescent="0.25">
      <c r="F877" s="41" t="s">
        <v>2884</v>
      </c>
    </row>
    <row r="878" spans="6:6" ht="31.5" customHeight="1" x14ac:dyDescent="0.25">
      <c r="F878" s="41" t="s">
        <v>2885</v>
      </c>
    </row>
    <row r="879" spans="6:6" ht="47.25" customHeight="1" x14ac:dyDescent="0.25">
      <c r="F879" s="41" t="s">
        <v>2886</v>
      </c>
    </row>
    <row r="880" spans="6:6" ht="63" customHeight="1" x14ac:dyDescent="0.25">
      <c r="F880" s="41" t="s">
        <v>2887</v>
      </c>
    </row>
    <row r="881" spans="6:6" ht="47.25" customHeight="1" x14ac:dyDescent="0.25">
      <c r="F881" s="41" t="s">
        <v>2888</v>
      </c>
    </row>
    <row r="882" spans="6:6" ht="47.25" customHeight="1" x14ac:dyDescent="0.25">
      <c r="F882" s="41" t="s">
        <v>2889</v>
      </c>
    </row>
    <row r="883" spans="6:6" ht="63" customHeight="1" x14ac:dyDescent="0.25">
      <c r="F883" s="41" t="s">
        <v>2890</v>
      </c>
    </row>
    <row r="884" spans="6:6" ht="47.25" customHeight="1" x14ac:dyDescent="0.25">
      <c r="F884" s="41" t="s">
        <v>2891</v>
      </c>
    </row>
    <row r="885" spans="6:6" ht="31.5" customHeight="1" x14ac:dyDescent="0.25">
      <c r="F885" s="41" t="s">
        <v>2892</v>
      </c>
    </row>
    <row r="886" spans="6:6" ht="47.25" customHeight="1" x14ac:dyDescent="0.25">
      <c r="F886" s="41" t="s">
        <v>2893</v>
      </c>
    </row>
    <row r="887" spans="6:6" ht="78.75" customHeight="1" x14ac:dyDescent="0.25">
      <c r="F887" s="41" t="s">
        <v>2894</v>
      </c>
    </row>
    <row r="888" spans="6:6" ht="47.25" customHeight="1" x14ac:dyDescent="0.25">
      <c r="F888" s="41" t="s">
        <v>2895</v>
      </c>
    </row>
    <row r="889" spans="6:6" ht="47.25" customHeight="1" x14ac:dyDescent="0.25">
      <c r="F889" s="41" t="s">
        <v>2896</v>
      </c>
    </row>
    <row r="890" spans="6:6" ht="47.25" customHeight="1" x14ac:dyDescent="0.25">
      <c r="F890" s="41" t="s">
        <v>2897</v>
      </c>
    </row>
    <row r="891" spans="6:6" ht="31.5" customHeight="1" x14ac:dyDescent="0.25">
      <c r="F891" s="41" t="s">
        <v>2898</v>
      </c>
    </row>
    <row r="892" spans="6:6" ht="63" customHeight="1" x14ac:dyDescent="0.25">
      <c r="F892" s="41" t="s">
        <v>2899</v>
      </c>
    </row>
    <row r="893" spans="6:6" ht="47.25" customHeight="1" x14ac:dyDescent="0.25">
      <c r="F893" s="41" t="s">
        <v>2900</v>
      </c>
    </row>
    <row r="894" spans="6:6" ht="47.25" customHeight="1" x14ac:dyDescent="0.25">
      <c r="F894" s="41" t="s">
        <v>2901</v>
      </c>
    </row>
    <row r="895" spans="6:6" ht="47.25" customHeight="1" x14ac:dyDescent="0.25">
      <c r="F895" s="41" t="s">
        <v>2902</v>
      </c>
    </row>
    <row r="896" spans="6:6" ht="47.25" customHeight="1" x14ac:dyDescent="0.25">
      <c r="F896" s="41" t="s">
        <v>2903</v>
      </c>
    </row>
    <row r="897" spans="6:6" ht="31.5" customHeight="1" x14ac:dyDescent="0.25">
      <c r="F897" s="41" t="s">
        <v>2904</v>
      </c>
    </row>
    <row r="898" spans="6:6" ht="31.5" customHeight="1" x14ac:dyDescent="0.25">
      <c r="F898" s="41" t="s">
        <v>2905</v>
      </c>
    </row>
    <row r="899" spans="6:6" ht="31.5" customHeight="1" x14ac:dyDescent="0.25">
      <c r="F899" s="41" t="s">
        <v>2906</v>
      </c>
    </row>
    <row r="900" spans="6:6" ht="31.5" customHeight="1" x14ac:dyDescent="0.25">
      <c r="F900" s="41" t="s">
        <v>2907</v>
      </c>
    </row>
    <row r="901" spans="6:6" ht="31.5" customHeight="1" x14ac:dyDescent="0.25">
      <c r="F901" s="41" t="s">
        <v>2908</v>
      </c>
    </row>
    <row r="902" spans="6:6" ht="31.5" customHeight="1" x14ac:dyDescent="0.25">
      <c r="F902" s="41" t="s">
        <v>2909</v>
      </c>
    </row>
    <row r="903" spans="6:6" ht="47.25" customHeight="1" x14ac:dyDescent="0.25">
      <c r="F903" s="41" t="s">
        <v>2910</v>
      </c>
    </row>
    <row r="904" spans="6:6" ht="31.5" customHeight="1" x14ac:dyDescent="0.25">
      <c r="F904" s="41" t="s">
        <v>2911</v>
      </c>
    </row>
    <row r="905" spans="6:6" ht="31.5" customHeight="1" x14ac:dyDescent="0.25">
      <c r="F905" s="41" t="s">
        <v>2912</v>
      </c>
    </row>
    <row r="906" spans="6:6" ht="31.5" customHeight="1" x14ac:dyDescent="0.25">
      <c r="F906" s="41" t="s">
        <v>2913</v>
      </c>
    </row>
    <row r="907" spans="6:6" ht="63" customHeight="1" x14ac:dyDescent="0.25">
      <c r="F907" s="41" t="s">
        <v>2914</v>
      </c>
    </row>
    <row r="908" spans="6:6" ht="31.5" customHeight="1" x14ac:dyDescent="0.25">
      <c r="F908" s="41" t="s">
        <v>2915</v>
      </c>
    </row>
    <row r="909" spans="6:6" ht="63" customHeight="1" x14ac:dyDescent="0.25">
      <c r="F909" s="41" t="s">
        <v>2916</v>
      </c>
    </row>
    <row r="910" spans="6:6" ht="47.25" customHeight="1" x14ac:dyDescent="0.25">
      <c r="F910" s="41" t="s">
        <v>2917</v>
      </c>
    </row>
    <row r="911" spans="6:6" ht="63" customHeight="1" x14ac:dyDescent="0.25">
      <c r="F911" s="41" t="s">
        <v>2918</v>
      </c>
    </row>
    <row r="912" spans="6:6" ht="31.5" customHeight="1" x14ac:dyDescent="0.25">
      <c r="F912" s="41" t="s">
        <v>2919</v>
      </c>
    </row>
    <row r="913" spans="6:6" ht="63" customHeight="1" x14ac:dyDescent="0.25">
      <c r="F913" s="41" t="s">
        <v>2920</v>
      </c>
    </row>
    <row r="914" spans="6:6" ht="63" customHeight="1" x14ac:dyDescent="0.25">
      <c r="F914" s="41" t="s">
        <v>2921</v>
      </c>
    </row>
    <row r="915" spans="6:6" ht="31.5" customHeight="1" x14ac:dyDescent="0.25">
      <c r="F915" s="41" t="s">
        <v>2922</v>
      </c>
    </row>
    <row r="916" spans="6:6" ht="31.5" customHeight="1" x14ac:dyDescent="0.25">
      <c r="F916" s="41" t="s">
        <v>2923</v>
      </c>
    </row>
    <row r="917" spans="6:6" ht="31.5" customHeight="1" x14ac:dyDescent="0.25">
      <c r="F917" s="41" t="s">
        <v>2924</v>
      </c>
    </row>
    <row r="918" spans="6:6" ht="47.25" customHeight="1" x14ac:dyDescent="0.25">
      <c r="F918" s="41" t="s">
        <v>2925</v>
      </c>
    </row>
    <row r="919" spans="6:6" ht="31.5" customHeight="1" x14ac:dyDescent="0.25">
      <c r="F919" s="41" t="s">
        <v>2926</v>
      </c>
    </row>
    <row r="920" spans="6:6" ht="31.5" customHeight="1" x14ac:dyDescent="0.25">
      <c r="F920" s="41" t="s">
        <v>2927</v>
      </c>
    </row>
    <row r="921" spans="6:6" ht="31.5" customHeight="1" x14ac:dyDescent="0.25">
      <c r="F921" s="41" t="s">
        <v>2928</v>
      </c>
    </row>
    <row r="922" spans="6:6" ht="31.5" customHeight="1" x14ac:dyDescent="0.25">
      <c r="F922" s="41" t="s">
        <v>2929</v>
      </c>
    </row>
    <row r="923" spans="6:6" ht="47.25" customHeight="1" x14ac:dyDescent="0.25">
      <c r="F923" s="41" t="s">
        <v>2930</v>
      </c>
    </row>
    <row r="924" spans="6:6" ht="63" customHeight="1" x14ac:dyDescent="0.25">
      <c r="F924" s="41" t="s">
        <v>2931</v>
      </c>
    </row>
    <row r="925" spans="6:6" ht="63" customHeight="1" x14ac:dyDescent="0.25">
      <c r="F925" s="41" t="s">
        <v>2932</v>
      </c>
    </row>
    <row r="926" spans="6:6" ht="47.25" customHeight="1" x14ac:dyDescent="0.25">
      <c r="F926" s="41" t="s">
        <v>2933</v>
      </c>
    </row>
    <row r="927" spans="6:6" ht="47.25" customHeight="1" x14ac:dyDescent="0.25">
      <c r="F927" s="41" t="s">
        <v>2934</v>
      </c>
    </row>
    <row r="928" spans="6:6" ht="47.25" customHeight="1" x14ac:dyDescent="0.25">
      <c r="F928" s="41" t="s">
        <v>2935</v>
      </c>
    </row>
    <row r="929" spans="6:6" ht="31.5" customHeight="1" x14ac:dyDescent="0.25">
      <c r="F929" s="41" t="s">
        <v>2936</v>
      </c>
    </row>
    <row r="930" spans="6:6" ht="47.25" customHeight="1" x14ac:dyDescent="0.25">
      <c r="F930" s="41" t="s">
        <v>2937</v>
      </c>
    </row>
    <row r="931" spans="6:6" ht="31.5" customHeight="1" x14ac:dyDescent="0.25">
      <c r="F931" s="41" t="s">
        <v>2938</v>
      </c>
    </row>
    <row r="932" spans="6:6" ht="47.25" customHeight="1" x14ac:dyDescent="0.25">
      <c r="F932" s="41" t="s">
        <v>2939</v>
      </c>
    </row>
    <row r="933" spans="6:6" ht="31.5" customHeight="1" x14ac:dyDescent="0.25">
      <c r="F933" s="41" t="s">
        <v>2940</v>
      </c>
    </row>
    <row r="934" spans="6:6" ht="31.5" customHeight="1" x14ac:dyDescent="0.25">
      <c r="F934" s="41" t="s">
        <v>2941</v>
      </c>
    </row>
    <row r="935" spans="6:6" ht="94.5" customHeight="1" x14ac:dyDescent="0.25">
      <c r="F935" s="41" t="s">
        <v>2942</v>
      </c>
    </row>
    <row r="936" spans="6:6" ht="31.5" customHeight="1" x14ac:dyDescent="0.25">
      <c r="F936" s="41" t="s">
        <v>2943</v>
      </c>
    </row>
    <row r="937" spans="6:6" ht="47.25" customHeight="1" x14ac:dyDescent="0.25">
      <c r="F937" s="41" t="s">
        <v>2944</v>
      </c>
    </row>
    <row r="938" spans="6:6" ht="47.25" customHeight="1" x14ac:dyDescent="0.25">
      <c r="F938" s="41" t="s">
        <v>2945</v>
      </c>
    </row>
    <row r="939" spans="6:6" ht="31.5" customHeight="1" x14ac:dyDescent="0.25">
      <c r="F939" s="41" t="s">
        <v>2946</v>
      </c>
    </row>
    <row r="940" spans="6:6" ht="63" customHeight="1" x14ac:dyDescent="0.25">
      <c r="F940" s="41" t="s">
        <v>2947</v>
      </c>
    </row>
    <row r="941" spans="6:6" ht="31.5" customHeight="1" x14ac:dyDescent="0.25">
      <c r="F941" s="41" t="s">
        <v>2948</v>
      </c>
    </row>
    <row r="942" spans="6:6" ht="47.25" customHeight="1" x14ac:dyDescent="0.25">
      <c r="F942" s="41" t="s">
        <v>2949</v>
      </c>
    </row>
    <row r="943" spans="6:6" ht="31.5" customHeight="1" x14ac:dyDescent="0.25">
      <c r="F943" s="41" t="s">
        <v>2950</v>
      </c>
    </row>
    <row r="944" spans="6:6" ht="31.5" customHeight="1" x14ac:dyDescent="0.25">
      <c r="F944" s="41" t="s">
        <v>2951</v>
      </c>
    </row>
    <row r="945" spans="6:6" ht="47.25" customHeight="1" x14ac:dyDescent="0.25">
      <c r="F945" s="41" t="s">
        <v>2952</v>
      </c>
    </row>
    <row r="946" spans="6:6" ht="47.25" customHeight="1" x14ac:dyDescent="0.25">
      <c r="F946" s="41" t="s">
        <v>2953</v>
      </c>
    </row>
    <row r="947" spans="6:6" ht="47.25" customHeight="1" x14ac:dyDescent="0.25">
      <c r="F947" s="41" t="s">
        <v>2954</v>
      </c>
    </row>
    <row r="948" spans="6:6" ht="47.25" customHeight="1" x14ac:dyDescent="0.25">
      <c r="F948" s="41" t="s">
        <v>2955</v>
      </c>
    </row>
    <row r="949" spans="6:6" ht="47.25" customHeight="1" x14ac:dyDescent="0.25">
      <c r="F949" s="41" t="s">
        <v>2956</v>
      </c>
    </row>
    <row r="950" spans="6:6" ht="31.5" customHeight="1" x14ac:dyDescent="0.25">
      <c r="F950" s="41" t="s">
        <v>2957</v>
      </c>
    </row>
    <row r="951" spans="6:6" ht="47.25" customHeight="1" x14ac:dyDescent="0.25">
      <c r="F951" s="41" t="s">
        <v>2958</v>
      </c>
    </row>
    <row r="952" spans="6:6" ht="47.25" customHeight="1" x14ac:dyDescent="0.25">
      <c r="F952" s="41" t="s">
        <v>2959</v>
      </c>
    </row>
    <row r="953" spans="6:6" ht="31.5" customHeight="1" x14ac:dyDescent="0.25">
      <c r="F953" s="41" t="s">
        <v>2960</v>
      </c>
    </row>
    <row r="954" spans="6:6" ht="31.5" customHeight="1" x14ac:dyDescent="0.25">
      <c r="F954" s="41" t="s">
        <v>2961</v>
      </c>
    </row>
    <row r="955" spans="6:6" ht="31.5" customHeight="1" x14ac:dyDescent="0.25">
      <c r="F955" s="41" t="s">
        <v>2962</v>
      </c>
    </row>
    <row r="956" spans="6:6" ht="47.25" customHeight="1" x14ac:dyDescent="0.25">
      <c r="F956" s="41" t="s">
        <v>2963</v>
      </c>
    </row>
    <row r="957" spans="6:6" ht="31.5" customHeight="1" x14ac:dyDescent="0.25">
      <c r="F957" s="41" t="s">
        <v>2964</v>
      </c>
    </row>
    <row r="958" spans="6:6" ht="31.5" customHeight="1" x14ac:dyDescent="0.25">
      <c r="F958" s="41" t="s">
        <v>2965</v>
      </c>
    </row>
    <row r="959" spans="6:6" ht="63" customHeight="1" x14ac:dyDescent="0.25">
      <c r="F959" s="41" t="s">
        <v>2966</v>
      </c>
    </row>
    <row r="960" spans="6:6" ht="47.25" customHeight="1" x14ac:dyDescent="0.25">
      <c r="F960" s="41" t="s">
        <v>2967</v>
      </c>
    </row>
    <row r="961" spans="6:6" ht="47.25" customHeight="1" x14ac:dyDescent="0.25">
      <c r="F961" s="41" t="s">
        <v>2968</v>
      </c>
    </row>
    <row r="962" spans="6:6" ht="47.25" customHeight="1" x14ac:dyDescent="0.25">
      <c r="F962" s="41" t="s">
        <v>2969</v>
      </c>
    </row>
    <row r="963" spans="6:6" ht="47.25" customHeight="1" x14ac:dyDescent="0.25">
      <c r="F963" s="41" t="s">
        <v>2970</v>
      </c>
    </row>
    <row r="964" spans="6:6" ht="63" customHeight="1" x14ac:dyDescent="0.25">
      <c r="F964" s="41" t="s">
        <v>2971</v>
      </c>
    </row>
    <row r="965" spans="6:6" ht="63" customHeight="1" x14ac:dyDescent="0.25">
      <c r="F965" s="41" t="s">
        <v>2972</v>
      </c>
    </row>
    <row r="966" spans="6:6" ht="47.25" customHeight="1" x14ac:dyDescent="0.25">
      <c r="F966" s="41" t="s">
        <v>2973</v>
      </c>
    </row>
    <row r="967" spans="6:6" ht="63" customHeight="1" x14ac:dyDescent="0.25">
      <c r="F967" s="41" t="s">
        <v>2974</v>
      </c>
    </row>
    <row r="968" spans="6:6" ht="78.75" customHeight="1" x14ac:dyDescent="0.25">
      <c r="F968" s="41" t="s">
        <v>2975</v>
      </c>
    </row>
    <row r="969" spans="6:6" ht="31.5" customHeight="1" x14ac:dyDescent="0.25">
      <c r="F969" s="41" t="s">
        <v>2976</v>
      </c>
    </row>
    <row r="970" spans="6:6" ht="78.75" customHeight="1" x14ac:dyDescent="0.25">
      <c r="F970" s="41" t="s">
        <v>2977</v>
      </c>
    </row>
    <row r="971" spans="6:6" ht="47.25" customHeight="1" x14ac:dyDescent="0.25">
      <c r="F971" s="41" t="s">
        <v>2978</v>
      </c>
    </row>
    <row r="972" spans="6:6" ht="31.5" customHeight="1" x14ac:dyDescent="0.25">
      <c r="F972" s="41" t="s">
        <v>2979</v>
      </c>
    </row>
    <row r="973" spans="6:6" ht="78.75" customHeight="1" x14ac:dyDescent="0.25">
      <c r="F973" s="41" t="s">
        <v>2980</v>
      </c>
    </row>
    <row r="974" spans="6:6" ht="31.5" customHeight="1" x14ac:dyDescent="0.25">
      <c r="F974" s="41" t="s">
        <v>2981</v>
      </c>
    </row>
    <row r="975" spans="6:6" ht="47.25" customHeight="1" x14ac:dyDescent="0.25">
      <c r="F975" s="41" t="s">
        <v>2982</v>
      </c>
    </row>
    <row r="976" spans="6:6" ht="31.5" customHeight="1" x14ac:dyDescent="0.25">
      <c r="F976" s="41" t="s">
        <v>2983</v>
      </c>
    </row>
    <row r="977" spans="6:6" ht="63" customHeight="1" x14ac:dyDescent="0.25">
      <c r="F977" s="41" t="s">
        <v>2984</v>
      </c>
    </row>
    <row r="978" spans="6:6" ht="78.75" customHeight="1" x14ac:dyDescent="0.25">
      <c r="F978" s="41" t="s">
        <v>2985</v>
      </c>
    </row>
    <row r="979" spans="6:6" ht="63" customHeight="1" x14ac:dyDescent="0.25">
      <c r="F979" s="41" t="s">
        <v>2986</v>
      </c>
    </row>
    <row r="980" spans="6:6" ht="31.5" customHeight="1" x14ac:dyDescent="0.25">
      <c r="F980" s="41" t="s">
        <v>2987</v>
      </c>
    </row>
    <row r="981" spans="6:6" ht="31.5" customHeight="1" x14ac:dyDescent="0.25">
      <c r="F981" s="41" t="s">
        <v>2988</v>
      </c>
    </row>
    <row r="982" spans="6:6" ht="31.5" customHeight="1" x14ac:dyDescent="0.25">
      <c r="F982" s="41" t="s">
        <v>2989</v>
      </c>
    </row>
    <row r="983" spans="6:6" ht="47.25" customHeight="1" x14ac:dyDescent="0.25">
      <c r="F983" s="41" t="s">
        <v>2990</v>
      </c>
    </row>
    <row r="984" spans="6:6" ht="47.25" customHeight="1" x14ac:dyDescent="0.25">
      <c r="F984" s="41" t="s">
        <v>2991</v>
      </c>
    </row>
    <row r="985" spans="6:6" ht="31.5" customHeight="1" x14ac:dyDescent="0.25">
      <c r="F985" s="41" t="s">
        <v>2992</v>
      </c>
    </row>
    <row r="986" spans="6:6" ht="31.5" customHeight="1" x14ac:dyDescent="0.25">
      <c r="F986" s="41" t="s">
        <v>2993</v>
      </c>
    </row>
    <row r="987" spans="6:6" ht="31.15" customHeight="1" x14ac:dyDescent="0.25">
      <c r="F987" s="41" t="s">
        <v>2994</v>
      </c>
    </row>
    <row r="988" spans="6:6" ht="31.5" customHeight="1" x14ac:dyDescent="0.25">
      <c r="F988" s="41" t="s">
        <v>2995</v>
      </c>
    </row>
    <row r="989" spans="6:6" ht="31.5" customHeight="1" x14ac:dyDescent="0.25">
      <c r="F989" s="41" t="s">
        <v>2996</v>
      </c>
    </row>
    <row r="990" spans="6:6" ht="31.5" customHeight="1" x14ac:dyDescent="0.25">
      <c r="F990" s="41" t="s">
        <v>2997</v>
      </c>
    </row>
    <row r="991" spans="6:6" ht="63" customHeight="1" x14ac:dyDescent="0.25">
      <c r="F991" s="41" t="s">
        <v>2998</v>
      </c>
    </row>
    <row r="992" spans="6:6" ht="47.25" customHeight="1" x14ac:dyDescent="0.25">
      <c r="F992" s="41" t="s">
        <v>2999</v>
      </c>
    </row>
    <row r="993" spans="6:6" ht="47.25" customHeight="1" x14ac:dyDescent="0.25">
      <c r="F993" s="41" t="s">
        <v>3000</v>
      </c>
    </row>
    <row r="994" spans="6:6" ht="31.5" customHeight="1" x14ac:dyDescent="0.25">
      <c r="F994" s="41" t="s">
        <v>3001</v>
      </c>
    </row>
    <row r="995" spans="6:6" ht="31.5" customHeight="1" x14ac:dyDescent="0.25">
      <c r="F995" s="41" t="s">
        <v>3002</v>
      </c>
    </row>
    <row r="996" spans="6:6" ht="31.5" customHeight="1" x14ac:dyDescent="0.25">
      <c r="F996" s="41" t="s">
        <v>3003</v>
      </c>
    </row>
    <row r="997" spans="6:6" ht="47.25" customHeight="1" x14ac:dyDescent="0.25">
      <c r="F997" s="41" t="s">
        <v>3004</v>
      </c>
    </row>
    <row r="998" spans="6:6" ht="47.25" customHeight="1" x14ac:dyDescent="0.25">
      <c r="F998" s="41" t="s">
        <v>3005</v>
      </c>
    </row>
    <row r="999" spans="6:6" ht="31.5" customHeight="1" x14ac:dyDescent="0.25">
      <c r="F999" s="41" t="s">
        <v>3006</v>
      </c>
    </row>
    <row r="1000" spans="6:6" ht="47.25" customHeight="1" x14ac:dyDescent="0.25">
      <c r="F1000" s="41" t="s">
        <v>3007</v>
      </c>
    </row>
    <row r="1001" spans="6:6" ht="31.5" customHeight="1" x14ac:dyDescent="0.25">
      <c r="F1001" s="41" t="s">
        <v>3008</v>
      </c>
    </row>
    <row r="1002" spans="6:6" ht="47.25" customHeight="1" x14ac:dyDescent="0.25">
      <c r="F1002" s="41" t="s">
        <v>3009</v>
      </c>
    </row>
    <row r="1003" spans="6:6" ht="31.5" customHeight="1" x14ac:dyDescent="0.25">
      <c r="F1003" s="41" t="s">
        <v>3010</v>
      </c>
    </row>
    <row r="1004" spans="6:6" ht="63" customHeight="1" x14ac:dyDescent="0.25">
      <c r="F1004" s="41" t="s">
        <v>3011</v>
      </c>
    </row>
    <row r="1005" spans="6:6" ht="47.25" customHeight="1" x14ac:dyDescent="0.25">
      <c r="F1005" s="41" t="s">
        <v>3012</v>
      </c>
    </row>
    <row r="1006" spans="6:6" ht="47.25" customHeight="1" x14ac:dyDescent="0.25">
      <c r="F1006" s="41" t="s">
        <v>3013</v>
      </c>
    </row>
    <row r="1007" spans="6:6" ht="31.5" customHeight="1" x14ac:dyDescent="0.25">
      <c r="F1007" s="41" t="s">
        <v>3014</v>
      </c>
    </row>
    <row r="1008" spans="6:6" ht="47.25" customHeight="1" x14ac:dyDescent="0.25">
      <c r="F1008" s="41" t="s">
        <v>3015</v>
      </c>
    </row>
    <row r="1009" spans="6:6" ht="31.5" customHeight="1" x14ac:dyDescent="0.25">
      <c r="F1009" s="41" t="s">
        <v>3016</v>
      </c>
    </row>
    <row r="1010" spans="6:6" ht="63" customHeight="1" x14ac:dyDescent="0.25">
      <c r="F1010" s="41" t="s">
        <v>3017</v>
      </c>
    </row>
    <row r="1011" spans="6:6" ht="63" customHeight="1" x14ac:dyDescent="0.25">
      <c r="F1011" s="41" t="s">
        <v>3018</v>
      </c>
    </row>
    <row r="1012" spans="6:6" ht="47.25" customHeight="1" x14ac:dyDescent="0.25">
      <c r="F1012" s="41" t="s">
        <v>3019</v>
      </c>
    </row>
    <row r="1013" spans="6:6" ht="31.5" customHeight="1" x14ac:dyDescent="0.25">
      <c r="F1013" s="41" t="s">
        <v>3020</v>
      </c>
    </row>
    <row r="1014" spans="6:6" ht="47.25" customHeight="1" x14ac:dyDescent="0.25">
      <c r="F1014" s="41" t="s">
        <v>3021</v>
      </c>
    </row>
    <row r="1015" spans="6:6" ht="47.25" customHeight="1" x14ac:dyDescent="0.25">
      <c r="F1015" s="41" t="s">
        <v>3022</v>
      </c>
    </row>
    <row r="1016" spans="6:6" ht="63" customHeight="1" x14ac:dyDescent="0.25">
      <c r="F1016" s="41" t="s">
        <v>3023</v>
      </c>
    </row>
    <row r="1017" spans="6:6" ht="47.25" customHeight="1" x14ac:dyDescent="0.25">
      <c r="F1017" s="41" t="s">
        <v>3024</v>
      </c>
    </row>
    <row r="1018" spans="6:6" ht="31.5" customHeight="1" x14ac:dyDescent="0.25">
      <c r="F1018" s="41" t="s">
        <v>3025</v>
      </c>
    </row>
    <row r="1019" spans="6:6" ht="47.25" customHeight="1" x14ac:dyDescent="0.25">
      <c r="F1019" s="41" t="s">
        <v>3026</v>
      </c>
    </row>
    <row r="1020" spans="6:6" ht="47.25" customHeight="1" x14ac:dyDescent="0.25">
      <c r="F1020" s="41" t="s">
        <v>3027</v>
      </c>
    </row>
    <row r="1021" spans="6:6" ht="31.5" customHeight="1" x14ac:dyDescent="0.25">
      <c r="F1021" s="41" t="s">
        <v>3028</v>
      </c>
    </row>
    <row r="1022" spans="6:6" ht="63" customHeight="1" x14ac:dyDescent="0.25">
      <c r="F1022" s="41" t="s">
        <v>3029</v>
      </c>
    </row>
    <row r="1023" spans="6:6" ht="47.25" customHeight="1" x14ac:dyDescent="0.25">
      <c r="F1023" s="41" t="s">
        <v>3030</v>
      </c>
    </row>
    <row r="1024" spans="6:6" ht="47.25" customHeight="1" x14ac:dyDescent="0.25">
      <c r="F1024" s="41" t="s">
        <v>3031</v>
      </c>
    </row>
    <row r="1025" spans="6:6" ht="47.25" customHeight="1" x14ac:dyDescent="0.25">
      <c r="F1025" s="41" t="s">
        <v>3032</v>
      </c>
    </row>
    <row r="1026" spans="6:6" ht="31.5" customHeight="1" x14ac:dyDescent="0.25">
      <c r="F1026" s="41" t="s">
        <v>3033</v>
      </c>
    </row>
    <row r="1027" spans="6:6" ht="47.25" customHeight="1" x14ac:dyDescent="0.25">
      <c r="F1027" s="41" t="s">
        <v>3034</v>
      </c>
    </row>
    <row r="1028" spans="6:6" ht="31.5" customHeight="1" x14ac:dyDescent="0.25">
      <c r="F1028" s="41" t="s">
        <v>3035</v>
      </c>
    </row>
    <row r="1029" spans="6:6" ht="31.5" customHeight="1" x14ac:dyDescent="0.25">
      <c r="F1029" s="41" t="s">
        <v>3036</v>
      </c>
    </row>
    <row r="1030" spans="6:6" ht="47.25" customHeight="1" x14ac:dyDescent="0.25">
      <c r="F1030" s="41" t="s">
        <v>3037</v>
      </c>
    </row>
    <row r="1031" spans="6:6" ht="63" customHeight="1" x14ac:dyDescent="0.25">
      <c r="F1031" s="41" t="s">
        <v>3038</v>
      </c>
    </row>
    <row r="1032" spans="6:6" ht="47.25" customHeight="1" x14ac:dyDescent="0.25">
      <c r="F1032" s="41" t="s">
        <v>3039</v>
      </c>
    </row>
    <row r="1033" spans="6:6" ht="63" customHeight="1" x14ac:dyDescent="0.25">
      <c r="F1033" s="41" t="s">
        <v>3040</v>
      </c>
    </row>
    <row r="1034" spans="6:6" ht="47.25" customHeight="1" x14ac:dyDescent="0.25">
      <c r="F1034" s="41" t="s">
        <v>3041</v>
      </c>
    </row>
    <row r="1035" spans="6:6" ht="47.25" customHeight="1" x14ac:dyDescent="0.25">
      <c r="F1035" s="41" t="s">
        <v>3042</v>
      </c>
    </row>
    <row r="1036" spans="6:6" ht="31.5" customHeight="1" x14ac:dyDescent="0.25">
      <c r="F1036" s="41" t="s">
        <v>3043</v>
      </c>
    </row>
    <row r="1037" spans="6:6" ht="63" customHeight="1" x14ac:dyDescent="0.25">
      <c r="F1037" s="41" t="s">
        <v>3044</v>
      </c>
    </row>
    <row r="1038" spans="6:6" ht="31.5" customHeight="1" x14ac:dyDescent="0.25">
      <c r="F1038" s="41" t="s">
        <v>3045</v>
      </c>
    </row>
    <row r="1039" spans="6:6" ht="63" customHeight="1" x14ac:dyDescent="0.25">
      <c r="F1039" s="41" t="s">
        <v>3046</v>
      </c>
    </row>
    <row r="1040" spans="6:6" ht="47.25" customHeight="1" x14ac:dyDescent="0.25">
      <c r="F1040" s="41" t="s">
        <v>3047</v>
      </c>
    </row>
    <row r="1041" spans="6:6" ht="47.25" customHeight="1" x14ac:dyDescent="0.25">
      <c r="F1041" s="41" t="s">
        <v>3048</v>
      </c>
    </row>
    <row r="1042" spans="6:6" ht="47.25" customHeight="1" x14ac:dyDescent="0.25">
      <c r="F1042" s="41" t="s">
        <v>3049</v>
      </c>
    </row>
    <row r="1043" spans="6:6" ht="47.25" customHeight="1" x14ac:dyDescent="0.25">
      <c r="F1043" s="41" t="s">
        <v>3050</v>
      </c>
    </row>
    <row r="1044" spans="6:6" ht="47.25" customHeight="1" x14ac:dyDescent="0.25">
      <c r="F1044" s="41" t="s">
        <v>3051</v>
      </c>
    </row>
    <row r="1045" spans="6:6" ht="47.25" customHeight="1" x14ac:dyDescent="0.25">
      <c r="F1045" s="41" t="s">
        <v>3052</v>
      </c>
    </row>
    <row r="1046" spans="6:6" ht="47.25" customHeight="1" x14ac:dyDescent="0.25">
      <c r="F1046" s="41" t="s">
        <v>3053</v>
      </c>
    </row>
    <row r="1047" spans="6:6" ht="31.5" customHeight="1" x14ac:dyDescent="0.25">
      <c r="F1047" s="41" t="s">
        <v>3054</v>
      </c>
    </row>
    <row r="1048" spans="6:6" ht="63" customHeight="1" x14ac:dyDescent="0.25">
      <c r="F1048" s="41" t="s">
        <v>3055</v>
      </c>
    </row>
    <row r="1049" spans="6:6" ht="63" customHeight="1" x14ac:dyDescent="0.25">
      <c r="F1049" s="41" t="s">
        <v>3056</v>
      </c>
    </row>
    <row r="1050" spans="6:6" ht="63" customHeight="1" x14ac:dyDescent="0.25">
      <c r="F1050" s="41" t="s">
        <v>3057</v>
      </c>
    </row>
    <row r="1051" spans="6:6" ht="47.25" customHeight="1" x14ac:dyDescent="0.25">
      <c r="F1051" s="41" t="s">
        <v>3058</v>
      </c>
    </row>
    <row r="1052" spans="6:6" ht="31.5" customHeight="1" x14ac:dyDescent="0.25">
      <c r="F1052" s="41" t="s">
        <v>3059</v>
      </c>
    </row>
    <row r="1053" spans="6:6" ht="47.25" customHeight="1" x14ac:dyDescent="0.25">
      <c r="F1053" s="41" t="s">
        <v>3060</v>
      </c>
    </row>
    <row r="1054" spans="6:6" ht="47.25" customHeight="1" x14ac:dyDescent="0.25">
      <c r="F1054" s="41" t="s">
        <v>3061</v>
      </c>
    </row>
    <row r="1055" spans="6:6" ht="31.5" customHeight="1" x14ac:dyDescent="0.25">
      <c r="F1055" s="41" t="s">
        <v>3062</v>
      </c>
    </row>
    <row r="1056" spans="6:6" ht="94.5" customHeight="1" x14ac:dyDescent="0.25">
      <c r="F1056" s="41" t="s">
        <v>3063</v>
      </c>
    </row>
    <row r="1057" spans="6:6" ht="31.5" customHeight="1" x14ac:dyDescent="0.25">
      <c r="F1057" s="41" t="s">
        <v>3064</v>
      </c>
    </row>
    <row r="1058" spans="6:6" ht="31.5" customHeight="1" x14ac:dyDescent="0.25">
      <c r="F1058" s="41" t="s">
        <v>3065</v>
      </c>
    </row>
    <row r="1059" spans="6:6" x14ac:dyDescent="0.25">
      <c r="F1059" s="41" t="s">
        <v>3066</v>
      </c>
    </row>
    <row r="1060" spans="6:6" ht="47.25" customHeight="1" x14ac:dyDescent="0.25">
      <c r="F1060" s="41" t="s">
        <v>3067</v>
      </c>
    </row>
    <row r="1061" spans="6:6" ht="31.5" customHeight="1" x14ac:dyDescent="0.25">
      <c r="F1061" s="41" t="s">
        <v>3068</v>
      </c>
    </row>
    <row r="1062" spans="6:6" ht="47.25" customHeight="1" x14ac:dyDescent="0.25">
      <c r="F1062" s="41" t="s">
        <v>3069</v>
      </c>
    </row>
    <row r="1063" spans="6:6" ht="47.25" customHeight="1" x14ac:dyDescent="0.25">
      <c r="F1063" s="41" t="s">
        <v>3070</v>
      </c>
    </row>
    <row r="1064" spans="6:6" ht="47.25" customHeight="1" x14ac:dyDescent="0.25">
      <c r="F1064" s="41" t="s">
        <v>3071</v>
      </c>
    </row>
    <row r="1065" spans="6:6" ht="47.25" customHeight="1" x14ac:dyDescent="0.25">
      <c r="F1065" s="41" t="s">
        <v>3072</v>
      </c>
    </row>
    <row r="1066" spans="6:6" ht="47.25" customHeight="1" x14ac:dyDescent="0.25">
      <c r="F1066" s="41" t="s">
        <v>3073</v>
      </c>
    </row>
    <row r="1067" spans="6:6" ht="47.25" customHeight="1" x14ac:dyDescent="0.25">
      <c r="F1067" s="41" t="s">
        <v>3074</v>
      </c>
    </row>
    <row r="1068" spans="6:6" ht="63" customHeight="1" x14ac:dyDescent="0.25">
      <c r="F1068" s="41" t="s">
        <v>3075</v>
      </c>
    </row>
    <row r="1069" spans="6:6" ht="47.25" customHeight="1" x14ac:dyDescent="0.25">
      <c r="F1069" s="41" t="s">
        <v>3076</v>
      </c>
    </row>
    <row r="1070" spans="6:6" ht="47.25" customHeight="1" x14ac:dyDescent="0.25">
      <c r="F1070" s="41" t="s">
        <v>3077</v>
      </c>
    </row>
    <row r="1071" spans="6:6" ht="31.5" customHeight="1" x14ac:dyDescent="0.25">
      <c r="F1071" s="41" t="s">
        <v>3078</v>
      </c>
    </row>
    <row r="1072" spans="6:6" ht="63" customHeight="1" x14ac:dyDescent="0.25">
      <c r="F1072" s="41" t="s">
        <v>3079</v>
      </c>
    </row>
    <row r="1073" spans="6:6" ht="47.25" customHeight="1" x14ac:dyDescent="0.25">
      <c r="F1073" s="41" t="s">
        <v>3080</v>
      </c>
    </row>
    <row r="1074" spans="6:6" ht="47.25" customHeight="1" x14ac:dyDescent="0.25">
      <c r="F1074" s="41" t="s">
        <v>3081</v>
      </c>
    </row>
    <row r="1075" spans="6:6" ht="47.25" customHeight="1" x14ac:dyDescent="0.25">
      <c r="F1075" s="41" t="s">
        <v>3082</v>
      </c>
    </row>
    <row r="1076" spans="6:6" ht="31.5" customHeight="1" x14ac:dyDescent="0.25">
      <c r="F1076" s="41" t="s">
        <v>3083</v>
      </c>
    </row>
    <row r="1077" spans="6:6" ht="47.25" customHeight="1" x14ac:dyDescent="0.25">
      <c r="F1077" s="41" t="s">
        <v>3084</v>
      </c>
    </row>
    <row r="1078" spans="6:6" ht="31.5" customHeight="1" x14ac:dyDescent="0.25">
      <c r="F1078" s="41" t="s">
        <v>3085</v>
      </c>
    </row>
    <row r="1079" spans="6:6" ht="31.5" customHeight="1" x14ac:dyDescent="0.25">
      <c r="F1079" s="41" t="s">
        <v>3086</v>
      </c>
    </row>
    <row r="1080" spans="6:6" ht="31.5" customHeight="1" x14ac:dyDescent="0.25">
      <c r="F1080" s="41" t="s">
        <v>3087</v>
      </c>
    </row>
    <row r="1081" spans="6:6" ht="31.5" customHeight="1" x14ac:dyDescent="0.25">
      <c r="F1081" s="41" t="s">
        <v>3088</v>
      </c>
    </row>
    <row r="1082" spans="6:6" ht="47.25" customHeight="1" x14ac:dyDescent="0.25">
      <c r="F1082" s="41" t="s">
        <v>3089</v>
      </c>
    </row>
    <row r="1083" spans="6:6" ht="47.25" customHeight="1" x14ac:dyDescent="0.25">
      <c r="F1083" s="41" t="s">
        <v>3090</v>
      </c>
    </row>
    <row r="1084" spans="6:6" ht="63" customHeight="1" x14ac:dyDescent="0.25">
      <c r="F1084" s="41" t="s">
        <v>3091</v>
      </c>
    </row>
    <row r="1085" spans="6:6" ht="63" customHeight="1" x14ac:dyDescent="0.25">
      <c r="F1085" s="41" t="s">
        <v>3092</v>
      </c>
    </row>
    <row r="1086" spans="6:6" ht="31.5" customHeight="1" x14ac:dyDescent="0.25">
      <c r="F1086" s="41" t="s">
        <v>3093</v>
      </c>
    </row>
    <row r="1087" spans="6:6" ht="31.5" customHeight="1" x14ac:dyDescent="0.25">
      <c r="F1087" s="41" t="s">
        <v>3094</v>
      </c>
    </row>
    <row r="1088" spans="6:6" ht="31.5" customHeight="1" x14ac:dyDescent="0.25">
      <c r="F1088" s="41" t="s">
        <v>3095</v>
      </c>
    </row>
    <row r="1089" spans="6:6" ht="31.5" customHeight="1" x14ac:dyDescent="0.25">
      <c r="F1089" s="41" t="s">
        <v>3096</v>
      </c>
    </row>
    <row r="1090" spans="6:6" ht="63" customHeight="1" x14ac:dyDescent="0.25">
      <c r="F1090" s="41" t="s">
        <v>3097</v>
      </c>
    </row>
    <row r="1091" spans="6:6" ht="31.5" customHeight="1" x14ac:dyDescent="0.25">
      <c r="F1091" s="41" t="s">
        <v>3098</v>
      </c>
    </row>
    <row r="1092" spans="6:6" ht="31.5" customHeight="1" x14ac:dyDescent="0.25">
      <c r="F1092" s="41" t="s">
        <v>3099</v>
      </c>
    </row>
    <row r="1093" spans="6:6" ht="47.25" customHeight="1" x14ac:dyDescent="0.25">
      <c r="F1093" s="41" t="s">
        <v>3100</v>
      </c>
    </row>
    <row r="1094" spans="6:6" ht="47.25" customHeight="1" x14ac:dyDescent="0.25">
      <c r="F1094" s="41" t="s">
        <v>3101</v>
      </c>
    </row>
    <row r="1095" spans="6:6" ht="47.25" customHeight="1" x14ac:dyDescent="0.25">
      <c r="F1095" s="41" t="s">
        <v>3102</v>
      </c>
    </row>
    <row r="1096" spans="6:6" ht="31.5" customHeight="1" x14ac:dyDescent="0.25">
      <c r="F1096" s="41" t="s">
        <v>3103</v>
      </c>
    </row>
    <row r="1097" spans="6:6" ht="63" customHeight="1" x14ac:dyDescent="0.25">
      <c r="F1097" s="41" t="s">
        <v>3104</v>
      </c>
    </row>
    <row r="1098" spans="6:6" ht="31.5" customHeight="1" x14ac:dyDescent="0.25">
      <c r="F1098" s="41" t="s">
        <v>3105</v>
      </c>
    </row>
    <row r="1099" spans="6:6" ht="63" customHeight="1" x14ac:dyDescent="0.25">
      <c r="F1099" s="41" t="s">
        <v>3106</v>
      </c>
    </row>
    <row r="1100" spans="6:6" ht="47.25" customHeight="1" x14ac:dyDescent="0.25">
      <c r="F1100" s="41" t="s">
        <v>3107</v>
      </c>
    </row>
    <row r="1101" spans="6:6" ht="63" customHeight="1" x14ac:dyDescent="0.25">
      <c r="F1101" s="41" t="s">
        <v>3108</v>
      </c>
    </row>
    <row r="1102" spans="6:6" ht="31.5" customHeight="1" x14ac:dyDescent="0.25">
      <c r="F1102" s="41" t="s">
        <v>3109</v>
      </c>
    </row>
    <row r="1103" spans="6:6" ht="47.25" customHeight="1" x14ac:dyDescent="0.25">
      <c r="F1103" s="41" t="s">
        <v>3110</v>
      </c>
    </row>
    <row r="1104" spans="6:6" ht="47.25" customHeight="1" x14ac:dyDescent="0.25">
      <c r="F1104" s="41" t="s">
        <v>3111</v>
      </c>
    </row>
    <row r="1105" spans="6:6" ht="47.25" customHeight="1" x14ac:dyDescent="0.25">
      <c r="F1105" s="41" t="s">
        <v>3112</v>
      </c>
    </row>
    <row r="1106" spans="6:6" ht="31.5" customHeight="1" x14ac:dyDescent="0.25">
      <c r="F1106" s="41" t="s">
        <v>3113</v>
      </c>
    </row>
    <row r="1107" spans="6:6" ht="31.5" customHeight="1" x14ac:dyDescent="0.25">
      <c r="F1107" s="41" t="s">
        <v>3114</v>
      </c>
    </row>
    <row r="1108" spans="6:6" ht="47.25" customHeight="1" x14ac:dyDescent="0.25">
      <c r="F1108" s="41" t="s">
        <v>3115</v>
      </c>
    </row>
    <row r="1109" spans="6:6" ht="47.25" customHeight="1" x14ac:dyDescent="0.25">
      <c r="F1109" s="41" t="s">
        <v>3116</v>
      </c>
    </row>
    <row r="1110" spans="6:6" ht="47.25" customHeight="1" x14ac:dyDescent="0.25">
      <c r="F1110" s="41" t="s">
        <v>3117</v>
      </c>
    </row>
    <row r="1111" spans="6:6" ht="47.25" customHeight="1" x14ac:dyDescent="0.25">
      <c r="F1111" s="41" t="s">
        <v>3118</v>
      </c>
    </row>
    <row r="1112" spans="6:6" ht="31.5" customHeight="1" x14ac:dyDescent="0.25">
      <c r="F1112" s="41" t="s">
        <v>3119</v>
      </c>
    </row>
    <row r="1113" spans="6:6" ht="63" customHeight="1" x14ac:dyDescent="0.25">
      <c r="F1113" s="41" t="s">
        <v>3120</v>
      </c>
    </row>
    <row r="1114" spans="6:6" ht="31.5" customHeight="1" x14ac:dyDescent="0.25">
      <c r="F1114" s="41" t="s">
        <v>3121</v>
      </c>
    </row>
    <row r="1115" spans="6:6" ht="78.75" customHeight="1" x14ac:dyDescent="0.25">
      <c r="F1115" s="41" t="s">
        <v>3122</v>
      </c>
    </row>
    <row r="1116" spans="6:6" ht="31.5" customHeight="1" x14ac:dyDescent="0.25">
      <c r="F1116" s="41" t="s">
        <v>3123</v>
      </c>
    </row>
    <row r="1117" spans="6:6" ht="47.25" customHeight="1" x14ac:dyDescent="0.25">
      <c r="F1117" s="41" t="s">
        <v>3124</v>
      </c>
    </row>
    <row r="1118" spans="6:6" ht="31.5" customHeight="1" x14ac:dyDescent="0.25">
      <c r="F1118" s="41" t="s">
        <v>3125</v>
      </c>
    </row>
    <row r="1119" spans="6:6" ht="63" customHeight="1" x14ac:dyDescent="0.25">
      <c r="F1119" s="41" t="s">
        <v>3126</v>
      </c>
    </row>
    <row r="1120" spans="6:6" ht="31.5" customHeight="1" x14ac:dyDescent="0.25">
      <c r="F1120" s="41" t="s">
        <v>3127</v>
      </c>
    </row>
    <row r="1121" spans="6:6" ht="47.25" customHeight="1" x14ac:dyDescent="0.25">
      <c r="F1121" s="41" t="s">
        <v>3128</v>
      </c>
    </row>
    <row r="1122" spans="6:6" ht="63" customHeight="1" x14ac:dyDescent="0.25">
      <c r="F1122" s="41" t="s">
        <v>3129</v>
      </c>
    </row>
    <row r="1123" spans="6:6" ht="47.25" customHeight="1" x14ac:dyDescent="0.25">
      <c r="F1123" s="41" t="s">
        <v>3130</v>
      </c>
    </row>
    <row r="1124" spans="6:6" ht="78.75" customHeight="1" x14ac:dyDescent="0.25">
      <c r="F1124" s="41" t="s">
        <v>3131</v>
      </c>
    </row>
    <row r="1125" spans="6:6" ht="63" customHeight="1" x14ac:dyDescent="0.25">
      <c r="F1125" s="41" t="s">
        <v>3132</v>
      </c>
    </row>
    <row r="1126" spans="6:6" ht="63" customHeight="1" x14ac:dyDescent="0.25">
      <c r="F1126" s="41" t="s">
        <v>3133</v>
      </c>
    </row>
    <row r="1127" spans="6:6" ht="31.5" customHeight="1" x14ac:dyDescent="0.25">
      <c r="F1127" s="41" t="s">
        <v>3134</v>
      </c>
    </row>
    <row r="1128" spans="6:6" ht="31.5" customHeight="1" x14ac:dyDescent="0.25">
      <c r="F1128" s="41" t="s">
        <v>3135</v>
      </c>
    </row>
    <row r="1129" spans="6:6" ht="31.5" customHeight="1" x14ac:dyDescent="0.25">
      <c r="F1129" s="41" t="s">
        <v>3136</v>
      </c>
    </row>
    <row r="1130" spans="6:6" ht="31.5" customHeight="1" x14ac:dyDescent="0.25">
      <c r="F1130" s="41" t="s">
        <v>3137</v>
      </c>
    </row>
    <row r="1131" spans="6:6" ht="47.25" customHeight="1" x14ac:dyDescent="0.25">
      <c r="F1131" s="41" t="s">
        <v>3138</v>
      </c>
    </row>
    <row r="1132" spans="6:6" ht="31.5" customHeight="1" x14ac:dyDescent="0.25">
      <c r="F1132" s="41" t="s">
        <v>3139</v>
      </c>
    </row>
    <row r="1133" spans="6:6" ht="47.25" customHeight="1" x14ac:dyDescent="0.25">
      <c r="F1133" s="41" t="s">
        <v>3140</v>
      </c>
    </row>
    <row r="1134" spans="6:6" ht="31.5" customHeight="1" x14ac:dyDescent="0.25">
      <c r="F1134" s="41" t="s">
        <v>3141</v>
      </c>
    </row>
    <row r="1135" spans="6:6" ht="47.25" customHeight="1" x14ac:dyDescent="0.25">
      <c r="F1135" s="41" t="s">
        <v>3142</v>
      </c>
    </row>
    <row r="1136" spans="6:6" ht="31.5" customHeight="1" x14ac:dyDescent="0.25">
      <c r="F1136" s="41" t="s">
        <v>3143</v>
      </c>
    </row>
    <row r="1137" spans="6:6" ht="47.25" customHeight="1" x14ac:dyDescent="0.25">
      <c r="F1137" s="41" t="s">
        <v>3144</v>
      </c>
    </row>
    <row r="1138" spans="6:6" ht="31.5" customHeight="1" x14ac:dyDescent="0.25">
      <c r="F1138" s="41" t="s">
        <v>3145</v>
      </c>
    </row>
    <row r="1139" spans="6:6" ht="47.25" customHeight="1" x14ac:dyDescent="0.25">
      <c r="F1139" s="41" t="s">
        <v>3146</v>
      </c>
    </row>
    <row r="1140" spans="6:6" ht="47.25" customHeight="1" x14ac:dyDescent="0.25">
      <c r="F1140" s="41" t="s">
        <v>3147</v>
      </c>
    </row>
    <row r="1141" spans="6:6" ht="47.25" customHeight="1" x14ac:dyDescent="0.25">
      <c r="F1141" s="41" t="s">
        <v>3148</v>
      </c>
    </row>
    <row r="1142" spans="6:6" ht="47.25" customHeight="1" x14ac:dyDescent="0.25">
      <c r="F1142" s="41" t="s">
        <v>3149</v>
      </c>
    </row>
    <row r="1143" spans="6:6" ht="47.25" customHeight="1" x14ac:dyDescent="0.25">
      <c r="F1143" s="41" t="s">
        <v>3150</v>
      </c>
    </row>
    <row r="1144" spans="6:6" ht="63" customHeight="1" x14ac:dyDescent="0.25">
      <c r="F1144" s="41" t="s">
        <v>3151</v>
      </c>
    </row>
    <row r="1145" spans="6:6" ht="47.25" customHeight="1" x14ac:dyDescent="0.25">
      <c r="F1145" s="41" t="s">
        <v>3152</v>
      </c>
    </row>
    <row r="1146" spans="6:6" ht="47.25" customHeight="1" x14ac:dyDescent="0.25">
      <c r="F1146" s="41" t="s">
        <v>3153</v>
      </c>
    </row>
    <row r="1147" spans="6:6" ht="31.5" customHeight="1" x14ac:dyDescent="0.25">
      <c r="F1147" s="41" t="s">
        <v>3154</v>
      </c>
    </row>
    <row r="1148" spans="6:6" ht="31.5" customHeight="1" x14ac:dyDescent="0.25">
      <c r="F1148" s="41" t="s">
        <v>3155</v>
      </c>
    </row>
    <row r="1149" spans="6:6" ht="31.5" customHeight="1" x14ac:dyDescent="0.25">
      <c r="F1149" s="41" t="s">
        <v>3156</v>
      </c>
    </row>
    <row r="1150" spans="6:6" ht="47.25" customHeight="1" x14ac:dyDescent="0.25">
      <c r="F1150" s="41" t="s">
        <v>3157</v>
      </c>
    </row>
    <row r="1151" spans="6:6" ht="47.25" customHeight="1" x14ac:dyDescent="0.25">
      <c r="F1151" s="41" t="s">
        <v>3158</v>
      </c>
    </row>
    <row r="1152" spans="6:6" ht="47.25" customHeight="1" x14ac:dyDescent="0.25">
      <c r="F1152" s="41" t="s">
        <v>3159</v>
      </c>
    </row>
    <row r="1153" spans="6:6" ht="63" customHeight="1" x14ac:dyDescent="0.25">
      <c r="F1153" s="41" t="s">
        <v>3160</v>
      </c>
    </row>
    <row r="1154" spans="6:6" ht="47.25" customHeight="1" x14ac:dyDescent="0.25">
      <c r="F1154" s="41" t="s">
        <v>3161</v>
      </c>
    </row>
    <row r="1155" spans="6:6" ht="31.5" customHeight="1" x14ac:dyDescent="0.25">
      <c r="F1155" s="41" t="s">
        <v>3162</v>
      </c>
    </row>
    <row r="1156" spans="6:6" ht="63" customHeight="1" x14ac:dyDescent="0.25">
      <c r="F1156" s="41" t="s">
        <v>3163</v>
      </c>
    </row>
    <row r="1157" spans="6:6" ht="31.5" customHeight="1" x14ac:dyDescent="0.25">
      <c r="F1157" s="41" t="s">
        <v>3164</v>
      </c>
    </row>
    <row r="1158" spans="6:6" ht="47.25" customHeight="1" x14ac:dyDescent="0.25">
      <c r="F1158" s="41" t="s">
        <v>3165</v>
      </c>
    </row>
    <row r="1159" spans="6:6" ht="47.25" customHeight="1" x14ac:dyDescent="0.25">
      <c r="F1159" s="41" t="s">
        <v>3166</v>
      </c>
    </row>
    <row r="1160" spans="6:6" ht="47.25" customHeight="1" x14ac:dyDescent="0.25">
      <c r="F1160" s="41" t="s">
        <v>3167</v>
      </c>
    </row>
    <row r="1161" spans="6:6" ht="47.25" customHeight="1" x14ac:dyDescent="0.25">
      <c r="F1161" s="41" t="s">
        <v>3168</v>
      </c>
    </row>
    <row r="1162" spans="6:6" ht="47.25" customHeight="1" x14ac:dyDescent="0.25">
      <c r="F1162" s="41" t="s">
        <v>3169</v>
      </c>
    </row>
    <row r="1163" spans="6:6" ht="63" customHeight="1" x14ac:dyDescent="0.25">
      <c r="F1163" s="41" t="s">
        <v>3170</v>
      </c>
    </row>
    <row r="1164" spans="6:6" ht="78.75" customHeight="1" x14ac:dyDescent="0.25">
      <c r="F1164" s="41" t="s">
        <v>3171</v>
      </c>
    </row>
    <row r="1165" spans="6:6" ht="63" customHeight="1" x14ac:dyDescent="0.25">
      <c r="F1165" s="41" t="s">
        <v>3172</v>
      </c>
    </row>
    <row r="1166" spans="6:6" ht="47.25" customHeight="1" x14ac:dyDescent="0.25">
      <c r="F1166" s="41" t="s">
        <v>3069</v>
      </c>
    </row>
    <row r="1167" spans="6:6" ht="47.25" customHeight="1" x14ac:dyDescent="0.25">
      <c r="F1167" s="41" t="s">
        <v>3173</v>
      </c>
    </row>
    <row r="1168" spans="6:6" ht="63" customHeight="1" x14ac:dyDescent="0.25">
      <c r="F1168" s="41" t="s">
        <v>3174</v>
      </c>
    </row>
    <row r="1169" spans="6:6" ht="63" customHeight="1" x14ac:dyDescent="0.25">
      <c r="F1169" s="41" t="s">
        <v>3175</v>
      </c>
    </row>
    <row r="1170" spans="6:6" ht="63" customHeight="1" x14ac:dyDescent="0.25">
      <c r="F1170" s="41" t="s">
        <v>3176</v>
      </c>
    </row>
    <row r="1171" spans="6:6" ht="78.75" customHeight="1" x14ac:dyDescent="0.25">
      <c r="F1171" s="41" t="s">
        <v>3177</v>
      </c>
    </row>
    <row r="1172" spans="6:6" ht="31.5" customHeight="1" x14ac:dyDescent="0.25">
      <c r="F1172" s="41" t="s">
        <v>3178</v>
      </c>
    </row>
    <row r="1173" spans="6:6" ht="47.25" customHeight="1" x14ac:dyDescent="0.25">
      <c r="F1173" s="41" t="s">
        <v>3179</v>
      </c>
    </row>
    <row r="1174" spans="6:6" ht="31.5" customHeight="1" x14ac:dyDescent="0.25">
      <c r="F1174" s="41" t="s">
        <v>3180</v>
      </c>
    </row>
    <row r="1175" spans="6:6" ht="47.25" customHeight="1" x14ac:dyDescent="0.25">
      <c r="F1175" s="41" t="s">
        <v>3181</v>
      </c>
    </row>
    <row r="1176" spans="6:6" ht="31.5" customHeight="1" x14ac:dyDescent="0.25">
      <c r="F1176" s="41" t="s">
        <v>3182</v>
      </c>
    </row>
    <row r="1177" spans="6:6" ht="31.5" customHeight="1" x14ac:dyDescent="0.25">
      <c r="F1177" s="41" t="s">
        <v>3183</v>
      </c>
    </row>
    <row r="1178" spans="6:6" ht="31.5" customHeight="1" x14ac:dyDescent="0.25">
      <c r="F1178" s="41" t="s">
        <v>3184</v>
      </c>
    </row>
    <row r="1179" spans="6:6" ht="31.5" customHeight="1" x14ac:dyDescent="0.25">
      <c r="F1179" s="41" t="s">
        <v>3185</v>
      </c>
    </row>
    <row r="1180" spans="6:6" ht="47.25" customHeight="1" x14ac:dyDescent="0.25">
      <c r="F1180" s="41" t="s">
        <v>3186</v>
      </c>
    </row>
    <row r="1181" spans="6:6" ht="31.5" customHeight="1" x14ac:dyDescent="0.25">
      <c r="F1181" s="41" t="s">
        <v>3187</v>
      </c>
    </row>
    <row r="1182" spans="6:6" ht="31.5" customHeight="1" x14ac:dyDescent="0.25">
      <c r="F1182" s="41" t="s">
        <v>3188</v>
      </c>
    </row>
    <row r="1183" spans="6:6" ht="47.25" customHeight="1" x14ac:dyDescent="0.25">
      <c r="F1183" s="41" t="s">
        <v>3189</v>
      </c>
    </row>
    <row r="1184" spans="6:6" ht="47.25" customHeight="1" x14ac:dyDescent="0.25">
      <c r="F1184" s="41" t="s">
        <v>3190</v>
      </c>
    </row>
    <row r="1185" spans="6:6" ht="31.5" customHeight="1" x14ac:dyDescent="0.25">
      <c r="F1185" s="41" t="s">
        <v>3191</v>
      </c>
    </row>
    <row r="1186" spans="6:6" ht="63" customHeight="1" x14ac:dyDescent="0.25">
      <c r="F1186" s="41" t="s">
        <v>3192</v>
      </c>
    </row>
    <row r="1187" spans="6:6" ht="47.25" customHeight="1" x14ac:dyDescent="0.25">
      <c r="F1187" s="41" t="s">
        <v>3193</v>
      </c>
    </row>
    <row r="1188" spans="6:6" ht="47.25" customHeight="1" x14ac:dyDescent="0.25">
      <c r="F1188" s="41" t="s">
        <v>3194</v>
      </c>
    </row>
    <row r="1189" spans="6:6" ht="63" customHeight="1" x14ac:dyDescent="0.25">
      <c r="F1189" s="41" t="s">
        <v>3195</v>
      </c>
    </row>
    <row r="1190" spans="6:6" ht="94.5" customHeight="1" x14ac:dyDescent="0.25">
      <c r="F1190" s="41" t="s">
        <v>3196</v>
      </c>
    </row>
    <row r="1191" spans="6:6" ht="110.25" customHeight="1" x14ac:dyDescent="0.25">
      <c r="F1191" s="41" t="s">
        <v>3197</v>
      </c>
    </row>
    <row r="1192" spans="6:6" ht="47.25" customHeight="1" x14ac:dyDescent="0.25">
      <c r="F1192" s="41" t="s">
        <v>3198</v>
      </c>
    </row>
    <row r="1193" spans="6:6" ht="63" customHeight="1" x14ac:dyDescent="0.25">
      <c r="F1193" s="41" t="s">
        <v>3199</v>
      </c>
    </row>
    <row r="1194" spans="6:6" ht="31.5" customHeight="1" x14ac:dyDescent="0.25">
      <c r="F1194" s="41" t="s">
        <v>3200</v>
      </c>
    </row>
    <row r="1195" spans="6:6" ht="47.25" customHeight="1" x14ac:dyDescent="0.25">
      <c r="F1195" s="41" t="s">
        <v>3201</v>
      </c>
    </row>
    <row r="1196" spans="6:6" ht="47.25" customHeight="1" x14ac:dyDescent="0.25">
      <c r="F1196" s="41" t="s">
        <v>3202</v>
      </c>
    </row>
    <row r="1197" spans="6:6" ht="47.25" customHeight="1" x14ac:dyDescent="0.25">
      <c r="F1197" s="41" t="s">
        <v>3203</v>
      </c>
    </row>
    <row r="1198" spans="6:6" ht="63" customHeight="1" x14ac:dyDescent="0.25">
      <c r="F1198" s="41" t="s">
        <v>3204</v>
      </c>
    </row>
    <row r="1199" spans="6:6" ht="63" customHeight="1" x14ac:dyDescent="0.25">
      <c r="F1199" s="41" t="s">
        <v>3205</v>
      </c>
    </row>
    <row r="1200" spans="6:6" ht="31.5" customHeight="1" x14ac:dyDescent="0.25">
      <c r="F1200" s="41" t="s">
        <v>3206</v>
      </c>
    </row>
    <row r="1201" spans="6:6" ht="63" customHeight="1" x14ac:dyDescent="0.25">
      <c r="F1201" s="41" t="s">
        <v>3207</v>
      </c>
    </row>
    <row r="1202" spans="6:6" ht="47.25" customHeight="1" x14ac:dyDescent="0.25">
      <c r="F1202" s="41" t="s">
        <v>3208</v>
      </c>
    </row>
    <row r="1203" spans="6:6" ht="31.5" customHeight="1" x14ac:dyDescent="0.25">
      <c r="F1203" s="41" t="s">
        <v>3209</v>
      </c>
    </row>
    <row r="1204" spans="6:6" ht="47.25" customHeight="1" x14ac:dyDescent="0.25">
      <c r="F1204" s="41" t="s">
        <v>3210</v>
      </c>
    </row>
    <row r="1205" spans="6:6" ht="47.25" customHeight="1" x14ac:dyDescent="0.25">
      <c r="F1205" s="41" t="s">
        <v>3211</v>
      </c>
    </row>
    <row r="1206" spans="6:6" ht="47.25" customHeight="1" x14ac:dyDescent="0.25">
      <c r="F1206" s="41" t="s">
        <v>3212</v>
      </c>
    </row>
    <row r="1207" spans="6:6" ht="47.25" customHeight="1" x14ac:dyDescent="0.25">
      <c r="F1207" s="41" t="s">
        <v>3213</v>
      </c>
    </row>
    <row r="1208" spans="6:6" ht="31.5" customHeight="1" x14ac:dyDescent="0.25">
      <c r="F1208" s="41" t="s">
        <v>3214</v>
      </c>
    </row>
    <row r="1209" spans="6:6" ht="63" customHeight="1" x14ac:dyDescent="0.25">
      <c r="F1209" s="41" t="s">
        <v>3215</v>
      </c>
    </row>
    <row r="1210" spans="6:6" ht="31.5" customHeight="1" x14ac:dyDescent="0.25">
      <c r="F1210" s="41" t="s">
        <v>3216</v>
      </c>
    </row>
    <row r="1211" spans="6:6" ht="63" customHeight="1" x14ac:dyDescent="0.25">
      <c r="F1211" s="41" t="s">
        <v>3217</v>
      </c>
    </row>
    <row r="1212" spans="6:6" ht="31.5" customHeight="1" x14ac:dyDescent="0.25">
      <c r="F1212" s="41" t="s">
        <v>3218</v>
      </c>
    </row>
    <row r="1213" spans="6:6" ht="31.5" customHeight="1" x14ac:dyDescent="0.25">
      <c r="F1213" s="41" t="s">
        <v>3219</v>
      </c>
    </row>
    <row r="1214" spans="6:6" ht="47.25" customHeight="1" x14ac:dyDescent="0.25">
      <c r="F1214" s="41" t="s">
        <v>3220</v>
      </c>
    </row>
    <row r="1215" spans="6:6" ht="31.5" customHeight="1" x14ac:dyDescent="0.25">
      <c r="F1215" s="41" t="s">
        <v>3221</v>
      </c>
    </row>
    <row r="1216" spans="6:6" ht="31.5" customHeight="1" x14ac:dyDescent="0.25">
      <c r="F1216" s="41" t="s">
        <v>3222</v>
      </c>
    </row>
    <row r="1217" spans="6:6" ht="31.5" customHeight="1" x14ac:dyDescent="0.25">
      <c r="F1217" s="41" t="s">
        <v>3223</v>
      </c>
    </row>
    <row r="1218" spans="6:6" ht="31.5" customHeight="1" x14ac:dyDescent="0.25">
      <c r="F1218" s="41" t="s">
        <v>3224</v>
      </c>
    </row>
    <row r="1219" spans="6:6" ht="31.5" customHeight="1" x14ac:dyDescent="0.25">
      <c r="F1219" s="41" t="s">
        <v>3225</v>
      </c>
    </row>
    <row r="1220" spans="6:6" ht="47.25" customHeight="1" x14ac:dyDescent="0.25">
      <c r="F1220" s="41" t="s">
        <v>3226</v>
      </c>
    </row>
    <row r="1221" spans="6:6" ht="31.5" customHeight="1" x14ac:dyDescent="0.25">
      <c r="F1221" s="41" t="s">
        <v>3227</v>
      </c>
    </row>
    <row r="1222" spans="6:6" ht="47.25" customHeight="1" x14ac:dyDescent="0.25">
      <c r="F1222" s="41" t="s">
        <v>3228</v>
      </c>
    </row>
    <row r="1223" spans="6:6" ht="31.5" customHeight="1" x14ac:dyDescent="0.25">
      <c r="F1223" s="41" t="s">
        <v>3229</v>
      </c>
    </row>
    <row r="1224" spans="6:6" ht="47.25" customHeight="1" x14ac:dyDescent="0.25">
      <c r="F1224" s="41" t="s">
        <v>3230</v>
      </c>
    </row>
    <row r="1225" spans="6:6" ht="47.25" customHeight="1" x14ac:dyDescent="0.25">
      <c r="F1225" s="41" t="s">
        <v>3231</v>
      </c>
    </row>
    <row r="1226" spans="6:6" ht="47.25" customHeight="1" x14ac:dyDescent="0.25">
      <c r="F1226" s="41" t="s">
        <v>3232</v>
      </c>
    </row>
    <row r="1227" spans="6:6" ht="31.5" customHeight="1" x14ac:dyDescent="0.25">
      <c r="F1227" s="41" t="s">
        <v>3233</v>
      </c>
    </row>
    <row r="1228" spans="6:6" ht="31.5" customHeight="1" x14ac:dyDescent="0.25">
      <c r="F1228" s="41" t="s">
        <v>3234</v>
      </c>
    </row>
    <row r="1229" spans="6:6" ht="47.25" customHeight="1" x14ac:dyDescent="0.25">
      <c r="F1229" s="41" t="s">
        <v>3235</v>
      </c>
    </row>
    <row r="1230" spans="6:6" ht="31.5" customHeight="1" x14ac:dyDescent="0.25">
      <c r="F1230" s="41" t="s">
        <v>3236</v>
      </c>
    </row>
    <row r="1231" spans="6:6" ht="31.5" customHeight="1" x14ac:dyDescent="0.25">
      <c r="F1231" s="41" t="s">
        <v>3237</v>
      </c>
    </row>
    <row r="1232" spans="6:6" ht="78.75" customHeight="1" x14ac:dyDescent="0.25">
      <c r="F1232" s="41" t="s">
        <v>3238</v>
      </c>
    </row>
    <row r="1233" spans="6:6" ht="47.25" customHeight="1" x14ac:dyDescent="0.25">
      <c r="F1233" s="41" t="s">
        <v>3239</v>
      </c>
    </row>
    <row r="1234" spans="6:6" ht="47.25" customHeight="1" x14ac:dyDescent="0.25">
      <c r="F1234" s="41" t="s">
        <v>3240</v>
      </c>
    </row>
    <row r="1235" spans="6:6" ht="31.5" customHeight="1" x14ac:dyDescent="0.25">
      <c r="F1235" s="41" t="s">
        <v>3241</v>
      </c>
    </row>
    <row r="1236" spans="6:6" ht="63" customHeight="1" x14ac:dyDescent="0.25">
      <c r="F1236" s="41" t="s">
        <v>3242</v>
      </c>
    </row>
    <row r="1237" spans="6:6" ht="47.25" customHeight="1" x14ac:dyDescent="0.25">
      <c r="F1237" s="41" t="s">
        <v>3243</v>
      </c>
    </row>
    <row r="1238" spans="6:6" ht="47.25" customHeight="1" x14ac:dyDescent="0.25">
      <c r="F1238" s="41" t="s">
        <v>3244</v>
      </c>
    </row>
    <row r="1239" spans="6:6" ht="47.25" customHeight="1" x14ac:dyDescent="0.25">
      <c r="F1239" s="41" t="s">
        <v>3245</v>
      </c>
    </row>
    <row r="1240" spans="6:6" ht="31.5" customHeight="1" x14ac:dyDescent="0.25">
      <c r="F1240" s="41" t="s">
        <v>3246</v>
      </c>
    </row>
    <row r="1241" spans="6:6" ht="31.5" customHeight="1" x14ac:dyDescent="0.25">
      <c r="F1241" s="41" t="s">
        <v>3247</v>
      </c>
    </row>
    <row r="1242" spans="6:6" ht="47.25" customHeight="1" x14ac:dyDescent="0.25">
      <c r="F1242" s="41" t="s">
        <v>3248</v>
      </c>
    </row>
    <row r="1243" spans="6:6" ht="47.25" customHeight="1" x14ac:dyDescent="0.25">
      <c r="F1243" s="41" t="s">
        <v>3249</v>
      </c>
    </row>
    <row r="1244" spans="6:6" ht="63" customHeight="1" x14ac:dyDescent="0.25">
      <c r="F1244" s="41" t="s">
        <v>3250</v>
      </c>
    </row>
    <row r="1245" spans="6:6" ht="47.25" customHeight="1" x14ac:dyDescent="0.25">
      <c r="F1245" s="41" t="s">
        <v>3251</v>
      </c>
    </row>
    <row r="1246" spans="6:6" ht="63" customHeight="1" x14ac:dyDescent="0.25">
      <c r="F1246" s="41" t="s">
        <v>3252</v>
      </c>
    </row>
    <row r="1247" spans="6:6" ht="31.5" customHeight="1" x14ac:dyDescent="0.25">
      <c r="F1247" s="41" t="s">
        <v>3253</v>
      </c>
    </row>
    <row r="1248" spans="6:6" ht="31.5" customHeight="1" x14ac:dyDescent="0.25">
      <c r="F1248" s="41" t="s">
        <v>3254</v>
      </c>
    </row>
    <row r="1249" spans="6:6" ht="31.5" customHeight="1" x14ac:dyDescent="0.25">
      <c r="F1249" s="41" t="s">
        <v>3255</v>
      </c>
    </row>
    <row r="1250" spans="6:6" ht="63" customHeight="1" x14ac:dyDescent="0.25">
      <c r="F1250" s="41" t="s">
        <v>3256</v>
      </c>
    </row>
    <row r="1251" spans="6:6" ht="31.5" customHeight="1" x14ac:dyDescent="0.25">
      <c r="F1251" s="41" t="s">
        <v>3257</v>
      </c>
    </row>
    <row r="1252" spans="6:6" ht="63" customHeight="1" x14ac:dyDescent="0.25">
      <c r="F1252" s="41" t="s">
        <v>3258</v>
      </c>
    </row>
    <row r="1253" spans="6:6" ht="47.25" customHeight="1" x14ac:dyDescent="0.25">
      <c r="F1253" s="41" t="s">
        <v>3259</v>
      </c>
    </row>
    <row r="1254" spans="6:6" ht="47.25" customHeight="1" x14ac:dyDescent="0.25">
      <c r="F1254" s="41" t="s">
        <v>3260</v>
      </c>
    </row>
    <row r="1255" spans="6:6" ht="47.25" customHeight="1" x14ac:dyDescent="0.25">
      <c r="F1255" s="41" t="s">
        <v>3261</v>
      </c>
    </row>
    <row r="1256" spans="6:6" ht="47.25" customHeight="1" x14ac:dyDescent="0.25">
      <c r="F1256" s="41" t="s">
        <v>3262</v>
      </c>
    </row>
    <row r="1257" spans="6:6" ht="63" customHeight="1" x14ac:dyDescent="0.25">
      <c r="F1257" s="41" t="s">
        <v>3263</v>
      </c>
    </row>
    <row r="1258" spans="6:6" ht="94.5" customHeight="1" x14ac:dyDescent="0.25">
      <c r="F1258" s="41" t="s">
        <v>3264</v>
      </c>
    </row>
    <row r="1259" spans="6:6" ht="47.25" customHeight="1" x14ac:dyDescent="0.25">
      <c r="F1259" s="41" t="s">
        <v>3265</v>
      </c>
    </row>
    <row r="1260" spans="6:6" ht="63" customHeight="1" x14ac:dyDescent="0.25">
      <c r="F1260" s="41" t="s">
        <v>3266</v>
      </c>
    </row>
    <row r="1261" spans="6:6" x14ac:dyDescent="0.25">
      <c r="F1261" s="41" t="s">
        <v>3267</v>
      </c>
    </row>
    <row r="1262" spans="6:6" ht="47.25" customHeight="1" x14ac:dyDescent="0.25">
      <c r="F1262" s="41" t="s">
        <v>3268</v>
      </c>
    </row>
    <row r="1263" spans="6:6" ht="47.25" customHeight="1" x14ac:dyDescent="0.25">
      <c r="F1263" s="41" t="s">
        <v>3269</v>
      </c>
    </row>
    <row r="1264" spans="6:6" ht="47.25" customHeight="1" x14ac:dyDescent="0.25">
      <c r="F1264" s="41" t="s">
        <v>3270</v>
      </c>
    </row>
    <row r="1265" spans="6:6" ht="63" customHeight="1" x14ac:dyDescent="0.25">
      <c r="F1265" s="41" t="s">
        <v>3271</v>
      </c>
    </row>
    <row r="1266" spans="6:6" ht="63" customHeight="1" x14ac:dyDescent="0.25">
      <c r="F1266" s="41" t="s">
        <v>3272</v>
      </c>
    </row>
    <row r="1267" spans="6:6" ht="47.25" customHeight="1" x14ac:dyDescent="0.25">
      <c r="F1267" s="41" t="s">
        <v>3273</v>
      </c>
    </row>
    <row r="1268" spans="6:6" ht="47.25" customHeight="1" x14ac:dyDescent="0.25">
      <c r="F1268" s="41" t="s">
        <v>3274</v>
      </c>
    </row>
    <row r="1269" spans="6:6" ht="31.5" customHeight="1" x14ac:dyDescent="0.25">
      <c r="F1269" s="41" t="s">
        <v>3275</v>
      </c>
    </row>
    <row r="1270" spans="6:6" ht="47.25" customHeight="1" x14ac:dyDescent="0.25">
      <c r="F1270" s="41" t="s">
        <v>3276</v>
      </c>
    </row>
    <row r="1271" spans="6:6" ht="63" customHeight="1" x14ac:dyDescent="0.25">
      <c r="F1271" s="41" t="s">
        <v>3277</v>
      </c>
    </row>
    <row r="1272" spans="6:6" ht="47.25" customHeight="1" x14ac:dyDescent="0.25">
      <c r="F1272" s="41" t="s">
        <v>3278</v>
      </c>
    </row>
    <row r="1273" spans="6:6" ht="31.5" customHeight="1" x14ac:dyDescent="0.25">
      <c r="F1273" s="41" t="s">
        <v>3279</v>
      </c>
    </row>
    <row r="1274" spans="6:6" ht="47.25" customHeight="1" x14ac:dyDescent="0.25">
      <c r="F1274" s="41" t="s">
        <v>3280</v>
      </c>
    </row>
    <row r="1275" spans="6:6" ht="31.5" customHeight="1" x14ac:dyDescent="0.25">
      <c r="F1275" s="41" t="s">
        <v>3281</v>
      </c>
    </row>
    <row r="1276" spans="6:6" ht="31.5" customHeight="1" x14ac:dyDescent="0.25">
      <c r="F1276" s="41" t="s">
        <v>3282</v>
      </c>
    </row>
    <row r="1277" spans="6:6" ht="47.25" customHeight="1" x14ac:dyDescent="0.25">
      <c r="F1277" s="41" t="s">
        <v>3283</v>
      </c>
    </row>
    <row r="1278" spans="6:6" ht="31.5" customHeight="1" x14ac:dyDescent="0.25">
      <c r="F1278" s="41" t="s">
        <v>3284</v>
      </c>
    </row>
    <row r="1279" spans="6:6" ht="47.25" customHeight="1" x14ac:dyDescent="0.25">
      <c r="F1279" s="41" t="s">
        <v>3285</v>
      </c>
    </row>
    <row r="1280" spans="6:6" ht="47.25" customHeight="1" x14ac:dyDescent="0.25">
      <c r="F1280" s="41" t="s">
        <v>3286</v>
      </c>
    </row>
    <row r="1281" spans="6:6" ht="63" customHeight="1" x14ac:dyDescent="0.25">
      <c r="F1281" s="41" t="s">
        <v>3287</v>
      </c>
    </row>
    <row r="1282" spans="6:6" ht="31.5" customHeight="1" x14ac:dyDescent="0.25">
      <c r="F1282" s="41" t="s">
        <v>3288</v>
      </c>
    </row>
    <row r="1283" spans="6:6" ht="31.5" customHeight="1" x14ac:dyDescent="0.25">
      <c r="F1283" s="41" t="s">
        <v>3289</v>
      </c>
    </row>
    <row r="1284" spans="6:6" ht="31.5" customHeight="1" x14ac:dyDescent="0.25">
      <c r="F1284" s="41" t="s">
        <v>3290</v>
      </c>
    </row>
    <row r="1285" spans="6:6" ht="63" customHeight="1" x14ac:dyDescent="0.25">
      <c r="F1285" s="41" t="s">
        <v>3291</v>
      </c>
    </row>
    <row r="1286" spans="6:6" ht="47.25" customHeight="1" x14ac:dyDescent="0.25">
      <c r="F1286" s="41" t="s">
        <v>3292</v>
      </c>
    </row>
    <row r="1287" spans="6:6" ht="63" customHeight="1" x14ac:dyDescent="0.25">
      <c r="F1287" s="41" t="s">
        <v>3293</v>
      </c>
    </row>
    <row r="1288" spans="6:6" ht="63" customHeight="1" x14ac:dyDescent="0.25">
      <c r="F1288" s="41" t="s">
        <v>3294</v>
      </c>
    </row>
    <row r="1289" spans="6:6" ht="47.25" customHeight="1" x14ac:dyDescent="0.25">
      <c r="F1289" s="41" t="s">
        <v>3295</v>
      </c>
    </row>
    <row r="1290" spans="6:6" ht="31.5" customHeight="1" x14ac:dyDescent="0.25">
      <c r="F1290" s="41" t="s">
        <v>3296</v>
      </c>
    </row>
    <row r="1291" spans="6:6" ht="31.5" customHeight="1" x14ac:dyDescent="0.25">
      <c r="F1291" s="41" t="s">
        <v>3297</v>
      </c>
    </row>
    <row r="1292" spans="6:6" ht="47.25" customHeight="1" x14ac:dyDescent="0.25">
      <c r="F1292" s="41" t="s">
        <v>3298</v>
      </c>
    </row>
    <row r="1293" spans="6:6" ht="31.5" customHeight="1" x14ac:dyDescent="0.25">
      <c r="F1293" s="41" t="s">
        <v>3299</v>
      </c>
    </row>
    <row r="1294" spans="6:6" ht="47.25" customHeight="1" x14ac:dyDescent="0.25">
      <c r="F1294" s="41" t="s">
        <v>3300</v>
      </c>
    </row>
    <row r="1295" spans="6:6" ht="31.5" customHeight="1" x14ac:dyDescent="0.25">
      <c r="F1295" s="41" t="s">
        <v>3301</v>
      </c>
    </row>
    <row r="1296" spans="6:6" ht="31.5" customHeight="1" x14ac:dyDescent="0.25">
      <c r="F1296" s="41" t="s">
        <v>3302</v>
      </c>
    </row>
    <row r="1297" spans="6:6" ht="31.5" customHeight="1" x14ac:dyDescent="0.25">
      <c r="F1297" s="41" t="s">
        <v>3303</v>
      </c>
    </row>
    <row r="1298" spans="6:6" ht="31.5" customHeight="1" x14ac:dyDescent="0.25">
      <c r="F1298" s="41" t="s">
        <v>3304</v>
      </c>
    </row>
    <row r="1299" spans="6:6" ht="31.5" customHeight="1" x14ac:dyDescent="0.25">
      <c r="F1299" s="41" t="s">
        <v>3305</v>
      </c>
    </row>
    <row r="1300" spans="6:6" ht="47.25" customHeight="1" x14ac:dyDescent="0.25">
      <c r="F1300" s="41" t="s">
        <v>3306</v>
      </c>
    </row>
    <row r="1301" spans="6:6" ht="47.25" customHeight="1" x14ac:dyDescent="0.25">
      <c r="F1301" s="41" t="s">
        <v>3307</v>
      </c>
    </row>
    <row r="1302" spans="6:6" ht="47.25" customHeight="1" x14ac:dyDescent="0.25">
      <c r="F1302" s="41" t="s">
        <v>3308</v>
      </c>
    </row>
    <row r="1303" spans="6:6" ht="63" customHeight="1" x14ac:dyDescent="0.25">
      <c r="F1303" s="41" t="s">
        <v>3309</v>
      </c>
    </row>
    <row r="1304" spans="6:6" ht="47.25" customHeight="1" x14ac:dyDescent="0.25">
      <c r="F1304" s="41" t="s">
        <v>3310</v>
      </c>
    </row>
    <row r="1305" spans="6:6" ht="47.25" customHeight="1" x14ac:dyDescent="0.25">
      <c r="F1305" s="41" t="s">
        <v>3311</v>
      </c>
    </row>
    <row r="1306" spans="6:6" ht="63" customHeight="1" x14ac:dyDescent="0.25">
      <c r="F1306" s="41" t="s">
        <v>3312</v>
      </c>
    </row>
    <row r="1307" spans="6:6" ht="47.25" customHeight="1" x14ac:dyDescent="0.25">
      <c r="F1307" s="41" t="s">
        <v>3313</v>
      </c>
    </row>
    <row r="1308" spans="6:6" ht="47.25" customHeight="1" x14ac:dyDescent="0.25">
      <c r="F1308" s="41" t="s">
        <v>3314</v>
      </c>
    </row>
    <row r="1309" spans="6:6" ht="63" customHeight="1" x14ac:dyDescent="0.25">
      <c r="F1309" s="41" t="s">
        <v>3315</v>
      </c>
    </row>
    <row r="1310" spans="6:6" ht="63" customHeight="1" x14ac:dyDescent="0.25">
      <c r="F1310" s="41" t="s">
        <v>3316</v>
      </c>
    </row>
    <row r="1311" spans="6:6" ht="47.25" customHeight="1" x14ac:dyDescent="0.25">
      <c r="F1311" s="41" t="s">
        <v>3317</v>
      </c>
    </row>
    <row r="1312" spans="6:6" ht="47.25" customHeight="1" x14ac:dyDescent="0.25">
      <c r="F1312" s="41" t="s">
        <v>3318</v>
      </c>
    </row>
    <row r="1313" spans="6:6" ht="31.5" customHeight="1" x14ac:dyDescent="0.25">
      <c r="F1313" s="41" t="s">
        <v>3319</v>
      </c>
    </row>
    <row r="1314" spans="6:6" ht="47.25" customHeight="1" x14ac:dyDescent="0.25">
      <c r="F1314" s="41" t="s">
        <v>3320</v>
      </c>
    </row>
    <row r="1315" spans="6:6" ht="63" customHeight="1" x14ac:dyDescent="0.25">
      <c r="F1315" s="41" t="s">
        <v>3321</v>
      </c>
    </row>
    <row r="1316" spans="6:6" ht="31.5" customHeight="1" x14ac:dyDescent="0.25">
      <c r="F1316" s="41" t="s">
        <v>3322</v>
      </c>
    </row>
    <row r="1317" spans="6:6" ht="31.5" customHeight="1" x14ac:dyDescent="0.25">
      <c r="F1317" s="41" t="s">
        <v>3323</v>
      </c>
    </row>
    <row r="1318" spans="6:6" ht="63" customHeight="1" x14ac:dyDescent="0.25">
      <c r="F1318" s="41" t="s">
        <v>3324</v>
      </c>
    </row>
    <row r="1319" spans="6:6" ht="31.5" customHeight="1" x14ac:dyDescent="0.25">
      <c r="F1319" s="41" t="s">
        <v>3325</v>
      </c>
    </row>
    <row r="1320" spans="6:6" ht="63" customHeight="1" x14ac:dyDescent="0.25">
      <c r="F1320" s="41" t="s">
        <v>3326</v>
      </c>
    </row>
    <row r="1321" spans="6:6" ht="47.25" customHeight="1" x14ac:dyDescent="0.25">
      <c r="F1321" s="41" t="s">
        <v>3327</v>
      </c>
    </row>
    <row r="1322" spans="6:6" ht="31.5" customHeight="1" x14ac:dyDescent="0.25">
      <c r="F1322" s="41" t="s">
        <v>3328</v>
      </c>
    </row>
    <row r="1323" spans="6:6" ht="63" customHeight="1" x14ac:dyDescent="0.25">
      <c r="F1323" s="41" t="s">
        <v>3329</v>
      </c>
    </row>
    <row r="1324" spans="6:6" ht="47.25" customHeight="1" x14ac:dyDescent="0.25">
      <c r="F1324" s="41" t="s">
        <v>3330</v>
      </c>
    </row>
    <row r="1325" spans="6:6" ht="31.5" customHeight="1" x14ac:dyDescent="0.25">
      <c r="F1325" s="41" t="s">
        <v>3331</v>
      </c>
    </row>
    <row r="1326" spans="6:6" ht="47.25" customHeight="1" x14ac:dyDescent="0.25">
      <c r="F1326" s="41" t="s">
        <v>3332</v>
      </c>
    </row>
    <row r="1327" spans="6:6" ht="31.5" customHeight="1" x14ac:dyDescent="0.25">
      <c r="F1327" s="41" t="s">
        <v>3333</v>
      </c>
    </row>
    <row r="1328" spans="6:6" ht="78.75" customHeight="1" x14ac:dyDescent="0.25">
      <c r="F1328" s="41" t="s">
        <v>3334</v>
      </c>
    </row>
    <row r="1329" spans="6:6" ht="47.25" customHeight="1" x14ac:dyDescent="0.25">
      <c r="F1329" s="41" t="s">
        <v>3335</v>
      </c>
    </row>
    <row r="1330" spans="6:6" ht="31.5" customHeight="1" x14ac:dyDescent="0.25">
      <c r="F1330" s="41" t="s">
        <v>3336</v>
      </c>
    </row>
    <row r="1331" spans="6:6" ht="31.5" customHeight="1" x14ac:dyDescent="0.25">
      <c r="F1331" s="41" t="s">
        <v>3337</v>
      </c>
    </row>
    <row r="1332" spans="6:6" ht="47.25" customHeight="1" x14ac:dyDescent="0.25">
      <c r="F1332" s="41" t="s">
        <v>3338</v>
      </c>
    </row>
    <row r="1333" spans="6:6" ht="63" customHeight="1" x14ac:dyDescent="0.25">
      <c r="F1333" s="41" t="s">
        <v>3339</v>
      </c>
    </row>
    <row r="1334" spans="6:6" ht="47.25" customHeight="1" x14ac:dyDescent="0.25">
      <c r="F1334" s="41" t="s">
        <v>3340</v>
      </c>
    </row>
    <row r="1335" spans="6:6" ht="47.25" customHeight="1" x14ac:dyDescent="0.25">
      <c r="F1335" s="41" t="s">
        <v>3341</v>
      </c>
    </row>
    <row r="1336" spans="6:6" ht="47.25" customHeight="1" x14ac:dyDescent="0.25">
      <c r="F1336" s="41" t="s">
        <v>3342</v>
      </c>
    </row>
    <row r="1337" spans="6:6" ht="47.25" customHeight="1" x14ac:dyDescent="0.25">
      <c r="F1337" s="41" t="s">
        <v>3343</v>
      </c>
    </row>
    <row r="1338" spans="6:6" ht="47.25" customHeight="1" x14ac:dyDescent="0.25">
      <c r="F1338" s="41" t="s">
        <v>3344</v>
      </c>
    </row>
    <row r="1339" spans="6:6" ht="63" customHeight="1" x14ac:dyDescent="0.25">
      <c r="F1339" s="41" t="s">
        <v>3345</v>
      </c>
    </row>
    <row r="1340" spans="6:6" ht="31.5" customHeight="1" x14ac:dyDescent="0.25">
      <c r="F1340" s="41" t="s">
        <v>3346</v>
      </c>
    </row>
    <row r="1341" spans="6:6" ht="31.5" customHeight="1" x14ac:dyDescent="0.25">
      <c r="F1341" s="41" t="s">
        <v>3347</v>
      </c>
    </row>
    <row r="1342" spans="6:6" ht="31.5" customHeight="1" x14ac:dyDescent="0.25">
      <c r="F1342" s="41" t="s">
        <v>3348</v>
      </c>
    </row>
    <row r="1343" spans="6:6" ht="47.25" customHeight="1" x14ac:dyDescent="0.25">
      <c r="F1343" s="41" t="s">
        <v>3349</v>
      </c>
    </row>
    <row r="1344" spans="6:6" ht="31.5" customHeight="1" x14ac:dyDescent="0.25">
      <c r="F1344" s="41" t="s">
        <v>3350</v>
      </c>
    </row>
    <row r="1345" spans="6:6" ht="31.5" customHeight="1" x14ac:dyDescent="0.25">
      <c r="F1345" s="41" t="s">
        <v>3351</v>
      </c>
    </row>
    <row r="1346" spans="6:6" ht="47.25" customHeight="1" x14ac:dyDescent="0.25">
      <c r="F1346" s="41" t="s">
        <v>3352</v>
      </c>
    </row>
    <row r="1347" spans="6:6" ht="31.5" customHeight="1" x14ac:dyDescent="0.25">
      <c r="F1347" s="41" t="s">
        <v>3353</v>
      </c>
    </row>
    <row r="1348" spans="6:6" ht="31.5" customHeight="1" x14ac:dyDescent="0.25">
      <c r="F1348" s="41" t="s">
        <v>3354</v>
      </c>
    </row>
    <row r="1349" spans="6:6" ht="31.5" customHeight="1" x14ac:dyDescent="0.25">
      <c r="F1349" s="41" t="s">
        <v>3355</v>
      </c>
    </row>
    <row r="1350" spans="6:6" ht="31.5" customHeight="1" x14ac:dyDescent="0.25">
      <c r="F1350" s="41" t="s">
        <v>3356</v>
      </c>
    </row>
    <row r="1351" spans="6:6" ht="47.25" customHeight="1" x14ac:dyDescent="0.25">
      <c r="F1351" s="41" t="s">
        <v>3357</v>
      </c>
    </row>
    <row r="1352" spans="6:6" ht="31.5" customHeight="1" x14ac:dyDescent="0.25">
      <c r="F1352" s="41" t="s">
        <v>3358</v>
      </c>
    </row>
    <row r="1353" spans="6:6" ht="31.5" customHeight="1" x14ac:dyDescent="0.25">
      <c r="F1353" s="41" t="s">
        <v>3359</v>
      </c>
    </row>
    <row r="1354" spans="6:6" ht="31.5" customHeight="1" x14ac:dyDescent="0.25">
      <c r="F1354" s="41" t="s">
        <v>3360</v>
      </c>
    </row>
    <row r="1355" spans="6:6" ht="47.25" customHeight="1" x14ac:dyDescent="0.25">
      <c r="F1355" s="41" t="s">
        <v>3361</v>
      </c>
    </row>
    <row r="1356" spans="6:6" ht="31.5" customHeight="1" x14ac:dyDescent="0.25">
      <c r="F1356" s="41" t="s">
        <v>3362</v>
      </c>
    </row>
    <row r="1357" spans="6:6" ht="78.75" customHeight="1" x14ac:dyDescent="0.25">
      <c r="F1357" s="41" t="s">
        <v>3363</v>
      </c>
    </row>
    <row r="1358" spans="6:6" ht="31.5" customHeight="1" x14ac:dyDescent="0.25">
      <c r="F1358" s="41" t="s">
        <v>3364</v>
      </c>
    </row>
    <row r="1359" spans="6:6" ht="63" customHeight="1" x14ac:dyDescent="0.25">
      <c r="F1359" s="41" t="s">
        <v>3365</v>
      </c>
    </row>
    <row r="1360" spans="6:6" ht="31.5" customHeight="1" x14ac:dyDescent="0.25">
      <c r="F1360" s="41" t="s">
        <v>3366</v>
      </c>
    </row>
    <row r="1361" spans="6:6" ht="31.5" customHeight="1" x14ac:dyDescent="0.25">
      <c r="F1361" s="41" t="s">
        <v>3367</v>
      </c>
    </row>
    <row r="1362" spans="6:6" ht="47.25" customHeight="1" x14ac:dyDescent="0.25">
      <c r="F1362" s="41" t="s">
        <v>3368</v>
      </c>
    </row>
    <row r="1363" spans="6:6" ht="47.25" customHeight="1" x14ac:dyDescent="0.25">
      <c r="F1363" s="41" t="s">
        <v>3369</v>
      </c>
    </row>
    <row r="1364" spans="6:6" ht="47.25" customHeight="1" x14ac:dyDescent="0.25">
      <c r="F1364" s="41" t="s">
        <v>3370</v>
      </c>
    </row>
    <row r="1365" spans="6:6" ht="31.5" customHeight="1" x14ac:dyDescent="0.25">
      <c r="F1365" s="41" t="s">
        <v>3371</v>
      </c>
    </row>
    <row r="1366" spans="6:6" ht="47.25" customHeight="1" x14ac:dyDescent="0.25">
      <c r="F1366" s="41" t="s">
        <v>3372</v>
      </c>
    </row>
    <row r="1367" spans="6:6" ht="31.5" customHeight="1" x14ac:dyDescent="0.25">
      <c r="F1367" s="41" t="s">
        <v>3373</v>
      </c>
    </row>
    <row r="1368" spans="6:6" ht="31.5" customHeight="1" x14ac:dyDescent="0.25">
      <c r="F1368" s="41" t="s">
        <v>3374</v>
      </c>
    </row>
    <row r="1369" spans="6:6" ht="47.25" customHeight="1" x14ac:dyDescent="0.25">
      <c r="F1369" s="41" t="s">
        <v>3375</v>
      </c>
    </row>
    <row r="1370" spans="6:6" ht="31.5" customHeight="1" x14ac:dyDescent="0.25">
      <c r="F1370" s="41" t="s">
        <v>3376</v>
      </c>
    </row>
    <row r="1371" spans="6:6" ht="63" customHeight="1" x14ac:dyDescent="0.25">
      <c r="F1371" s="41" t="s">
        <v>3377</v>
      </c>
    </row>
    <row r="1372" spans="6:6" ht="47.25" customHeight="1" x14ac:dyDescent="0.25">
      <c r="F1372" s="41" t="s">
        <v>3378</v>
      </c>
    </row>
    <row r="1373" spans="6:6" ht="47.25" customHeight="1" x14ac:dyDescent="0.25">
      <c r="F1373" s="41" t="s">
        <v>3379</v>
      </c>
    </row>
    <row r="1374" spans="6:6" ht="47.25" customHeight="1" x14ac:dyDescent="0.25">
      <c r="F1374" s="41" t="s">
        <v>3380</v>
      </c>
    </row>
    <row r="1375" spans="6:6" ht="31.5" customHeight="1" x14ac:dyDescent="0.25">
      <c r="F1375" s="41" t="s">
        <v>3381</v>
      </c>
    </row>
    <row r="1376" spans="6:6" ht="47.25" customHeight="1" x14ac:dyDescent="0.25">
      <c r="F1376" s="41" t="s">
        <v>3382</v>
      </c>
    </row>
    <row r="1377" spans="6:6" ht="31.5" customHeight="1" x14ac:dyDescent="0.25">
      <c r="F1377" s="41" t="s">
        <v>3383</v>
      </c>
    </row>
    <row r="1378" spans="6:6" ht="31.5" customHeight="1" x14ac:dyDescent="0.25">
      <c r="F1378" s="41" t="s">
        <v>3384</v>
      </c>
    </row>
    <row r="1379" spans="6:6" ht="47.25" customHeight="1" x14ac:dyDescent="0.25">
      <c r="F1379" s="41" t="s">
        <v>3385</v>
      </c>
    </row>
    <row r="1380" spans="6:6" ht="31.5" customHeight="1" x14ac:dyDescent="0.25">
      <c r="F1380" s="41" t="s">
        <v>3386</v>
      </c>
    </row>
    <row r="1381" spans="6:6" ht="47.25" customHeight="1" x14ac:dyDescent="0.25">
      <c r="F1381" s="41" t="s">
        <v>3387</v>
      </c>
    </row>
    <row r="1382" spans="6:6" ht="47.25" customHeight="1" x14ac:dyDescent="0.25">
      <c r="F1382" s="41" t="s">
        <v>3388</v>
      </c>
    </row>
    <row r="1383" spans="6:6" ht="31.5" customHeight="1" x14ac:dyDescent="0.25">
      <c r="F1383" s="41" t="s">
        <v>3389</v>
      </c>
    </row>
    <row r="1384" spans="6:6" ht="63" customHeight="1" x14ac:dyDescent="0.25">
      <c r="F1384" s="41" t="s">
        <v>3390</v>
      </c>
    </row>
    <row r="1385" spans="6:6" ht="47.25" customHeight="1" x14ac:dyDescent="0.25">
      <c r="F1385" s="41" t="s">
        <v>3391</v>
      </c>
    </row>
    <row r="1386" spans="6:6" ht="31.5" customHeight="1" x14ac:dyDescent="0.25">
      <c r="F1386" s="41" t="s">
        <v>3392</v>
      </c>
    </row>
    <row r="1387" spans="6:6" ht="47.25" customHeight="1" x14ac:dyDescent="0.25">
      <c r="F1387" s="41" t="s">
        <v>3393</v>
      </c>
    </row>
    <row r="1388" spans="6:6" ht="47.25" customHeight="1" x14ac:dyDescent="0.25">
      <c r="F1388" s="41" t="s">
        <v>3394</v>
      </c>
    </row>
    <row r="1389" spans="6:6" ht="47.25" customHeight="1" x14ac:dyDescent="0.25">
      <c r="F1389" s="41" t="s">
        <v>3395</v>
      </c>
    </row>
    <row r="1390" spans="6:6" ht="63" customHeight="1" x14ac:dyDescent="0.25">
      <c r="F1390" s="41" t="s">
        <v>3396</v>
      </c>
    </row>
    <row r="1391" spans="6:6" ht="63" customHeight="1" x14ac:dyDescent="0.25">
      <c r="F1391" s="41" t="s">
        <v>3397</v>
      </c>
    </row>
    <row r="1392" spans="6:6" ht="31.5" customHeight="1" x14ac:dyDescent="0.25">
      <c r="F1392" s="41" t="s">
        <v>3398</v>
      </c>
    </row>
    <row r="1393" spans="6:6" ht="31.5" customHeight="1" x14ac:dyDescent="0.25">
      <c r="F1393" s="41" t="s">
        <v>3399</v>
      </c>
    </row>
    <row r="1394" spans="6:6" ht="47.25" customHeight="1" x14ac:dyDescent="0.25">
      <c r="F1394" s="41" t="s">
        <v>3400</v>
      </c>
    </row>
    <row r="1395" spans="6:6" ht="47.25" customHeight="1" x14ac:dyDescent="0.25">
      <c r="F1395" s="41" t="s">
        <v>3401</v>
      </c>
    </row>
    <row r="1396" spans="6:6" ht="31.5" customHeight="1" x14ac:dyDescent="0.25">
      <c r="F1396" s="41" t="s">
        <v>3402</v>
      </c>
    </row>
    <row r="1397" spans="6:6" ht="47.25" customHeight="1" x14ac:dyDescent="0.25">
      <c r="F1397" s="41" t="s">
        <v>3403</v>
      </c>
    </row>
    <row r="1398" spans="6:6" ht="31.5" customHeight="1" x14ac:dyDescent="0.25">
      <c r="F1398" s="41" t="s">
        <v>3404</v>
      </c>
    </row>
    <row r="1399" spans="6:6" ht="47.25" customHeight="1" x14ac:dyDescent="0.25">
      <c r="F1399" s="41" t="s">
        <v>3405</v>
      </c>
    </row>
    <row r="1400" spans="6:6" ht="47.25" customHeight="1" x14ac:dyDescent="0.25">
      <c r="F1400" s="41" t="s">
        <v>3406</v>
      </c>
    </row>
    <row r="1401" spans="6:6" ht="47.25" customHeight="1" x14ac:dyDescent="0.25">
      <c r="F1401" s="41" t="s">
        <v>3407</v>
      </c>
    </row>
    <row r="1402" spans="6:6" ht="31.5" customHeight="1" x14ac:dyDescent="0.25">
      <c r="F1402" s="41" t="s">
        <v>3408</v>
      </c>
    </row>
    <row r="1403" spans="6:6" ht="47.25" customHeight="1" x14ac:dyDescent="0.25">
      <c r="F1403" s="41" t="s">
        <v>3409</v>
      </c>
    </row>
    <row r="1404" spans="6:6" ht="31.5" customHeight="1" x14ac:dyDescent="0.25">
      <c r="F1404" s="41" t="s">
        <v>3410</v>
      </c>
    </row>
    <row r="1405" spans="6:6" ht="47.25" customHeight="1" x14ac:dyDescent="0.25">
      <c r="F1405" s="41" t="s">
        <v>3411</v>
      </c>
    </row>
    <row r="1406" spans="6:6" ht="47.25" customHeight="1" x14ac:dyDescent="0.25">
      <c r="F1406" s="41" t="s">
        <v>3412</v>
      </c>
    </row>
    <row r="1407" spans="6:6" ht="63" customHeight="1" x14ac:dyDescent="0.25">
      <c r="F1407" s="41" t="s">
        <v>3413</v>
      </c>
    </row>
    <row r="1408" spans="6:6" ht="63" customHeight="1" x14ac:dyDescent="0.25">
      <c r="F1408" s="41" t="s">
        <v>3414</v>
      </c>
    </row>
    <row r="1409" spans="6:6" ht="47.25" customHeight="1" x14ac:dyDescent="0.25">
      <c r="F1409" s="41" t="s">
        <v>3415</v>
      </c>
    </row>
    <row r="1410" spans="6:6" ht="78.75" customHeight="1" x14ac:dyDescent="0.25">
      <c r="F1410" s="41" t="s">
        <v>3416</v>
      </c>
    </row>
    <row r="1411" spans="6:6" ht="63" customHeight="1" x14ac:dyDescent="0.25">
      <c r="F1411" s="41" t="s">
        <v>3417</v>
      </c>
    </row>
    <row r="1412" spans="6:6" ht="31.5" customHeight="1" x14ac:dyDescent="0.25">
      <c r="F1412" s="41" t="s">
        <v>3418</v>
      </c>
    </row>
    <row r="1413" spans="6:6" ht="31.5" customHeight="1" x14ac:dyDescent="0.25">
      <c r="F1413" s="41" t="s">
        <v>3419</v>
      </c>
    </row>
    <row r="1414" spans="6:6" ht="47.25" customHeight="1" x14ac:dyDescent="0.25">
      <c r="F1414" s="41" t="s">
        <v>3420</v>
      </c>
    </row>
    <row r="1415" spans="6:6" ht="31.5" customHeight="1" x14ac:dyDescent="0.25">
      <c r="F1415" s="41" t="s">
        <v>3421</v>
      </c>
    </row>
    <row r="1416" spans="6:6" ht="47.25" customHeight="1" x14ac:dyDescent="0.25">
      <c r="F1416" s="41" t="s">
        <v>3422</v>
      </c>
    </row>
    <row r="1417" spans="6:6" ht="47.25" customHeight="1" x14ac:dyDescent="0.25">
      <c r="F1417" s="41" t="s">
        <v>3423</v>
      </c>
    </row>
    <row r="1418" spans="6:6" ht="47.25" customHeight="1" x14ac:dyDescent="0.25">
      <c r="F1418" s="41" t="s">
        <v>3424</v>
      </c>
    </row>
    <row r="1419" spans="6:6" ht="47.25" customHeight="1" x14ac:dyDescent="0.25">
      <c r="F1419" s="41" t="s">
        <v>3425</v>
      </c>
    </row>
    <row r="1420" spans="6:6" ht="63" customHeight="1" x14ac:dyDescent="0.25">
      <c r="F1420" s="41" t="s">
        <v>3426</v>
      </c>
    </row>
    <row r="1421" spans="6:6" ht="47.25" customHeight="1" x14ac:dyDescent="0.25">
      <c r="F1421" s="41" t="s">
        <v>3427</v>
      </c>
    </row>
    <row r="1422" spans="6:6" ht="47.25" customHeight="1" x14ac:dyDescent="0.25">
      <c r="F1422" s="41" t="s">
        <v>3428</v>
      </c>
    </row>
    <row r="1423" spans="6:6" ht="47.25" customHeight="1" x14ac:dyDescent="0.25">
      <c r="F1423" s="41" t="s">
        <v>3429</v>
      </c>
    </row>
    <row r="1424" spans="6:6" ht="47.25" customHeight="1" x14ac:dyDescent="0.25">
      <c r="F1424" s="41" t="s">
        <v>3430</v>
      </c>
    </row>
    <row r="1425" spans="6:6" ht="47.25" customHeight="1" x14ac:dyDescent="0.25">
      <c r="F1425" s="41" t="s">
        <v>3431</v>
      </c>
    </row>
    <row r="1426" spans="6:6" ht="63" customHeight="1" x14ac:dyDescent="0.25">
      <c r="F1426" s="41" t="s">
        <v>3432</v>
      </c>
    </row>
    <row r="1427" spans="6:6" ht="31.5" customHeight="1" x14ac:dyDescent="0.25">
      <c r="F1427" s="41" t="s">
        <v>3433</v>
      </c>
    </row>
    <row r="1428" spans="6:6" ht="78.75" customHeight="1" x14ac:dyDescent="0.25">
      <c r="F1428" s="41" t="s">
        <v>3434</v>
      </c>
    </row>
    <row r="1429" spans="6:6" ht="63" customHeight="1" x14ac:dyDescent="0.25">
      <c r="F1429" s="41" t="s">
        <v>3435</v>
      </c>
    </row>
    <row r="1430" spans="6:6" ht="78.75" customHeight="1" x14ac:dyDescent="0.25">
      <c r="F1430" s="41" t="s">
        <v>3436</v>
      </c>
    </row>
    <row r="1431" spans="6:6" ht="31.5" customHeight="1" x14ac:dyDescent="0.25">
      <c r="F1431" s="41" t="s">
        <v>3437</v>
      </c>
    </row>
    <row r="1432" spans="6:6" ht="31.5" customHeight="1" x14ac:dyDescent="0.25">
      <c r="F1432" s="41" t="s">
        <v>3438</v>
      </c>
    </row>
    <row r="1433" spans="6:6" ht="47.25" customHeight="1" x14ac:dyDescent="0.25">
      <c r="F1433" s="41" t="s">
        <v>3439</v>
      </c>
    </row>
    <row r="1434" spans="6:6" ht="63" customHeight="1" x14ac:dyDescent="0.25">
      <c r="F1434" s="41" t="s">
        <v>3440</v>
      </c>
    </row>
    <row r="1435" spans="6:6" ht="31.5" customHeight="1" x14ac:dyDescent="0.25">
      <c r="F1435" s="41" t="s">
        <v>3441</v>
      </c>
    </row>
    <row r="1436" spans="6:6" ht="31.5" customHeight="1" x14ac:dyDescent="0.25">
      <c r="F1436" s="41" t="s">
        <v>3442</v>
      </c>
    </row>
    <row r="1437" spans="6:6" x14ac:dyDescent="0.25">
      <c r="F1437" s="41" t="s">
        <v>3443</v>
      </c>
    </row>
    <row r="1438" spans="6:6" ht="31.5" customHeight="1" x14ac:dyDescent="0.25">
      <c r="F1438" s="41" t="s">
        <v>3444</v>
      </c>
    </row>
    <row r="1439" spans="6:6" ht="63" customHeight="1" x14ac:dyDescent="0.25">
      <c r="F1439" s="41" t="s">
        <v>3445</v>
      </c>
    </row>
    <row r="1440" spans="6:6" ht="78.75" customHeight="1" x14ac:dyDescent="0.25">
      <c r="F1440" s="41" t="s">
        <v>3446</v>
      </c>
    </row>
    <row r="1441" spans="6:6" ht="47.25" customHeight="1" x14ac:dyDescent="0.25">
      <c r="F1441" s="41" t="s">
        <v>3447</v>
      </c>
    </row>
    <row r="1442" spans="6:6" ht="31.5" customHeight="1" x14ac:dyDescent="0.25">
      <c r="F1442" s="41" t="s">
        <v>3448</v>
      </c>
    </row>
    <row r="1443" spans="6:6" ht="63" customHeight="1" x14ac:dyDescent="0.25">
      <c r="F1443" s="41" t="s">
        <v>3449</v>
      </c>
    </row>
    <row r="1444" spans="6:6" ht="47.25" customHeight="1" x14ac:dyDescent="0.25">
      <c r="F1444" s="41" t="s">
        <v>3450</v>
      </c>
    </row>
    <row r="1445" spans="6:6" ht="63" customHeight="1" x14ac:dyDescent="0.25">
      <c r="F1445" s="41" t="s">
        <v>3451</v>
      </c>
    </row>
    <row r="1446" spans="6:6" ht="31.5" customHeight="1" x14ac:dyDescent="0.25">
      <c r="F1446" s="41" t="s">
        <v>3452</v>
      </c>
    </row>
    <row r="1447" spans="6:6" ht="31.5" customHeight="1" x14ac:dyDescent="0.25">
      <c r="F1447" s="41" t="s">
        <v>3453</v>
      </c>
    </row>
    <row r="1448" spans="6:6" ht="47.25" customHeight="1" x14ac:dyDescent="0.25">
      <c r="F1448" s="41" t="s">
        <v>3454</v>
      </c>
    </row>
    <row r="1449" spans="6:6" ht="47.25" customHeight="1" x14ac:dyDescent="0.25">
      <c r="F1449" s="41" t="s">
        <v>3455</v>
      </c>
    </row>
    <row r="1450" spans="6:6" ht="63" customHeight="1" x14ac:dyDescent="0.25">
      <c r="F1450" s="41" t="s">
        <v>3456</v>
      </c>
    </row>
    <row r="1451" spans="6:6" ht="31.5" customHeight="1" x14ac:dyDescent="0.25">
      <c r="F1451" s="41" t="s">
        <v>3457</v>
      </c>
    </row>
    <row r="1452" spans="6:6" ht="47.25" customHeight="1" x14ac:dyDescent="0.25">
      <c r="F1452" s="41" t="s">
        <v>3458</v>
      </c>
    </row>
    <row r="1453" spans="6:6" ht="31.5" customHeight="1" x14ac:dyDescent="0.25">
      <c r="F1453" s="41" t="s">
        <v>3459</v>
      </c>
    </row>
    <row r="1454" spans="6:6" ht="63" customHeight="1" x14ac:dyDescent="0.25">
      <c r="F1454" s="41" t="s">
        <v>3460</v>
      </c>
    </row>
    <row r="1455" spans="6:6" ht="47.25" customHeight="1" x14ac:dyDescent="0.25">
      <c r="F1455" s="41" t="s">
        <v>3461</v>
      </c>
    </row>
    <row r="1456" spans="6:6" ht="63" customHeight="1" x14ac:dyDescent="0.25">
      <c r="F1456" s="41" t="s">
        <v>3462</v>
      </c>
    </row>
    <row r="1457" spans="6:6" ht="31.5" customHeight="1" x14ac:dyDescent="0.25">
      <c r="F1457" s="41" t="s">
        <v>3463</v>
      </c>
    </row>
    <row r="1458" spans="6:6" ht="31.5" customHeight="1" x14ac:dyDescent="0.25">
      <c r="F1458" s="41" t="s">
        <v>3464</v>
      </c>
    </row>
    <row r="1459" spans="6:6" ht="63" customHeight="1" x14ac:dyDescent="0.25">
      <c r="F1459" s="41" t="s">
        <v>3465</v>
      </c>
    </row>
    <row r="1460" spans="6:6" ht="31.5" customHeight="1" x14ac:dyDescent="0.25">
      <c r="F1460" s="41" t="s">
        <v>3466</v>
      </c>
    </row>
    <row r="1461" spans="6:6" ht="47.25" customHeight="1" x14ac:dyDescent="0.25">
      <c r="F1461" s="41" t="s">
        <v>3467</v>
      </c>
    </row>
    <row r="1462" spans="6:6" ht="31.5" customHeight="1" x14ac:dyDescent="0.25">
      <c r="F1462" s="41" t="s">
        <v>3468</v>
      </c>
    </row>
    <row r="1463" spans="6:6" ht="31.5" customHeight="1" x14ac:dyDescent="0.25">
      <c r="F1463" s="41" t="s">
        <v>3469</v>
      </c>
    </row>
    <row r="1464" spans="6:6" ht="47.25" customHeight="1" x14ac:dyDescent="0.25">
      <c r="F1464" s="41" t="s">
        <v>3470</v>
      </c>
    </row>
    <row r="1465" spans="6:6" ht="31.5" customHeight="1" x14ac:dyDescent="0.25">
      <c r="F1465" s="41" t="s">
        <v>3471</v>
      </c>
    </row>
    <row r="1466" spans="6:6" ht="63" customHeight="1" x14ac:dyDescent="0.25">
      <c r="F1466" s="41" t="s">
        <v>3472</v>
      </c>
    </row>
    <row r="1467" spans="6:6" ht="31.5" customHeight="1" x14ac:dyDescent="0.25">
      <c r="F1467" s="41" t="s">
        <v>3473</v>
      </c>
    </row>
    <row r="1468" spans="6:6" ht="31.5" customHeight="1" x14ac:dyDescent="0.25">
      <c r="F1468" s="41" t="s">
        <v>3474</v>
      </c>
    </row>
    <row r="1469" spans="6:6" ht="47.25" customHeight="1" x14ac:dyDescent="0.25">
      <c r="F1469" s="41" t="s">
        <v>3475</v>
      </c>
    </row>
    <row r="1470" spans="6:6" ht="63" customHeight="1" x14ac:dyDescent="0.25">
      <c r="F1470" s="41" t="s">
        <v>3476</v>
      </c>
    </row>
    <row r="1471" spans="6:6" ht="31.5" customHeight="1" x14ac:dyDescent="0.25">
      <c r="F1471" s="41" t="s">
        <v>3477</v>
      </c>
    </row>
    <row r="1472" spans="6:6" ht="47.25" customHeight="1" x14ac:dyDescent="0.25">
      <c r="F1472" s="41" t="s">
        <v>3478</v>
      </c>
    </row>
    <row r="1473" spans="6:6" ht="47.25" customHeight="1" x14ac:dyDescent="0.25">
      <c r="F1473" s="41" t="s">
        <v>3479</v>
      </c>
    </row>
    <row r="1474" spans="6:6" ht="31.5" customHeight="1" x14ac:dyDescent="0.25">
      <c r="F1474" s="41" t="s">
        <v>3480</v>
      </c>
    </row>
    <row r="1475" spans="6:6" ht="47.25" customHeight="1" x14ac:dyDescent="0.25">
      <c r="F1475" s="41" t="s">
        <v>3481</v>
      </c>
    </row>
    <row r="1476" spans="6:6" ht="47.25" customHeight="1" x14ac:dyDescent="0.25">
      <c r="F1476" s="41" t="s">
        <v>3482</v>
      </c>
    </row>
    <row r="1477" spans="6:6" ht="31.5" customHeight="1" x14ac:dyDescent="0.25">
      <c r="F1477" s="41" t="s">
        <v>3483</v>
      </c>
    </row>
    <row r="1478" spans="6:6" ht="31.5" customHeight="1" x14ac:dyDescent="0.25">
      <c r="F1478" s="41" t="s">
        <v>3484</v>
      </c>
    </row>
    <row r="1479" spans="6:6" ht="47.25" customHeight="1" x14ac:dyDescent="0.25">
      <c r="F1479" s="41" t="s">
        <v>3485</v>
      </c>
    </row>
    <row r="1480" spans="6:6" ht="47.25" customHeight="1" x14ac:dyDescent="0.25">
      <c r="F1480" s="41" t="s">
        <v>3486</v>
      </c>
    </row>
    <row r="1481" spans="6:6" ht="63" customHeight="1" x14ac:dyDescent="0.25">
      <c r="F1481" s="41" t="s">
        <v>3487</v>
      </c>
    </row>
    <row r="1482" spans="6:6" ht="47.25" customHeight="1" x14ac:dyDescent="0.25">
      <c r="F1482" s="41" t="s">
        <v>3488</v>
      </c>
    </row>
    <row r="1483" spans="6:6" ht="31.5" customHeight="1" x14ac:dyDescent="0.25">
      <c r="F1483" s="41" t="s">
        <v>3489</v>
      </c>
    </row>
    <row r="1484" spans="6:6" ht="31.5" customHeight="1" x14ac:dyDescent="0.25">
      <c r="F1484" s="41" t="s">
        <v>3490</v>
      </c>
    </row>
    <row r="1485" spans="6:6" ht="31.5" customHeight="1" x14ac:dyDescent="0.25">
      <c r="F1485" s="41" t="s">
        <v>3491</v>
      </c>
    </row>
    <row r="1486" spans="6:6" ht="31.5" customHeight="1" x14ac:dyDescent="0.25">
      <c r="F1486" s="41" t="s">
        <v>3492</v>
      </c>
    </row>
    <row r="1487" spans="6:6" ht="47.25" customHeight="1" x14ac:dyDescent="0.25">
      <c r="F1487" s="41" t="s">
        <v>3493</v>
      </c>
    </row>
    <row r="1488" spans="6:6" ht="31.5" customHeight="1" x14ac:dyDescent="0.25">
      <c r="F1488" s="41" t="s">
        <v>3494</v>
      </c>
    </row>
    <row r="1489" spans="6:6" ht="47.25" customHeight="1" x14ac:dyDescent="0.25">
      <c r="F1489" s="41" t="s">
        <v>3495</v>
      </c>
    </row>
    <row r="1490" spans="6:6" ht="31.5" customHeight="1" x14ac:dyDescent="0.25">
      <c r="F1490" s="41" t="s">
        <v>3496</v>
      </c>
    </row>
    <row r="1491" spans="6:6" ht="47.25" customHeight="1" x14ac:dyDescent="0.25">
      <c r="F1491" s="41" t="s">
        <v>3497</v>
      </c>
    </row>
    <row r="1492" spans="6:6" ht="63" customHeight="1" x14ac:dyDescent="0.25">
      <c r="F1492" s="41" t="s">
        <v>3498</v>
      </c>
    </row>
    <row r="1493" spans="6:6" ht="63" customHeight="1" x14ac:dyDescent="0.25">
      <c r="F1493" s="41" t="s">
        <v>3499</v>
      </c>
    </row>
    <row r="1494" spans="6:6" ht="63" customHeight="1" x14ac:dyDescent="0.25">
      <c r="F1494" s="41" t="s">
        <v>3500</v>
      </c>
    </row>
    <row r="1495" spans="6:6" ht="63" customHeight="1" x14ac:dyDescent="0.25">
      <c r="F1495" s="41" t="s">
        <v>3501</v>
      </c>
    </row>
    <row r="1496" spans="6:6" ht="63" customHeight="1" x14ac:dyDescent="0.25">
      <c r="F1496" s="41" t="s">
        <v>3502</v>
      </c>
    </row>
    <row r="1497" spans="6:6" ht="47.25" customHeight="1" x14ac:dyDescent="0.25">
      <c r="F1497" s="41" t="s">
        <v>3503</v>
      </c>
    </row>
    <row r="1498" spans="6:6" ht="47.25" customHeight="1" x14ac:dyDescent="0.25">
      <c r="F1498" s="41" t="s">
        <v>3504</v>
      </c>
    </row>
    <row r="1499" spans="6:6" ht="47.25" customHeight="1" x14ac:dyDescent="0.25">
      <c r="F1499" s="41" t="s">
        <v>3505</v>
      </c>
    </row>
    <row r="1500" spans="6:6" ht="31.5" customHeight="1" x14ac:dyDescent="0.25">
      <c r="F1500" s="41" t="s">
        <v>3506</v>
      </c>
    </row>
    <row r="1501" spans="6:6" ht="31.5" customHeight="1" x14ac:dyDescent="0.25">
      <c r="F1501" s="41" t="s">
        <v>3507</v>
      </c>
    </row>
    <row r="1502" spans="6:6" ht="31.5" customHeight="1" x14ac:dyDescent="0.25">
      <c r="F1502" s="41" t="s">
        <v>3508</v>
      </c>
    </row>
    <row r="1503" spans="6:6" ht="31.5" customHeight="1" x14ac:dyDescent="0.25">
      <c r="F1503" s="41" t="s">
        <v>3509</v>
      </c>
    </row>
    <row r="1504" spans="6:6" ht="31.5" customHeight="1" x14ac:dyDescent="0.25">
      <c r="F1504" s="41" t="s">
        <v>3510</v>
      </c>
    </row>
    <row r="1505" spans="6:6" ht="47.25" customHeight="1" x14ac:dyDescent="0.25">
      <c r="F1505" s="41" t="s">
        <v>3511</v>
      </c>
    </row>
    <row r="1506" spans="6:6" ht="47.25" customHeight="1" x14ac:dyDescent="0.25">
      <c r="F1506" s="41" t="s">
        <v>3512</v>
      </c>
    </row>
    <row r="1507" spans="6:6" ht="31.5" customHeight="1" x14ac:dyDescent="0.25">
      <c r="F1507" s="41" t="s">
        <v>3513</v>
      </c>
    </row>
    <row r="1508" spans="6:6" ht="63" customHeight="1" x14ac:dyDescent="0.25">
      <c r="F1508" s="41" t="s">
        <v>3514</v>
      </c>
    </row>
    <row r="1509" spans="6:6" ht="47.25" customHeight="1" x14ac:dyDescent="0.25">
      <c r="F1509" s="41" t="s">
        <v>3515</v>
      </c>
    </row>
    <row r="1510" spans="6:6" ht="47.25" customHeight="1" x14ac:dyDescent="0.25">
      <c r="F1510" s="41" t="s">
        <v>3516</v>
      </c>
    </row>
    <row r="1511" spans="6:6" ht="63" customHeight="1" x14ac:dyDescent="0.25">
      <c r="F1511" s="41" t="s">
        <v>3517</v>
      </c>
    </row>
    <row r="1512" spans="6:6" ht="47.25" customHeight="1" x14ac:dyDescent="0.25">
      <c r="F1512" s="41" t="s">
        <v>3518</v>
      </c>
    </row>
    <row r="1513" spans="6:6" ht="47.25" customHeight="1" x14ac:dyDescent="0.25">
      <c r="F1513" s="41" t="s">
        <v>3519</v>
      </c>
    </row>
    <row r="1514" spans="6:6" ht="31.5" customHeight="1" x14ac:dyDescent="0.25">
      <c r="F1514" s="41" t="s">
        <v>3520</v>
      </c>
    </row>
    <row r="1515" spans="6:6" ht="63" customHeight="1" x14ac:dyDescent="0.25">
      <c r="F1515" s="41" t="s">
        <v>3521</v>
      </c>
    </row>
    <row r="1516" spans="6:6" ht="47.25" customHeight="1" x14ac:dyDescent="0.25">
      <c r="F1516" s="41" t="s">
        <v>3522</v>
      </c>
    </row>
    <row r="1517" spans="6:6" ht="47.25" customHeight="1" x14ac:dyDescent="0.25">
      <c r="F1517" s="41" t="s">
        <v>3523</v>
      </c>
    </row>
    <row r="1518" spans="6:6" ht="47.25" customHeight="1" x14ac:dyDescent="0.25">
      <c r="F1518" s="41" t="s">
        <v>3524</v>
      </c>
    </row>
    <row r="1519" spans="6:6" ht="31.5" customHeight="1" x14ac:dyDescent="0.25">
      <c r="F1519" s="41" t="s">
        <v>3525</v>
      </c>
    </row>
    <row r="1520" spans="6:6" ht="31.5" customHeight="1" x14ac:dyDescent="0.25">
      <c r="F1520" s="41" t="s">
        <v>3526</v>
      </c>
    </row>
    <row r="1521" spans="6:6" ht="47.25" customHeight="1" x14ac:dyDescent="0.25">
      <c r="F1521" s="41" t="s">
        <v>3527</v>
      </c>
    </row>
    <row r="1522" spans="6:6" ht="78.75" customHeight="1" x14ac:dyDescent="0.25">
      <c r="F1522" s="41" t="s">
        <v>3528</v>
      </c>
    </row>
    <row r="1523" spans="6:6" ht="31.5" customHeight="1" x14ac:dyDescent="0.25">
      <c r="F1523" s="41" t="s">
        <v>3529</v>
      </c>
    </row>
    <row r="1524" spans="6:6" ht="47.25" customHeight="1" x14ac:dyDescent="0.25">
      <c r="F1524" s="41" t="s">
        <v>3530</v>
      </c>
    </row>
    <row r="1525" spans="6:6" ht="31.5" customHeight="1" x14ac:dyDescent="0.25">
      <c r="F1525" s="41" t="s">
        <v>3531</v>
      </c>
    </row>
    <row r="1526" spans="6:6" ht="31.5" customHeight="1" x14ac:dyDescent="0.25">
      <c r="F1526" s="41" t="s">
        <v>3532</v>
      </c>
    </row>
    <row r="1527" spans="6:6" ht="31.5" customHeight="1" x14ac:dyDescent="0.25">
      <c r="F1527" s="41" t="s">
        <v>3533</v>
      </c>
    </row>
    <row r="1528" spans="6:6" ht="47.25" customHeight="1" x14ac:dyDescent="0.25">
      <c r="F1528" s="41" t="s">
        <v>3534</v>
      </c>
    </row>
    <row r="1529" spans="6:6" ht="31.5" customHeight="1" x14ac:dyDescent="0.25">
      <c r="F1529" s="41" t="s">
        <v>3535</v>
      </c>
    </row>
    <row r="1530" spans="6:6" ht="31.5" customHeight="1" x14ac:dyDescent="0.25">
      <c r="F1530" s="41" t="s">
        <v>3536</v>
      </c>
    </row>
    <row r="1531" spans="6:6" ht="47.25" customHeight="1" x14ac:dyDescent="0.25">
      <c r="F1531" s="41" t="s">
        <v>3537</v>
      </c>
    </row>
    <row r="1532" spans="6:6" ht="31.5" customHeight="1" x14ac:dyDescent="0.25">
      <c r="F1532" s="41" t="s">
        <v>3538</v>
      </c>
    </row>
    <row r="1533" spans="6:6" ht="31.5" customHeight="1" x14ac:dyDescent="0.25">
      <c r="F1533" s="41" t="s">
        <v>3539</v>
      </c>
    </row>
    <row r="1534" spans="6:6" ht="31.5" customHeight="1" x14ac:dyDescent="0.25">
      <c r="F1534" s="41" t="s">
        <v>3540</v>
      </c>
    </row>
    <row r="1535" spans="6:6" ht="63" customHeight="1" x14ac:dyDescent="0.25">
      <c r="F1535" s="41" t="s">
        <v>3541</v>
      </c>
    </row>
    <row r="1536" spans="6:6" ht="63" customHeight="1" x14ac:dyDescent="0.25">
      <c r="F1536" s="41" t="s">
        <v>3542</v>
      </c>
    </row>
    <row r="1537" spans="6:6" ht="47.25" customHeight="1" x14ac:dyDescent="0.25">
      <c r="F1537" s="41" t="s">
        <v>3543</v>
      </c>
    </row>
    <row r="1538" spans="6:6" ht="47.25" customHeight="1" x14ac:dyDescent="0.25">
      <c r="F1538" s="41" t="s">
        <v>3544</v>
      </c>
    </row>
    <row r="1539" spans="6:6" ht="47.25" customHeight="1" x14ac:dyDescent="0.25">
      <c r="F1539" s="41" t="s">
        <v>3545</v>
      </c>
    </row>
    <row r="1540" spans="6:6" ht="47.25" customHeight="1" x14ac:dyDescent="0.25">
      <c r="F1540" s="41" t="s">
        <v>3546</v>
      </c>
    </row>
    <row r="1541" spans="6:6" ht="31.5" customHeight="1" x14ac:dyDescent="0.25">
      <c r="F1541" s="41" t="s">
        <v>3547</v>
      </c>
    </row>
    <row r="1542" spans="6:6" ht="63" customHeight="1" x14ac:dyDescent="0.25">
      <c r="F1542" s="41" t="s">
        <v>3548</v>
      </c>
    </row>
    <row r="1543" spans="6:6" ht="47.25" customHeight="1" x14ac:dyDescent="0.25">
      <c r="F1543" s="41" t="s">
        <v>3549</v>
      </c>
    </row>
    <row r="1544" spans="6:6" ht="31.5" customHeight="1" x14ac:dyDescent="0.25">
      <c r="F1544" s="41" t="s">
        <v>3550</v>
      </c>
    </row>
    <row r="1545" spans="6:6" ht="47.25" customHeight="1" x14ac:dyDescent="0.25">
      <c r="F1545" s="41" t="s">
        <v>3551</v>
      </c>
    </row>
    <row r="1546" spans="6:6" ht="31.5" customHeight="1" x14ac:dyDescent="0.25">
      <c r="F1546" s="41" t="s">
        <v>3552</v>
      </c>
    </row>
    <row r="1547" spans="6:6" ht="47.25" customHeight="1" x14ac:dyDescent="0.25">
      <c r="F1547" s="41" t="s">
        <v>3553</v>
      </c>
    </row>
    <row r="1548" spans="6:6" ht="47.25" customHeight="1" x14ac:dyDescent="0.25">
      <c r="F1548" s="41" t="s">
        <v>3554</v>
      </c>
    </row>
    <row r="1549" spans="6:6" ht="31.5" customHeight="1" x14ac:dyDescent="0.25">
      <c r="F1549" s="41" t="s">
        <v>3555</v>
      </c>
    </row>
    <row r="1550" spans="6:6" ht="47.25" customHeight="1" x14ac:dyDescent="0.25">
      <c r="F1550" s="41" t="s">
        <v>3556</v>
      </c>
    </row>
    <row r="1551" spans="6:6" ht="47.25" customHeight="1" x14ac:dyDescent="0.25">
      <c r="F1551" s="41" t="s">
        <v>3557</v>
      </c>
    </row>
    <row r="1552" spans="6:6" ht="31.5" customHeight="1" x14ac:dyDescent="0.25">
      <c r="F1552" s="41" t="s">
        <v>3558</v>
      </c>
    </row>
    <row r="1553" spans="6:6" ht="31.5" customHeight="1" x14ac:dyDescent="0.25">
      <c r="F1553" s="41" t="s">
        <v>3559</v>
      </c>
    </row>
    <row r="1554" spans="6:6" ht="63" customHeight="1" x14ac:dyDescent="0.25">
      <c r="F1554" s="41" t="s">
        <v>3560</v>
      </c>
    </row>
    <row r="1555" spans="6:6" ht="47.25" customHeight="1" x14ac:dyDescent="0.25">
      <c r="F1555" s="41" t="s">
        <v>3561</v>
      </c>
    </row>
    <row r="1556" spans="6:6" ht="31.5" customHeight="1" x14ac:dyDescent="0.25">
      <c r="F1556" s="41" t="s">
        <v>3562</v>
      </c>
    </row>
    <row r="1557" spans="6:6" ht="47.25" customHeight="1" x14ac:dyDescent="0.25">
      <c r="F1557" s="41" t="s">
        <v>3563</v>
      </c>
    </row>
    <row r="1558" spans="6:6" ht="47.25" customHeight="1" x14ac:dyDescent="0.25">
      <c r="F1558" s="41" t="s">
        <v>3564</v>
      </c>
    </row>
    <row r="1559" spans="6:6" ht="63" customHeight="1" x14ac:dyDescent="0.25">
      <c r="F1559" s="41" t="s">
        <v>3565</v>
      </c>
    </row>
    <row r="1560" spans="6:6" ht="31.5" customHeight="1" x14ac:dyDescent="0.25">
      <c r="F1560" s="41" t="s">
        <v>3566</v>
      </c>
    </row>
    <row r="1561" spans="6:6" ht="31.5" customHeight="1" x14ac:dyDescent="0.25">
      <c r="F1561" s="41" t="s">
        <v>3567</v>
      </c>
    </row>
    <row r="1562" spans="6:6" ht="47.25" customHeight="1" x14ac:dyDescent="0.25">
      <c r="F1562" s="41" t="s">
        <v>3568</v>
      </c>
    </row>
    <row r="1563" spans="6:6" ht="31.5" customHeight="1" x14ac:dyDescent="0.25">
      <c r="F1563" s="41" t="s">
        <v>3569</v>
      </c>
    </row>
    <row r="1564" spans="6:6" ht="47.25" customHeight="1" x14ac:dyDescent="0.25">
      <c r="F1564" s="41" t="s">
        <v>3570</v>
      </c>
    </row>
    <row r="1565" spans="6:6" ht="47.25" customHeight="1" x14ac:dyDescent="0.25">
      <c r="F1565" s="41" t="s">
        <v>3571</v>
      </c>
    </row>
    <row r="1566" spans="6:6" ht="78.75" customHeight="1" x14ac:dyDescent="0.25">
      <c r="F1566" s="41" t="s">
        <v>3572</v>
      </c>
    </row>
    <row r="1567" spans="6:6" ht="31.5" customHeight="1" x14ac:dyDescent="0.25">
      <c r="F1567" s="41" t="s">
        <v>3573</v>
      </c>
    </row>
    <row r="1568" spans="6:6" ht="31.5" customHeight="1" x14ac:dyDescent="0.25">
      <c r="F1568" s="41" t="s">
        <v>3574</v>
      </c>
    </row>
    <row r="1569" spans="6:6" ht="63" customHeight="1" x14ac:dyDescent="0.25">
      <c r="F1569" s="41" t="s">
        <v>3575</v>
      </c>
    </row>
    <row r="1570" spans="6:6" ht="31.5" customHeight="1" x14ac:dyDescent="0.25">
      <c r="F1570" s="41" t="s">
        <v>3576</v>
      </c>
    </row>
    <row r="1571" spans="6:6" ht="31.5" customHeight="1" x14ac:dyDescent="0.25">
      <c r="F1571" s="41" t="s">
        <v>3577</v>
      </c>
    </row>
    <row r="1572" spans="6:6" ht="31.5" customHeight="1" x14ac:dyDescent="0.25">
      <c r="F1572" s="41" t="s">
        <v>3578</v>
      </c>
    </row>
    <row r="1573" spans="6:6" ht="47.25" customHeight="1" x14ac:dyDescent="0.25">
      <c r="F1573" s="41" t="s">
        <v>3579</v>
      </c>
    </row>
    <row r="1574" spans="6:6" ht="47.25" customHeight="1" x14ac:dyDescent="0.25">
      <c r="F1574" s="41" t="s">
        <v>3580</v>
      </c>
    </row>
    <row r="1575" spans="6:6" ht="31.5" customHeight="1" x14ac:dyDescent="0.25">
      <c r="F1575" s="41" t="s">
        <v>3581</v>
      </c>
    </row>
    <row r="1576" spans="6:6" ht="63" customHeight="1" x14ac:dyDescent="0.25">
      <c r="F1576" s="41" t="s">
        <v>3582</v>
      </c>
    </row>
    <row r="1577" spans="6:6" ht="47.25" customHeight="1" x14ac:dyDescent="0.25">
      <c r="F1577" s="41" t="s">
        <v>3583</v>
      </c>
    </row>
    <row r="1578" spans="6:6" ht="63" customHeight="1" x14ac:dyDescent="0.25">
      <c r="F1578" s="41" t="s">
        <v>3584</v>
      </c>
    </row>
    <row r="1579" spans="6:6" ht="63" customHeight="1" x14ac:dyDescent="0.25">
      <c r="F1579" s="41" t="s">
        <v>3585</v>
      </c>
    </row>
    <row r="1580" spans="6:6" ht="47.25" customHeight="1" x14ac:dyDescent="0.25">
      <c r="F1580" s="41" t="s">
        <v>3586</v>
      </c>
    </row>
    <row r="1581" spans="6:6" ht="31.5" customHeight="1" x14ac:dyDescent="0.25">
      <c r="F1581" s="41" t="s">
        <v>3587</v>
      </c>
    </row>
    <row r="1582" spans="6:6" ht="63" customHeight="1" x14ac:dyDescent="0.25">
      <c r="F1582" s="41" t="s">
        <v>3588</v>
      </c>
    </row>
    <row r="1583" spans="6:6" ht="47.25" customHeight="1" x14ac:dyDescent="0.25">
      <c r="F1583" s="41" t="s">
        <v>3589</v>
      </c>
    </row>
    <row r="1584" spans="6:6" ht="63" customHeight="1" x14ac:dyDescent="0.25">
      <c r="F1584" s="41" t="s">
        <v>3590</v>
      </c>
    </row>
    <row r="1585" spans="6:6" ht="47.25" customHeight="1" x14ac:dyDescent="0.25">
      <c r="F1585" s="41" t="s">
        <v>3591</v>
      </c>
    </row>
    <row r="1586" spans="6:6" ht="31.5" customHeight="1" x14ac:dyDescent="0.25">
      <c r="F1586" s="41" t="s">
        <v>3592</v>
      </c>
    </row>
    <row r="1587" spans="6:6" ht="47.25" customHeight="1" x14ac:dyDescent="0.25">
      <c r="F1587" s="41" t="s">
        <v>3593</v>
      </c>
    </row>
    <row r="1588" spans="6:6" ht="31.5" customHeight="1" x14ac:dyDescent="0.25">
      <c r="F1588" s="41" t="s">
        <v>3594</v>
      </c>
    </row>
    <row r="1589" spans="6:6" ht="63" customHeight="1" x14ac:dyDescent="0.25">
      <c r="F1589" s="41" t="s">
        <v>3595</v>
      </c>
    </row>
    <row r="1590" spans="6:6" ht="47.25" customHeight="1" x14ac:dyDescent="0.25">
      <c r="F1590" s="41" t="s">
        <v>3596</v>
      </c>
    </row>
    <row r="1591" spans="6:6" ht="31.5" customHeight="1" x14ac:dyDescent="0.25">
      <c r="F1591" s="41" t="s">
        <v>3597</v>
      </c>
    </row>
    <row r="1592" spans="6:6" ht="47.25" customHeight="1" x14ac:dyDescent="0.25">
      <c r="F1592" s="41" t="s">
        <v>3598</v>
      </c>
    </row>
    <row r="1593" spans="6:6" ht="31.5" customHeight="1" x14ac:dyDescent="0.25">
      <c r="F1593" s="41" t="s">
        <v>3599</v>
      </c>
    </row>
    <row r="1594" spans="6:6" ht="47.25" customHeight="1" x14ac:dyDescent="0.25">
      <c r="F1594" s="41" t="s">
        <v>3600</v>
      </c>
    </row>
    <row r="1595" spans="6:6" ht="47.25" customHeight="1" x14ac:dyDescent="0.25">
      <c r="F1595" s="41" t="s">
        <v>3601</v>
      </c>
    </row>
    <row r="1596" spans="6:6" ht="63" customHeight="1" x14ac:dyDescent="0.25">
      <c r="F1596" s="41" t="s">
        <v>3602</v>
      </c>
    </row>
    <row r="1597" spans="6:6" ht="47.25" customHeight="1" x14ac:dyDescent="0.25">
      <c r="F1597" s="41" t="s">
        <v>3603</v>
      </c>
    </row>
    <row r="1598" spans="6:6" ht="78.75" customHeight="1" x14ac:dyDescent="0.25">
      <c r="F1598" s="41" t="s">
        <v>3604</v>
      </c>
    </row>
    <row r="1599" spans="6:6" ht="31.5" customHeight="1" x14ac:dyDescent="0.25">
      <c r="F1599" s="41" t="s">
        <v>3605</v>
      </c>
    </row>
    <row r="1600" spans="6:6" ht="47.25" customHeight="1" x14ac:dyDescent="0.25">
      <c r="F1600" s="41" t="s">
        <v>3606</v>
      </c>
    </row>
    <row r="1601" spans="6:6" ht="47.25" customHeight="1" x14ac:dyDescent="0.25">
      <c r="F1601" s="41" t="s">
        <v>3607</v>
      </c>
    </row>
    <row r="1602" spans="6:6" ht="31.5" customHeight="1" x14ac:dyDescent="0.25">
      <c r="F1602" s="41" t="s">
        <v>3608</v>
      </c>
    </row>
    <row r="1603" spans="6:6" ht="47.25" customHeight="1" x14ac:dyDescent="0.25">
      <c r="F1603" s="41" t="s">
        <v>3609</v>
      </c>
    </row>
    <row r="1604" spans="6:6" ht="47.25" customHeight="1" x14ac:dyDescent="0.25">
      <c r="F1604" s="41" t="s">
        <v>3610</v>
      </c>
    </row>
    <row r="1605" spans="6:6" ht="47.25" customHeight="1" x14ac:dyDescent="0.25">
      <c r="F1605" s="41" t="s">
        <v>3611</v>
      </c>
    </row>
    <row r="1606" spans="6:6" ht="63" customHeight="1" x14ac:dyDescent="0.25">
      <c r="F1606" s="41" t="s">
        <v>3612</v>
      </c>
    </row>
    <row r="1607" spans="6:6" ht="63" customHeight="1" x14ac:dyDescent="0.25">
      <c r="F1607" s="41" t="s">
        <v>3613</v>
      </c>
    </row>
    <row r="1608" spans="6:6" ht="47.25" customHeight="1" x14ac:dyDescent="0.25">
      <c r="F1608" s="41" t="s">
        <v>3614</v>
      </c>
    </row>
    <row r="1609" spans="6:6" ht="47.25" customHeight="1" x14ac:dyDescent="0.25">
      <c r="F1609" s="41" t="s">
        <v>3615</v>
      </c>
    </row>
    <row r="1610" spans="6:6" ht="47.25" customHeight="1" x14ac:dyDescent="0.25">
      <c r="F1610" s="41" t="s">
        <v>3616</v>
      </c>
    </row>
    <row r="1611" spans="6:6" ht="31.5" customHeight="1" x14ac:dyDescent="0.25">
      <c r="F1611" s="41" t="s">
        <v>3617</v>
      </c>
    </row>
    <row r="1612" spans="6:6" ht="31.5" customHeight="1" x14ac:dyDescent="0.25">
      <c r="F1612" s="41" t="s">
        <v>3618</v>
      </c>
    </row>
    <row r="1613" spans="6:6" ht="31.5" customHeight="1" x14ac:dyDescent="0.25">
      <c r="F1613" s="41" t="s">
        <v>3619</v>
      </c>
    </row>
    <row r="1614" spans="6:6" ht="47.25" customHeight="1" x14ac:dyDescent="0.25">
      <c r="F1614" s="41" t="s">
        <v>3620</v>
      </c>
    </row>
    <row r="1615" spans="6:6" ht="31.5" customHeight="1" x14ac:dyDescent="0.25">
      <c r="F1615" s="41" t="s">
        <v>3621</v>
      </c>
    </row>
    <row r="1616" spans="6:6" ht="31.5" customHeight="1" x14ac:dyDescent="0.25">
      <c r="F1616" s="41" t="s">
        <v>3622</v>
      </c>
    </row>
    <row r="1617" spans="6:6" ht="63" customHeight="1" x14ac:dyDescent="0.25">
      <c r="F1617" s="41" t="s">
        <v>3623</v>
      </c>
    </row>
    <row r="1618" spans="6:6" ht="47.25" customHeight="1" x14ac:dyDescent="0.25">
      <c r="F1618" s="41" t="s">
        <v>3624</v>
      </c>
    </row>
    <row r="1619" spans="6:6" ht="31.5" customHeight="1" x14ac:dyDescent="0.25">
      <c r="F1619" s="41" t="s">
        <v>3625</v>
      </c>
    </row>
    <row r="1620" spans="6:6" ht="31.5" customHeight="1" x14ac:dyDescent="0.25">
      <c r="F1620" s="41" t="s">
        <v>3626</v>
      </c>
    </row>
    <row r="1621" spans="6:6" ht="31.5" customHeight="1" x14ac:dyDescent="0.25">
      <c r="F1621" s="41" t="s">
        <v>3627</v>
      </c>
    </row>
    <row r="1622" spans="6:6" ht="31.5" customHeight="1" x14ac:dyDescent="0.25">
      <c r="F1622" s="41" t="s">
        <v>3628</v>
      </c>
    </row>
    <row r="1623" spans="6:6" ht="31.5" customHeight="1" x14ac:dyDescent="0.25">
      <c r="F1623" s="41" t="s">
        <v>3629</v>
      </c>
    </row>
    <row r="1624" spans="6:6" ht="47.25" customHeight="1" x14ac:dyDescent="0.25">
      <c r="F1624" s="41" t="s">
        <v>3630</v>
      </c>
    </row>
    <row r="1625" spans="6:6" x14ac:dyDescent="0.25">
      <c r="F1625" s="41" t="s">
        <v>3631</v>
      </c>
    </row>
    <row r="1626" spans="6:6" ht="47.25" customHeight="1" x14ac:dyDescent="0.25">
      <c r="F1626" s="41" t="s">
        <v>3632</v>
      </c>
    </row>
    <row r="1627" spans="6:6" ht="47.25" customHeight="1" x14ac:dyDescent="0.25">
      <c r="F1627" s="41" t="s">
        <v>3633</v>
      </c>
    </row>
    <row r="1628" spans="6:6" ht="31.5" customHeight="1" x14ac:dyDescent="0.25">
      <c r="F1628" s="41" t="s">
        <v>3634</v>
      </c>
    </row>
    <row r="1629" spans="6:6" ht="47.25" customHeight="1" x14ac:dyDescent="0.25">
      <c r="F1629" s="41" t="s">
        <v>3635</v>
      </c>
    </row>
    <row r="1630" spans="6:6" ht="47.25" customHeight="1" x14ac:dyDescent="0.25">
      <c r="F1630" s="41" t="s">
        <v>3636</v>
      </c>
    </row>
    <row r="1631" spans="6:6" ht="63" customHeight="1" x14ac:dyDescent="0.25">
      <c r="F1631" s="41" t="s">
        <v>3637</v>
      </c>
    </row>
    <row r="1632" spans="6:6" ht="31.5" customHeight="1" x14ac:dyDescent="0.25">
      <c r="F1632" s="41" t="s">
        <v>3638</v>
      </c>
    </row>
    <row r="1633" spans="6:6" ht="47.25" customHeight="1" x14ac:dyDescent="0.25">
      <c r="F1633" s="41" t="s">
        <v>3639</v>
      </c>
    </row>
    <row r="1634" spans="6:6" ht="31.5" customHeight="1" x14ac:dyDescent="0.25">
      <c r="F1634" s="41" t="s">
        <v>3640</v>
      </c>
    </row>
    <row r="1635" spans="6:6" ht="47.25" customHeight="1" x14ac:dyDescent="0.25">
      <c r="F1635" s="41" t="s">
        <v>3641</v>
      </c>
    </row>
    <row r="1636" spans="6:6" ht="47.25" customHeight="1" x14ac:dyDescent="0.25">
      <c r="F1636" s="41" t="s">
        <v>3642</v>
      </c>
    </row>
    <row r="1637" spans="6:6" ht="47.25" customHeight="1" x14ac:dyDescent="0.25">
      <c r="F1637" s="41" t="s">
        <v>3643</v>
      </c>
    </row>
    <row r="1638" spans="6:6" ht="47.25" customHeight="1" x14ac:dyDescent="0.25">
      <c r="F1638" s="41" t="s">
        <v>3644</v>
      </c>
    </row>
    <row r="1639" spans="6:6" ht="63" customHeight="1" x14ac:dyDescent="0.25">
      <c r="F1639" s="41" t="s">
        <v>3645</v>
      </c>
    </row>
    <row r="1640" spans="6:6" ht="47.25" customHeight="1" x14ac:dyDescent="0.25">
      <c r="F1640" s="41" t="s">
        <v>3646</v>
      </c>
    </row>
    <row r="1641" spans="6:6" ht="47.25" customHeight="1" x14ac:dyDescent="0.25">
      <c r="F1641" s="41" t="s">
        <v>3647</v>
      </c>
    </row>
    <row r="1642" spans="6:6" ht="47.25" customHeight="1" x14ac:dyDescent="0.25">
      <c r="F1642" s="41" t="s">
        <v>3648</v>
      </c>
    </row>
    <row r="1643" spans="6:6" ht="63" customHeight="1" x14ac:dyDescent="0.25">
      <c r="F1643" s="41" t="s">
        <v>3649</v>
      </c>
    </row>
    <row r="1644" spans="6:6" ht="47.25" customHeight="1" x14ac:dyDescent="0.25">
      <c r="F1644" s="41" t="s">
        <v>3650</v>
      </c>
    </row>
    <row r="1645" spans="6:6" ht="31.5" customHeight="1" x14ac:dyDescent="0.25">
      <c r="F1645" s="41" t="s">
        <v>3651</v>
      </c>
    </row>
    <row r="1646" spans="6:6" ht="31.5" customHeight="1" x14ac:dyDescent="0.25">
      <c r="F1646" s="41" t="s">
        <v>3652</v>
      </c>
    </row>
    <row r="1647" spans="6:6" ht="47.25" customHeight="1" x14ac:dyDescent="0.25">
      <c r="F1647" s="41" t="s">
        <v>3653</v>
      </c>
    </row>
    <row r="1648" spans="6:6" ht="47.25" customHeight="1" x14ac:dyDescent="0.25">
      <c r="F1648" s="41" t="s">
        <v>3654</v>
      </c>
    </row>
    <row r="1649" spans="6:6" ht="63" customHeight="1" x14ac:dyDescent="0.25">
      <c r="F1649" s="41" t="s">
        <v>3655</v>
      </c>
    </row>
    <row r="1650" spans="6:6" ht="31.5" customHeight="1" x14ac:dyDescent="0.25">
      <c r="F1650" s="41" t="s">
        <v>3656</v>
      </c>
    </row>
    <row r="1651" spans="6:6" ht="47.25" customHeight="1" x14ac:dyDescent="0.25">
      <c r="F1651" s="41" t="s">
        <v>3657</v>
      </c>
    </row>
    <row r="1652" spans="6:6" ht="47.25" customHeight="1" x14ac:dyDescent="0.25">
      <c r="F1652" s="41" t="s">
        <v>3658</v>
      </c>
    </row>
    <row r="1653" spans="6:6" ht="47.25" customHeight="1" x14ac:dyDescent="0.25">
      <c r="F1653" s="41" t="s">
        <v>3659</v>
      </c>
    </row>
    <row r="1654" spans="6:6" ht="47.25" customHeight="1" x14ac:dyDescent="0.25">
      <c r="F1654" s="41" t="s">
        <v>3660</v>
      </c>
    </row>
    <row r="1655" spans="6:6" ht="47.25" customHeight="1" x14ac:dyDescent="0.25">
      <c r="F1655" s="41" t="s">
        <v>3661</v>
      </c>
    </row>
    <row r="1656" spans="6:6" ht="47.25" customHeight="1" x14ac:dyDescent="0.25">
      <c r="F1656" s="41" t="s">
        <v>3662</v>
      </c>
    </row>
    <row r="1657" spans="6:6" ht="47.25" customHeight="1" x14ac:dyDescent="0.25">
      <c r="F1657" s="41" t="s">
        <v>3663</v>
      </c>
    </row>
    <row r="1658" spans="6:6" ht="47.25" customHeight="1" x14ac:dyDescent="0.25">
      <c r="F1658" s="41" t="s">
        <v>3664</v>
      </c>
    </row>
    <row r="1659" spans="6:6" ht="47.25" customHeight="1" x14ac:dyDescent="0.25">
      <c r="F1659" s="41" t="s">
        <v>3665</v>
      </c>
    </row>
    <row r="1660" spans="6:6" ht="47.25" customHeight="1" x14ac:dyDescent="0.25">
      <c r="F1660" s="41" t="s">
        <v>3666</v>
      </c>
    </row>
    <row r="1661" spans="6:6" ht="47.25" customHeight="1" x14ac:dyDescent="0.25">
      <c r="F1661" s="41" t="s">
        <v>3667</v>
      </c>
    </row>
    <row r="1662" spans="6:6" ht="31.5" customHeight="1" x14ac:dyDescent="0.25">
      <c r="F1662" s="41" t="s">
        <v>3668</v>
      </c>
    </row>
    <row r="1663" spans="6:6" ht="47.25" customHeight="1" x14ac:dyDescent="0.25">
      <c r="F1663" s="41" t="s">
        <v>3669</v>
      </c>
    </row>
    <row r="1664" spans="6:6" ht="31.5" customHeight="1" x14ac:dyDescent="0.25">
      <c r="F1664" s="41" t="s">
        <v>3670</v>
      </c>
    </row>
    <row r="1665" spans="6:6" ht="47.25" customHeight="1" x14ac:dyDescent="0.25">
      <c r="F1665" s="41" t="s">
        <v>3671</v>
      </c>
    </row>
    <row r="1666" spans="6:6" ht="47.25" customHeight="1" x14ac:dyDescent="0.25">
      <c r="F1666" s="41" t="s">
        <v>3672</v>
      </c>
    </row>
    <row r="1667" spans="6:6" ht="31.5" customHeight="1" x14ac:dyDescent="0.25">
      <c r="F1667" s="41" t="s">
        <v>3673</v>
      </c>
    </row>
    <row r="1668" spans="6:6" ht="47.25" customHeight="1" x14ac:dyDescent="0.25">
      <c r="F1668" s="41" t="s">
        <v>3674</v>
      </c>
    </row>
    <row r="1669" spans="6:6" ht="47.25" customHeight="1" x14ac:dyDescent="0.25">
      <c r="F1669" s="41" t="s">
        <v>3675</v>
      </c>
    </row>
    <row r="1670" spans="6:6" ht="47.25" customHeight="1" x14ac:dyDescent="0.25">
      <c r="F1670" s="41" t="s">
        <v>3676</v>
      </c>
    </row>
    <row r="1671" spans="6:6" ht="47.25" customHeight="1" x14ac:dyDescent="0.25">
      <c r="F1671" s="41" t="s">
        <v>3677</v>
      </c>
    </row>
    <row r="1672" spans="6:6" ht="47.25" customHeight="1" x14ac:dyDescent="0.25">
      <c r="F1672" s="41" t="s">
        <v>3678</v>
      </c>
    </row>
    <row r="1673" spans="6:6" ht="31.5" customHeight="1" x14ac:dyDescent="0.25">
      <c r="F1673" s="41" t="s">
        <v>3679</v>
      </c>
    </row>
    <row r="1674" spans="6:6" ht="47.25" customHeight="1" x14ac:dyDescent="0.25">
      <c r="F1674" s="41" t="s">
        <v>3680</v>
      </c>
    </row>
    <row r="1675" spans="6:6" ht="47.25" customHeight="1" x14ac:dyDescent="0.25">
      <c r="F1675" s="41" t="s">
        <v>3681</v>
      </c>
    </row>
    <row r="1676" spans="6:6" ht="31.5" customHeight="1" x14ac:dyDescent="0.25">
      <c r="F1676" s="41" t="s">
        <v>3682</v>
      </c>
    </row>
    <row r="1677" spans="6:6" ht="47.25" customHeight="1" x14ac:dyDescent="0.25">
      <c r="F1677" s="41" t="s">
        <v>3683</v>
      </c>
    </row>
    <row r="1678" spans="6:6" ht="78.75" customHeight="1" x14ac:dyDescent="0.25">
      <c r="F1678" s="41" t="s">
        <v>3684</v>
      </c>
    </row>
    <row r="1679" spans="6:6" ht="47.25" customHeight="1" x14ac:dyDescent="0.25">
      <c r="F1679" s="41" t="s">
        <v>3685</v>
      </c>
    </row>
    <row r="1680" spans="6:6" ht="47.25" customHeight="1" x14ac:dyDescent="0.25">
      <c r="F1680" s="41" t="s">
        <v>3686</v>
      </c>
    </row>
    <row r="1681" spans="6:6" ht="47.25" customHeight="1" x14ac:dyDescent="0.25">
      <c r="F1681" s="41" t="s">
        <v>3687</v>
      </c>
    </row>
    <row r="1682" spans="6:6" ht="31.5" customHeight="1" x14ac:dyDescent="0.25">
      <c r="F1682" s="41" t="s">
        <v>3688</v>
      </c>
    </row>
    <row r="1683" spans="6:6" ht="63" customHeight="1" x14ac:dyDescent="0.25">
      <c r="F1683" s="41" t="s">
        <v>3689</v>
      </c>
    </row>
    <row r="1684" spans="6:6" ht="31.5" customHeight="1" x14ac:dyDescent="0.25">
      <c r="F1684" s="41" t="s">
        <v>3690</v>
      </c>
    </row>
    <row r="1685" spans="6:6" ht="63" customHeight="1" x14ac:dyDescent="0.25">
      <c r="F1685" s="41" t="s">
        <v>3691</v>
      </c>
    </row>
    <row r="1686" spans="6:6" ht="63" customHeight="1" x14ac:dyDescent="0.25">
      <c r="F1686" s="41" t="s">
        <v>3692</v>
      </c>
    </row>
    <row r="1687" spans="6:6" ht="31.5" customHeight="1" x14ac:dyDescent="0.25">
      <c r="F1687" s="41" t="s">
        <v>3693</v>
      </c>
    </row>
    <row r="1688" spans="6:6" ht="31.5" customHeight="1" x14ac:dyDescent="0.25">
      <c r="F1688" s="41" t="s">
        <v>3694</v>
      </c>
    </row>
    <row r="1689" spans="6:6" ht="31.5" customHeight="1" x14ac:dyDescent="0.25">
      <c r="F1689" s="41" t="s">
        <v>3695</v>
      </c>
    </row>
    <row r="1690" spans="6:6" ht="47.25" customHeight="1" x14ac:dyDescent="0.25">
      <c r="F1690" s="41" t="s">
        <v>3696</v>
      </c>
    </row>
    <row r="1691" spans="6:6" ht="94.5" customHeight="1" x14ac:dyDescent="0.25">
      <c r="F1691" s="41" t="s">
        <v>3697</v>
      </c>
    </row>
    <row r="1692" spans="6:6" ht="31.5" customHeight="1" x14ac:dyDescent="0.25">
      <c r="F1692" s="41" t="s">
        <v>3698</v>
      </c>
    </row>
    <row r="1693" spans="6:6" ht="31.5" customHeight="1" x14ac:dyDescent="0.25">
      <c r="F1693" s="41" t="s">
        <v>3699</v>
      </c>
    </row>
    <row r="1694" spans="6:6" ht="31.5" customHeight="1" x14ac:dyDescent="0.25">
      <c r="F1694" s="41" t="s">
        <v>3700</v>
      </c>
    </row>
  </sheetData>
  <phoneticPr fontId="132" type="noConversion"/>
  <conditionalFormatting sqref="A2:K312 A314:K537 A541:G578 A313:E313 G313:K313 A581:G609 A579:B579 A580:F580">
    <cfRule type="expression" dxfId="28" priority="17">
      <formula>ISEVEN(ROW())</formula>
    </cfRule>
  </conditionalFormatting>
  <conditionalFormatting sqref="A540:G540 H580:K609 C579:K579 A538:K538 G580 A539:B539 H539:K578 G539">
    <cfRule type="expression" dxfId="27" priority="6">
      <formula>ISEVEN(ROW())</formula>
    </cfRule>
  </conditionalFormatting>
  <conditionalFormatting sqref="F538 F540">
    <cfRule type="duplicateValues" dxfId="26" priority="5"/>
  </conditionalFormatting>
  <conditionalFormatting sqref="F614:F1048576 F1:F235 F237:F312 F314:F537 F541:F578 F580:F609">
    <cfRule type="duplicateValues" dxfId="25" priority="16"/>
  </conditionalFormatting>
  <conditionalFormatting sqref="L2:P609 P622:P1048576">
    <cfRule type="containsText" dxfId="24" priority="9" operator="containsText" text="GERİ ÇEKİLDİ">
      <formula>NOT(ISERROR(SEARCH("GERİ ÇEKİLDİ",L2)))</formula>
    </cfRule>
    <cfRule type="containsText" dxfId="23" priority="10" operator="containsText" text="RET">
      <formula>NOT(ISERROR(SEARCH("RET",L2)))</formula>
    </cfRule>
    <cfRule type="containsText" dxfId="22" priority="11" operator="containsText" text="KAPSAM DIŞI">
      <formula>NOT(ISERROR(SEARCH("KAPSAM DIŞI",L2)))</formula>
    </cfRule>
    <cfRule type="containsText" dxfId="21" priority="12" operator="containsText" text="KAEK">
      <formula>NOT(ISERROR(SEARCH("KAEK",L2)))</formula>
    </cfRule>
    <cfRule type="containsText" dxfId="20" priority="13" operator="containsText" text="GÖRÜŞ">
      <formula>NOT(ISERROR(SEARCH("GÖRÜŞ",L2)))</formula>
    </cfRule>
    <cfRule type="containsText" dxfId="19" priority="14" operator="containsText" text="DÜZELTME">
      <formula>NOT(ISERROR(SEARCH("DÜZELTME",L2)))</formula>
    </cfRule>
    <cfRule type="containsText" dxfId="18" priority="15" operator="containsText" text="ONAY">
      <formula>NOT(ISERROR(SEARCH("ONAY",L2)))</formula>
    </cfRule>
  </conditionalFormatting>
  <conditionalFormatting sqref="R1:R609 R614:R1048576">
    <cfRule type="expression" dxfId="17" priority="7">
      <formula>LEN(TRIM(R1))&gt;0</formula>
    </cfRule>
  </conditionalFormatting>
  <conditionalFormatting sqref="R2:R659">
    <cfRule type="expression" dxfId="16" priority="8">
      <formula>AND($I2&lt;&gt;"",$I2&gt;=DATE(2026,6,23),COUNTIFS($C:$C,$C2,$I:$I,$I2)&gt;2)</formula>
    </cfRule>
  </conditionalFormatting>
  <conditionalFormatting sqref="F579">
    <cfRule type="duplicateValues" dxfId="2" priority="3"/>
  </conditionalFormatting>
  <conditionalFormatting sqref="C539:F539">
    <cfRule type="expression" dxfId="1" priority="2">
      <formula>ISEVEN(ROW())</formula>
    </cfRule>
  </conditionalFormatting>
  <conditionalFormatting sqref="F539">
    <cfRule type="duplicateValues" dxfId="0" priority="1"/>
  </conditionalFormatting>
  <dataValidations count="1">
    <dataValidation type="list" allowBlank="1" showInputMessage="1" showErrorMessage="1" sqref="L2:O612"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19"/>
  <sheetViews>
    <sheetView showZeros="0" zoomScaleNormal="100" workbookViewId="0">
      <pane ySplit="3" topLeftCell="A4" activePane="bottomLeft" state="frozen"/>
      <selection pane="bottomLeft" activeCell="K20" sqref="K20"/>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303" t="s">
        <v>3701</v>
      </c>
      <c r="B1" s="294"/>
      <c r="C1" s="294"/>
      <c r="D1" s="294"/>
      <c r="E1" s="294"/>
      <c r="F1" s="294"/>
      <c r="G1" s="294"/>
      <c r="H1" s="294"/>
      <c r="I1" s="294"/>
      <c r="J1" s="294"/>
      <c r="K1" s="294"/>
      <c r="L1" s="294"/>
      <c r="M1" s="294"/>
      <c r="N1" s="294"/>
    </row>
    <row r="2" spans="1:14" ht="19.5" customHeight="1" x14ac:dyDescent="0.25">
      <c r="A2" s="302" t="s">
        <v>3702</v>
      </c>
      <c r="B2" s="294"/>
      <c r="C2" s="294"/>
      <c r="D2" s="294"/>
      <c r="E2" s="294"/>
      <c r="F2" s="294"/>
      <c r="G2" s="294"/>
      <c r="H2" s="294"/>
      <c r="I2" s="294"/>
      <c r="J2" s="294"/>
      <c r="K2" s="294"/>
      <c r="L2" s="294"/>
      <c r="M2" s="294"/>
      <c r="N2" s="294"/>
    </row>
    <row r="3" spans="1:14" ht="39.75" customHeight="1" x14ac:dyDescent="0.25">
      <c r="A3" s="85" t="s">
        <v>3703</v>
      </c>
      <c r="B3" s="85" t="s">
        <v>3704</v>
      </c>
      <c r="C3" s="85" t="s">
        <v>3705</v>
      </c>
      <c r="D3" s="86" t="s">
        <v>3706</v>
      </c>
      <c r="E3" s="86" t="s">
        <v>3707</v>
      </c>
      <c r="F3" s="86" t="s">
        <v>229</v>
      </c>
      <c r="G3" s="86" t="s">
        <v>3708</v>
      </c>
      <c r="H3" s="86" t="s">
        <v>3709</v>
      </c>
      <c r="I3" s="86" t="s">
        <v>3710</v>
      </c>
      <c r="J3" s="86" t="s">
        <v>3711</v>
      </c>
      <c r="K3" s="86" t="s">
        <v>3712</v>
      </c>
      <c r="L3" s="85" t="s">
        <v>4</v>
      </c>
      <c r="M3" s="85" t="s">
        <v>3713</v>
      </c>
      <c r="N3" s="85" t="s">
        <v>3714</v>
      </c>
    </row>
    <row r="4" spans="1:14" ht="21.75" customHeight="1" x14ac:dyDescent="0.25">
      <c r="A4" s="87">
        <f t="shared" ref="A4:A16" si="0">ROW()-3</f>
        <v>1</v>
      </c>
      <c r="B4" s="88">
        <v>46028</v>
      </c>
      <c r="C4" s="87" t="str">
        <f t="shared" ref="C4:C16" si="1">TEXT(ROW()-3,"0")&amp;". Toplantı"</f>
        <v>1. Toplantı</v>
      </c>
      <c r="D4" s="87">
        <f>COUNTIFS(Başvuru!$I:$I,$B4,Başvuru!$P:$P,"ONAY")</f>
        <v>50</v>
      </c>
      <c r="E4" s="87">
        <f>COUNTIFS(Başvuru!$I:$I,$B4,Başvuru!$P:$P,"DÜZELTME")</f>
        <v>2</v>
      </c>
      <c r="F4" s="87">
        <f>COUNTIFS(Başvuru!$I:$I,$B4,Başvuru!$P:$P,"KAEK")</f>
        <v>2</v>
      </c>
      <c r="G4" s="87">
        <f>COUNTIFS(Başvuru!$I:$I,$B4,Başvuru!$P:$P,"GÖRÜŞ")</f>
        <v>0</v>
      </c>
      <c r="H4" s="87">
        <f>COUNTIFS(Başvuru!$I:$I,$B4,Başvuru!$P:$P,"RET")</f>
        <v>0</v>
      </c>
      <c r="I4" s="87">
        <f>COUNTIFS(Başvuru!$I:$I,$B4,Başvuru!$P:$P,"KAPSAM DIŞI")</f>
        <v>1</v>
      </c>
      <c r="J4" s="87">
        <f>COUNTIFS(Başvuru!$I:$I,$B4,Başvuru!$P:$P,"GERİ ÇEKİLDİ")</f>
        <v>0</v>
      </c>
      <c r="K4" s="87">
        <f>COUNTIF(Başvuru!$I:$I,$B4)-COUNTIFS(Başvuru!$I:$I,$B4,Başvuru!$L:$L,"&lt;&gt;")</f>
        <v>0</v>
      </c>
      <c r="L4" s="89">
        <f t="shared" ref="L4:L16" si="2">SUM(D4:K4)</f>
        <v>55</v>
      </c>
      <c r="M4" s="90">
        <f t="shared" ref="M4:M17" si="3">IF(L4&gt;0,D4/L4,"")</f>
        <v>0.90909090909090906</v>
      </c>
      <c r="N4" s="91"/>
    </row>
    <row r="5" spans="1:14" ht="21.75" customHeight="1" x14ac:dyDescent="0.25">
      <c r="A5" s="92">
        <f t="shared" si="0"/>
        <v>2</v>
      </c>
      <c r="B5" s="88">
        <v>46042</v>
      </c>
      <c r="C5" s="92" t="str">
        <f t="shared" si="1"/>
        <v>2. Toplantı</v>
      </c>
      <c r="D5" s="92">
        <f>COUNTIFS(Başvuru!$I:$I,$B5,Başvuru!$P:$P,"ONAY")</f>
        <v>39</v>
      </c>
      <c r="E5" s="92">
        <f>COUNTIFS(Başvuru!$I:$I,$B5,Başvuru!$P:$P,"DÜZELTME")</f>
        <v>3</v>
      </c>
      <c r="F5" s="92">
        <f>COUNTIFS(Başvuru!$I:$I,$B5,Başvuru!$P:$P,"KAEK")</f>
        <v>0</v>
      </c>
      <c r="G5" s="92">
        <f>COUNTIFS(Başvuru!$I:$I,$B5,Başvuru!$P:$P,"GÖRÜŞ")</f>
        <v>0</v>
      </c>
      <c r="H5" s="92">
        <f>COUNTIFS(Başvuru!$I:$I,$B5,Başvuru!$P:$P,"RET")</f>
        <v>0</v>
      </c>
      <c r="I5" s="92">
        <f>COUNTIFS(Başvuru!$I:$I,$B5,Başvuru!$P:$P,"KAPSAM DIŞI")</f>
        <v>0</v>
      </c>
      <c r="J5" s="92">
        <f>COUNTIFS(Başvuru!$I:$I,$B5,Başvuru!$P:$P,"GERİ ÇEKİLDİ")</f>
        <v>3</v>
      </c>
      <c r="K5" s="92">
        <f>COUNTIF(Başvuru!$I:$I,$B5)-COUNTIFS(Başvuru!$I:$I,$B5,Başvuru!$L:$L,"&lt;&gt;")</f>
        <v>0</v>
      </c>
      <c r="L5" s="93">
        <f t="shared" si="2"/>
        <v>45</v>
      </c>
      <c r="M5" s="94">
        <f t="shared" si="3"/>
        <v>0.8666666666666667</v>
      </c>
      <c r="N5" s="95"/>
    </row>
    <row r="6" spans="1:14" ht="21.75" customHeight="1" x14ac:dyDescent="0.25">
      <c r="A6" s="87">
        <f t="shared" si="0"/>
        <v>3</v>
      </c>
      <c r="B6" s="88">
        <v>46057</v>
      </c>
      <c r="C6" s="87" t="str">
        <f t="shared" si="1"/>
        <v>3. Toplantı</v>
      </c>
      <c r="D6" s="87">
        <f>COUNTIFS(Başvuru!$I:$I,$B6,Başvuru!$P:$P,"ONAY")</f>
        <v>40</v>
      </c>
      <c r="E6" s="87">
        <f>COUNTIFS(Başvuru!$I:$I,$B6,Başvuru!$P:$P,"DÜZELTME")</f>
        <v>4</v>
      </c>
      <c r="F6" s="87">
        <f>COUNTIFS(Başvuru!$I:$I,$B6,Başvuru!$P:$P,"KAEK")</f>
        <v>1</v>
      </c>
      <c r="G6" s="87">
        <f>COUNTIFS(Başvuru!$I:$I,$B6,Başvuru!$P:$P,"GÖRÜŞ")</f>
        <v>0</v>
      </c>
      <c r="H6" s="87">
        <f>COUNTIFS(Başvuru!$I:$I,$B6,Başvuru!$P:$P,"RET")</f>
        <v>0</v>
      </c>
      <c r="I6" s="87">
        <f>COUNTIFS(Başvuru!$I:$I,$B6,Başvuru!$P:$P,"KAPSAM DIŞI")</f>
        <v>0</v>
      </c>
      <c r="J6" s="87">
        <f>COUNTIFS(Başvuru!$I:$I,$B6,Başvuru!$P:$P,"GERİ ÇEKİLDİ")</f>
        <v>0</v>
      </c>
      <c r="K6" s="87">
        <f>COUNTIF(Başvuru!$I:$I,$B6)-COUNTIFS(Başvuru!$I:$I,$B6,Başvuru!$L:$L,"&lt;&gt;")</f>
        <v>0</v>
      </c>
      <c r="L6" s="89">
        <f t="shared" si="2"/>
        <v>45</v>
      </c>
      <c r="M6" s="90">
        <f t="shared" si="3"/>
        <v>0.88888888888888884</v>
      </c>
      <c r="N6" s="91"/>
    </row>
    <row r="7" spans="1:14" ht="21.75" customHeight="1" x14ac:dyDescent="0.25">
      <c r="A7" s="92">
        <f t="shared" si="0"/>
        <v>4</v>
      </c>
      <c r="B7" s="88">
        <v>46070</v>
      </c>
      <c r="C7" s="92" t="str">
        <f t="shared" si="1"/>
        <v>4. Toplantı</v>
      </c>
      <c r="D7" s="92">
        <f>COUNTIFS(Başvuru!$I:$I,$B7,Başvuru!$P:$P,"ONAY")</f>
        <v>39</v>
      </c>
      <c r="E7" s="92">
        <f>COUNTIFS(Başvuru!$I:$I,$B7,Başvuru!$P:$P,"DÜZELTME")</f>
        <v>2</v>
      </c>
      <c r="F7" s="92">
        <f>COUNTIFS(Başvuru!$I:$I,$B7,Başvuru!$P:$P,"KAEK")</f>
        <v>1</v>
      </c>
      <c r="G7" s="92">
        <f>COUNTIFS(Başvuru!$I:$I,$B7,Başvuru!$P:$P,"GÖRÜŞ")</f>
        <v>0</v>
      </c>
      <c r="H7" s="92">
        <f>COUNTIFS(Başvuru!$I:$I,$B7,Başvuru!$P:$P,"RET")</f>
        <v>3</v>
      </c>
      <c r="I7" s="92">
        <f>COUNTIFS(Başvuru!$I:$I,$B7,Başvuru!$P:$P,"KAPSAM DIŞI")</f>
        <v>0</v>
      </c>
      <c r="J7" s="92">
        <f>COUNTIFS(Başvuru!$I:$I,$B7,Başvuru!$P:$P,"GERİ ÇEKİLDİ")</f>
        <v>0</v>
      </c>
      <c r="K7" s="92">
        <f>COUNTIF(Başvuru!$I:$I,$B7)-COUNTIFS(Başvuru!$I:$I,$B7,Başvuru!$L:$L,"&lt;&gt;")</f>
        <v>0</v>
      </c>
      <c r="L7" s="93">
        <f t="shared" si="2"/>
        <v>45</v>
      </c>
      <c r="M7" s="94">
        <f t="shared" si="3"/>
        <v>0.8666666666666667</v>
      </c>
      <c r="N7" s="95"/>
    </row>
    <row r="8" spans="1:14" ht="21.75" customHeight="1" x14ac:dyDescent="0.25">
      <c r="A8" s="87">
        <f t="shared" si="0"/>
        <v>5</v>
      </c>
      <c r="B8" s="88">
        <v>46084</v>
      </c>
      <c r="C8" s="87" t="str">
        <f t="shared" si="1"/>
        <v>5. Toplantı</v>
      </c>
      <c r="D8" s="87">
        <f>COUNTIFS(Başvuru!$I:$I,$B8,Başvuru!$P:$P,"ONAY")</f>
        <v>29</v>
      </c>
      <c r="E8" s="87">
        <f>COUNTIFS(Başvuru!$I:$I,$B8,Başvuru!$P:$P,"DÜZELTME")</f>
        <v>3</v>
      </c>
      <c r="F8" s="87">
        <f>COUNTIFS(Başvuru!$I:$I,$B8,Başvuru!$P:$P,"KAEK")</f>
        <v>0</v>
      </c>
      <c r="G8" s="87">
        <f>COUNTIFS(Başvuru!$I:$I,$B8,Başvuru!$P:$P,"GÖRÜŞ")</f>
        <v>0</v>
      </c>
      <c r="H8" s="87">
        <f>COUNTIFS(Başvuru!$I:$I,$B8,Başvuru!$P:$P,"RET")</f>
        <v>0</v>
      </c>
      <c r="I8" s="87">
        <f>COUNTIFS(Başvuru!$I:$I,$B8,Başvuru!$P:$P,"KAPSAM DIŞI")</f>
        <v>3</v>
      </c>
      <c r="J8" s="87">
        <f>COUNTIFS(Başvuru!$I:$I,$B8,Başvuru!$P:$P,"GERİ ÇEKİLDİ")</f>
        <v>0</v>
      </c>
      <c r="K8" s="87">
        <f>COUNTIF(Başvuru!$I:$I,$B8)-COUNTIFS(Başvuru!$I:$I,$B8,Başvuru!$L:$L,"&lt;&gt;")</f>
        <v>0</v>
      </c>
      <c r="L8" s="89">
        <f t="shared" si="2"/>
        <v>35</v>
      </c>
      <c r="M8" s="90">
        <f t="shared" si="3"/>
        <v>0.82857142857142863</v>
      </c>
      <c r="N8" s="91"/>
    </row>
    <row r="9" spans="1:14" ht="21.75" customHeight="1" x14ac:dyDescent="0.25">
      <c r="A9" s="92">
        <f t="shared" si="0"/>
        <v>6</v>
      </c>
      <c r="B9" s="88">
        <v>46098</v>
      </c>
      <c r="C9" s="92" t="str">
        <f t="shared" si="1"/>
        <v>6. Toplantı</v>
      </c>
      <c r="D9" s="92">
        <f>COUNTIFS(Başvuru!$I:$I,$B9,Başvuru!$P:$P,"ONAY")</f>
        <v>37</v>
      </c>
      <c r="E9" s="92">
        <f>COUNTIFS(Başvuru!$I:$I,$B9,Başvuru!$P:$P,"DÜZELTME")</f>
        <v>4</v>
      </c>
      <c r="F9" s="92">
        <f>COUNTIFS(Başvuru!$I:$I,$B9,Başvuru!$P:$P,"KAEK")</f>
        <v>2</v>
      </c>
      <c r="G9" s="92">
        <f>COUNTIFS(Başvuru!$I:$I,$B9,Başvuru!$P:$P,"GÖRÜŞ")</f>
        <v>0</v>
      </c>
      <c r="H9" s="92">
        <f>COUNTIFS(Başvuru!$I:$I,$B9,Başvuru!$P:$P,"RET")</f>
        <v>1</v>
      </c>
      <c r="I9" s="92">
        <f>COUNTIFS(Başvuru!$I:$I,$B9,Başvuru!$P:$P,"KAPSAM DIŞI")</f>
        <v>2</v>
      </c>
      <c r="J9" s="92">
        <f>COUNTIFS(Başvuru!$I:$I,$B9,Başvuru!$P:$P,"GERİ ÇEKİLDİ")</f>
        <v>1</v>
      </c>
      <c r="K9" s="92">
        <f>COUNTIF(Başvuru!$I:$I,$B9)-COUNTIFS(Başvuru!$I:$I,$B9,Başvuru!$L:$L,"&lt;&gt;")</f>
        <v>0</v>
      </c>
      <c r="L9" s="93">
        <f t="shared" si="2"/>
        <v>47</v>
      </c>
      <c r="M9" s="94">
        <f t="shared" si="3"/>
        <v>0.78723404255319152</v>
      </c>
      <c r="N9" s="95"/>
    </row>
    <row r="10" spans="1:14" ht="21.75" customHeight="1" x14ac:dyDescent="0.25">
      <c r="A10" s="87">
        <f t="shared" si="0"/>
        <v>7</v>
      </c>
      <c r="B10" s="88">
        <v>46112</v>
      </c>
      <c r="C10" s="87" t="str">
        <f t="shared" si="1"/>
        <v>7. Toplantı</v>
      </c>
      <c r="D10" s="87">
        <f>COUNTIFS(Başvuru!$I:$I,$B10,Başvuru!$P:$P,"ONAY")</f>
        <v>32</v>
      </c>
      <c r="E10" s="87">
        <f>COUNTIFS(Başvuru!$I:$I,$B10,Başvuru!$P:$P,"DÜZELTME")</f>
        <v>3</v>
      </c>
      <c r="F10" s="87">
        <f>COUNTIFS(Başvuru!$I:$I,$B10,Başvuru!$P:$P,"KAEK")</f>
        <v>1</v>
      </c>
      <c r="G10" s="87">
        <f>COUNTIFS(Başvuru!$I:$I,$B10,Başvuru!$P:$P,"GÖRÜŞ")</f>
        <v>1</v>
      </c>
      <c r="H10" s="87">
        <f>COUNTIFS(Başvuru!$I:$I,$B10,Başvuru!$P:$P,"RET")</f>
        <v>2</v>
      </c>
      <c r="I10" s="87">
        <f>COUNTIFS(Başvuru!$I:$I,$B10,Başvuru!$P:$P,"KAPSAM DIŞI")</f>
        <v>1</v>
      </c>
      <c r="J10" s="87">
        <f>COUNTIFS(Başvuru!$I:$I,$B10,Başvuru!$P:$P,"GERİ ÇEKİLDİ")</f>
        <v>0</v>
      </c>
      <c r="K10" s="87">
        <f>COUNTIF(Başvuru!$I:$I,$B10)-COUNTIFS(Başvuru!$I:$I,$B10,Başvuru!$L:$L,"&lt;&gt;")</f>
        <v>0</v>
      </c>
      <c r="L10" s="89">
        <f t="shared" si="2"/>
        <v>40</v>
      </c>
      <c r="M10" s="90">
        <f t="shared" si="3"/>
        <v>0.8</v>
      </c>
      <c r="N10" s="91"/>
    </row>
    <row r="11" spans="1:14" ht="21.75" customHeight="1" x14ac:dyDescent="0.25">
      <c r="A11" s="92">
        <f t="shared" si="0"/>
        <v>8</v>
      </c>
      <c r="B11" s="88">
        <v>46126</v>
      </c>
      <c r="C11" s="92" t="str">
        <f t="shared" si="1"/>
        <v>8. Toplantı</v>
      </c>
      <c r="D11" s="92">
        <f>COUNTIFS(Başvuru!$I:$I,$B11,Başvuru!$P:$P,"ONAY")</f>
        <v>30</v>
      </c>
      <c r="E11" s="92">
        <f>COUNTIFS(Başvuru!$I:$I,$B11,Başvuru!$P:$P,"DÜZELTME")</f>
        <v>5</v>
      </c>
      <c r="F11" s="92">
        <f>COUNTIFS(Başvuru!$I:$I,$B11,Başvuru!$P:$P,"KAEK")</f>
        <v>1</v>
      </c>
      <c r="G11" s="92">
        <f>COUNTIFS(Başvuru!$I:$I,$B11,Başvuru!$P:$P,"GÖRÜŞ")</f>
        <v>0</v>
      </c>
      <c r="H11" s="92">
        <f>COUNTIFS(Başvuru!$I:$I,$B11,Başvuru!$P:$P,"RET")</f>
        <v>4</v>
      </c>
      <c r="I11" s="92">
        <f>COUNTIFS(Başvuru!$I:$I,$B11,Başvuru!$P:$P,"KAPSAM DIŞI")</f>
        <v>0</v>
      </c>
      <c r="J11" s="92">
        <f>COUNTIFS(Başvuru!$I:$I,$B11,Başvuru!$P:$P,"GERİ ÇEKİLDİ")</f>
        <v>0</v>
      </c>
      <c r="K11" s="92">
        <f>COUNTIF(Başvuru!$I:$I,$B11)-COUNTIFS(Başvuru!$I:$I,$B11,Başvuru!$L:$L,"&lt;&gt;")</f>
        <v>0</v>
      </c>
      <c r="L11" s="93">
        <f t="shared" si="2"/>
        <v>40</v>
      </c>
      <c r="M11" s="94">
        <f t="shared" si="3"/>
        <v>0.75</v>
      </c>
      <c r="N11" s="95"/>
    </row>
    <row r="12" spans="1:14" ht="21.75" customHeight="1" x14ac:dyDescent="0.25">
      <c r="A12" s="87">
        <f t="shared" si="0"/>
        <v>9</v>
      </c>
      <c r="B12" s="88">
        <v>46140</v>
      </c>
      <c r="C12" s="87" t="str">
        <f t="shared" si="1"/>
        <v>9. Toplantı</v>
      </c>
      <c r="D12" s="87">
        <f>COUNTIFS(Başvuru!$I:$I,$B12,Başvuru!$P:$P,"ONAY")</f>
        <v>37</v>
      </c>
      <c r="E12" s="87">
        <f>COUNTIFS(Başvuru!$I:$I,$B12,Başvuru!$P:$P,"DÜZELTME")</f>
        <v>8</v>
      </c>
      <c r="F12" s="87">
        <f>COUNTIFS(Başvuru!$I:$I,$B12,Başvuru!$P:$P,"KAEK")</f>
        <v>0</v>
      </c>
      <c r="G12" s="87">
        <f>COUNTIFS(Başvuru!$I:$I,$B12,Başvuru!$P:$P,"GÖRÜŞ")</f>
        <v>0</v>
      </c>
      <c r="H12" s="87">
        <f>COUNTIFS(Başvuru!$I:$I,$B12,Başvuru!$P:$P,"RET")</f>
        <v>3</v>
      </c>
      <c r="I12" s="87">
        <f>COUNTIFS(Başvuru!$I:$I,$B12,Başvuru!$P:$P,"KAPSAM DIŞI")</f>
        <v>0</v>
      </c>
      <c r="J12" s="87">
        <f>COUNTIFS(Başvuru!$I:$I,$B12,Başvuru!$P:$P,"GERİ ÇEKİLDİ")</f>
        <v>0</v>
      </c>
      <c r="K12" s="87">
        <f>COUNTIF(Başvuru!$I:$I,$B12)-COUNTIFS(Başvuru!$I:$I,$B12,Başvuru!$L:$L,"&lt;&gt;")</f>
        <v>0</v>
      </c>
      <c r="L12" s="89">
        <f t="shared" si="2"/>
        <v>48</v>
      </c>
      <c r="M12" s="90">
        <f t="shared" si="3"/>
        <v>0.77083333333333337</v>
      </c>
      <c r="N12" s="91"/>
    </row>
    <row r="13" spans="1:14" ht="21.75" customHeight="1" x14ac:dyDescent="0.25">
      <c r="A13" s="92">
        <f t="shared" si="0"/>
        <v>10</v>
      </c>
      <c r="B13" s="88">
        <v>46154</v>
      </c>
      <c r="C13" s="92" t="str">
        <f t="shared" si="1"/>
        <v>10. Toplantı</v>
      </c>
      <c r="D13" s="92">
        <f>COUNTIFS(Başvuru!$I:$I,$B13,Başvuru!$P:$P,"ONAY")</f>
        <v>36</v>
      </c>
      <c r="E13" s="92">
        <f>COUNTIFS(Başvuru!$I:$I,$B13,Başvuru!$P:$P,"DÜZELTME")</f>
        <v>7</v>
      </c>
      <c r="F13" s="92">
        <f>COUNTIFS(Başvuru!$I:$I,$B13,Başvuru!$P:$P,"KAEK")</f>
        <v>0</v>
      </c>
      <c r="G13" s="92">
        <f>COUNTIFS(Başvuru!$I:$I,$B13,Başvuru!$P:$P,"GÖRÜŞ")</f>
        <v>4</v>
      </c>
      <c r="H13" s="92">
        <f>COUNTIFS(Başvuru!$I:$I,$B13,Başvuru!$P:$P,"RET")</f>
        <v>0</v>
      </c>
      <c r="I13" s="92">
        <f>COUNTIFS(Başvuru!$I:$I,$B13,Başvuru!$P:$P,"KAPSAM DIŞI")</f>
        <v>1</v>
      </c>
      <c r="J13" s="92">
        <f>COUNTIFS(Başvuru!$I:$I,$B13,Başvuru!$P:$P,"GERİ ÇEKİLDİ")</f>
        <v>0</v>
      </c>
      <c r="K13" s="92">
        <f>COUNTIF(Başvuru!$I:$I,$B13)-COUNTIFS(Başvuru!$I:$I,$B13,Başvuru!$L:$L,"&lt;&gt;")</f>
        <v>4</v>
      </c>
      <c r="L13" s="93">
        <f t="shared" si="2"/>
        <v>52</v>
      </c>
      <c r="M13" s="94">
        <f t="shared" si="3"/>
        <v>0.69230769230769229</v>
      </c>
      <c r="N13" s="95"/>
    </row>
    <row r="14" spans="1:14" ht="21.75" customHeight="1" thickBot="1" x14ac:dyDescent="0.3">
      <c r="A14" s="87">
        <f t="shared" si="0"/>
        <v>11</v>
      </c>
      <c r="B14" s="88">
        <v>46175</v>
      </c>
      <c r="C14" s="87" t="str">
        <f t="shared" si="1"/>
        <v>11. Toplantı</v>
      </c>
      <c r="D14" s="87">
        <f>COUNTIFS(Başvuru!$I:$I,$B14,Başvuru!$P:$P,"ONAY")</f>
        <v>21</v>
      </c>
      <c r="E14" s="87">
        <f>COUNTIFS(Başvuru!$I:$I,$B14,Başvuru!$P:$P,"DÜZELTME")</f>
        <v>15</v>
      </c>
      <c r="F14" s="87">
        <f>COUNTIFS(Başvuru!$I:$I,$B14,Başvuru!$P:$P,"KAEK")</f>
        <v>0</v>
      </c>
      <c r="G14" s="87">
        <f>COUNTIFS(Başvuru!$I:$I,$B14,Başvuru!$P:$P,"GÖRÜŞ")</f>
        <v>0</v>
      </c>
      <c r="H14" s="87">
        <f>COUNTIFS(Başvuru!$I:$I,$B14,Başvuru!$P:$P,"RET")</f>
        <v>2</v>
      </c>
      <c r="I14" s="87">
        <f>COUNTIFS(Başvuru!$I:$I,$B14,Başvuru!$P:$P,"KAPSAM DIŞI")</f>
        <v>0</v>
      </c>
      <c r="J14" s="87">
        <f>COUNTIFS(Başvuru!$I:$I,$B14,Başvuru!$P:$P,"GERİ ÇEKİLDİ")</f>
        <v>0</v>
      </c>
      <c r="K14" s="87">
        <f>COUNTIF(Başvuru!$I:$I,$B14)-COUNTIFS(Başvuru!$I:$I,$B14,Başvuru!$L:$L,"&lt;&gt;")</f>
        <v>2</v>
      </c>
      <c r="L14" s="89">
        <f t="shared" si="2"/>
        <v>40</v>
      </c>
      <c r="M14" s="90">
        <f t="shared" si="3"/>
        <v>0.52500000000000002</v>
      </c>
      <c r="N14" s="91"/>
    </row>
    <row r="15" spans="1:14" ht="21.75" customHeight="1" thickBot="1" x14ac:dyDescent="0.3">
      <c r="A15" s="285">
        <f t="shared" si="0"/>
        <v>12</v>
      </c>
      <c r="B15" s="286">
        <v>46196</v>
      </c>
      <c r="C15" s="285" t="str">
        <f t="shared" si="1"/>
        <v>12. Toplantı</v>
      </c>
      <c r="D15" s="285">
        <f>COUNTIFS(Başvuru!$I:$I,$B15,Başvuru!$P:$P,"ONAY")</f>
        <v>0</v>
      </c>
      <c r="E15" s="285">
        <f>COUNTIFS(Başvuru!$I:$I,$B15,Başvuru!$P:$P,"DÜZELTME")</f>
        <v>0</v>
      </c>
      <c r="F15" s="285">
        <f>COUNTIFS(Başvuru!$I:$I,$B15,Başvuru!$P:$P,"KAEK")</f>
        <v>0</v>
      </c>
      <c r="G15" s="285">
        <f>COUNTIFS(Başvuru!$I:$I,$B15,Başvuru!$P:$P,"GÖRÜŞ")</f>
        <v>0</v>
      </c>
      <c r="H15" s="285">
        <f>COUNTIFS(Başvuru!$I:$I,$B15,Başvuru!$P:$P,"RET")</f>
        <v>0</v>
      </c>
      <c r="I15" s="285">
        <f>COUNTIFS(Başvuru!$I:$I,$B15,Başvuru!$P:$P,"KAPSAM DIŞI")</f>
        <v>0</v>
      </c>
      <c r="J15" s="285">
        <f>COUNTIFS(Başvuru!$I:$I,$B15,Başvuru!$P:$P,"GERİ ÇEKİLDİ")</f>
        <v>0</v>
      </c>
      <c r="K15" s="285">
        <f>COUNTIF(Başvuru!$I:$I,$B15)-COUNTIFS(Başvuru!$I:$I,$B15,Başvuru!$L:$L,"&lt;&gt;")</f>
        <v>46</v>
      </c>
      <c r="L15" s="287">
        <f t="shared" si="2"/>
        <v>46</v>
      </c>
      <c r="M15" s="288">
        <f t="shared" si="3"/>
        <v>0</v>
      </c>
      <c r="N15" s="289"/>
    </row>
    <row r="16" spans="1:14" ht="21.75" customHeight="1" thickBot="1" x14ac:dyDescent="0.3">
      <c r="A16" s="87">
        <f t="shared" si="0"/>
        <v>13</v>
      </c>
      <c r="B16" s="88">
        <v>46217</v>
      </c>
      <c r="C16" s="87" t="str">
        <f t="shared" si="1"/>
        <v>13. Toplantı</v>
      </c>
      <c r="D16" s="87">
        <f>COUNTIFS(Başvuru!$I:$I,$B16,Başvuru!$P:$P,"ONAY")</f>
        <v>0</v>
      </c>
      <c r="E16" s="87">
        <f>COUNTIFS(Başvuru!$I:$I,$B16,Başvuru!$P:$P,"DÜZELTME")</f>
        <v>0</v>
      </c>
      <c r="F16" s="87">
        <f>COUNTIFS(Başvuru!$I:$I,$B16,Başvuru!$P:$P,"KAEK")</f>
        <v>0</v>
      </c>
      <c r="G16" s="87">
        <f>COUNTIFS(Başvuru!$I:$I,$B16,Başvuru!$P:$P,"GÖRÜŞ")</f>
        <v>0</v>
      </c>
      <c r="H16" s="87">
        <f>COUNTIFS(Başvuru!$I:$I,$B16,Başvuru!$P:$P,"RET")</f>
        <v>0</v>
      </c>
      <c r="I16" s="87">
        <f>COUNTIFS(Başvuru!$I:$I,$B16,Başvuru!$P:$P,"KAPSAM DIŞI")</f>
        <v>0</v>
      </c>
      <c r="J16" s="87">
        <f>COUNTIFS(Başvuru!$I:$I,$B16,Başvuru!$P:$P,"GERİ ÇEKİLDİ")</f>
        <v>0</v>
      </c>
      <c r="K16" s="87">
        <f>COUNTIF(Başvuru!$I:$I,$B16)-COUNTIFS(Başvuru!$I:$I,$B16,Başvuru!$L:$L,"&lt;&gt;")</f>
        <v>40</v>
      </c>
      <c r="L16" s="89">
        <f t="shared" si="2"/>
        <v>40</v>
      </c>
      <c r="M16" s="90">
        <f t="shared" si="3"/>
        <v>0</v>
      </c>
      <c r="N16" s="91"/>
    </row>
    <row r="17" spans="1:14" ht="25.5" customHeight="1" x14ac:dyDescent="0.25">
      <c r="A17" s="298" t="s">
        <v>3715</v>
      </c>
      <c r="B17" s="299"/>
      <c r="C17" s="300"/>
      <c r="D17" s="96">
        <f t="shared" ref="D17:L17" si="4">SUM(D4:D15)</f>
        <v>390</v>
      </c>
      <c r="E17" s="96">
        <f t="shared" si="4"/>
        <v>56</v>
      </c>
      <c r="F17" s="96">
        <f t="shared" si="4"/>
        <v>8</v>
      </c>
      <c r="G17" s="96">
        <f t="shared" si="4"/>
        <v>5</v>
      </c>
      <c r="H17" s="96">
        <f t="shared" si="4"/>
        <v>15</v>
      </c>
      <c r="I17" s="96">
        <f t="shared" si="4"/>
        <v>8</v>
      </c>
      <c r="J17" s="96">
        <f t="shared" si="4"/>
        <v>4</v>
      </c>
      <c r="K17" s="96">
        <f t="shared" si="4"/>
        <v>52</v>
      </c>
      <c r="L17" s="96">
        <f t="shared" si="4"/>
        <v>538</v>
      </c>
      <c r="M17" s="97">
        <f t="shared" si="3"/>
        <v>0.72490706319702602</v>
      </c>
    </row>
    <row r="19" spans="1:14" ht="36" customHeight="1" x14ac:dyDescent="0.25">
      <c r="A19" s="301" t="s">
        <v>3716</v>
      </c>
      <c r="B19" s="294"/>
      <c r="C19" s="294"/>
      <c r="D19" s="294"/>
      <c r="E19" s="294"/>
      <c r="F19" s="294"/>
      <c r="G19" s="294"/>
      <c r="H19" s="294"/>
      <c r="I19" s="294"/>
      <c r="J19" s="294"/>
      <c r="K19" s="294"/>
      <c r="L19" s="294"/>
      <c r="M19" s="294"/>
      <c r="N19" s="294"/>
    </row>
  </sheetData>
  <mergeCells count="4">
    <mergeCell ref="A17:C17"/>
    <mergeCell ref="A19:N19"/>
    <mergeCell ref="A2:N2"/>
    <mergeCell ref="A1:N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4"/>
  <sheetViews>
    <sheetView showZeros="0" zoomScale="50" zoomScaleNormal="50" workbookViewId="0">
      <selection activeCell="C20" sqref="C20"/>
    </sheetView>
  </sheetViews>
  <sheetFormatPr defaultColWidth="9.140625" defaultRowHeight="18.75" x14ac:dyDescent="0.3"/>
  <cols>
    <col min="1" max="1" width="8.7109375" style="26" customWidth="1"/>
    <col min="2" max="2" width="58.42578125" style="26" customWidth="1"/>
    <col min="3" max="3" width="21.28515625" style="26" customWidth="1"/>
    <col min="4" max="4" width="41.28515625" style="26" customWidth="1"/>
    <col min="5" max="5" width="47.85546875" style="26" customWidth="1"/>
    <col min="6" max="6" width="41.5703125" style="26" customWidth="1"/>
    <col min="7" max="7" width="42.140625" style="26" customWidth="1"/>
    <col min="8" max="8" width="37.85546875" style="26" customWidth="1"/>
    <col min="9" max="9" width="52.140625" style="26" customWidth="1"/>
    <col min="10" max="10" width="52.7109375" style="26" customWidth="1"/>
    <col min="11" max="11" width="33" style="26" customWidth="1"/>
    <col min="12" max="12" width="41.85546875" style="26" customWidth="1"/>
    <col min="13" max="13" width="48.42578125" style="26" customWidth="1"/>
    <col min="14" max="14" width="42.140625" style="26" customWidth="1"/>
    <col min="15" max="15" width="42.7109375" style="26" customWidth="1"/>
    <col min="16" max="16" width="38.42578125" style="26" customWidth="1"/>
    <col min="17" max="17" width="52.7109375" style="26" customWidth="1"/>
    <col min="18" max="18" width="53.28515625" style="26" customWidth="1"/>
    <col min="19" max="19" width="51.5703125" style="26" customWidth="1"/>
    <col min="20" max="20" width="31.28515625" style="26" customWidth="1"/>
    <col min="21" max="21" width="38.7109375" style="26" customWidth="1"/>
    <col min="22" max="22" width="31.5703125" style="26" customWidth="1"/>
    <col min="23" max="23" width="32.140625" style="26" customWidth="1"/>
    <col min="24" max="24" width="27.85546875" style="26" customWidth="1"/>
    <col min="25" max="25" width="42.140625" style="26" customWidth="1"/>
    <col min="26" max="26" width="42.7109375" style="26" customWidth="1"/>
    <col min="27" max="27" width="42.140625" style="26" customWidth="1"/>
    <col min="28" max="28" width="34.140625" style="26" customWidth="1"/>
    <col min="29" max="29" width="41" style="26" customWidth="1"/>
    <col min="30" max="30" width="34.42578125" style="26" customWidth="1"/>
    <col min="31" max="31" width="35.28515625" style="26" customWidth="1"/>
    <col min="32" max="32" width="31" style="26" customWidth="1"/>
    <col min="33" max="33" width="45.28515625" style="26" customWidth="1"/>
    <col min="34" max="34" width="45.85546875" style="26" customWidth="1"/>
    <col min="35" max="35" width="42.7109375" style="26" customWidth="1"/>
    <col min="36" max="36" width="22.42578125" style="26" customWidth="1"/>
    <col min="37" max="37" width="29.85546875" style="26" customWidth="1"/>
    <col min="38" max="38" width="24.42578125" style="26" customWidth="1"/>
    <col min="39" max="39" width="24.140625" style="26" customWidth="1"/>
    <col min="40" max="40" width="19.85546875" style="26" customWidth="1"/>
    <col min="41" max="41" width="34.140625" style="26" customWidth="1"/>
    <col min="42" max="42" width="34.7109375" style="26" customWidth="1"/>
    <col min="43" max="43" width="27.5703125" style="26" customWidth="1"/>
    <col min="44" max="44" width="44.140625" style="26" customWidth="1"/>
    <col min="45" max="45" width="29.7109375" style="107" customWidth="1"/>
    <col min="46" max="46" width="14.7109375" style="108" customWidth="1"/>
    <col min="47" max="47" width="16" style="26" customWidth="1"/>
    <col min="48" max="48" width="9.140625" style="26" customWidth="1"/>
    <col min="49" max="16384" width="9.140625" style="26"/>
  </cols>
  <sheetData>
    <row r="1" spans="1:46" s="121" customFormat="1" ht="20.25" customHeight="1" x14ac:dyDescent="0.25">
      <c r="A1" s="109" t="s">
        <v>3717</v>
      </c>
      <c r="B1" s="110" t="s">
        <v>3718</v>
      </c>
      <c r="C1" s="111" t="s">
        <v>3719</v>
      </c>
      <c r="D1" s="112" t="s">
        <v>3720</v>
      </c>
      <c r="E1" s="112" t="s">
        <v>3721</v>
      </c>
      <c r="F1" s="112" t="s">
        <v>3722</v>
      </c>
      <c r="G1" s="112" t="s">
        <v>3723</v>
      </c>
      <c r="H1" s="112" t="s">
        <v>3724</v>
      </c>
      <c r="I1" s="112" t="s">
        <v>3725</v>
      </c>
      <c r="J1" s="112" t="s">
        <v>3726</v>
      </c>
      <c r="K1" s="113" t="s">
        <v>3727</v>
      </c>
      <c r="L1" s="114" t="s">
        <v>3728</v>
      </c>
      <c r="M1" s="112" t="s">
        <v>3729</v>
      </c>
      <c r="N1" s="112" t="s">
        <v>3730</v>
      </c>
      <c r="O1" s="112" t="s">
        <v>3731</v>
      </c>
      <c r="P1" s="112" t="s">
        <v>3732</v>
      </c>
      <c r="Q1" s="112" t="s">
        <v>3733</v>
      </c>
      <c r="R1" s="112" t="s">
        <v>3734</v>
      </c>
      <c r="S1" s="115" t="s">
        <v>3735</v>
      </c>
      <c r="T1" s="112" t="s">
        <v>3736</v>
      </c>
      <c r="U1" s="112" t="s">
        <v>3737</v>
      </c>
      <c r="V1" s="112" t="s">
        <v>3738</v>
      </c>
      <c r="W1" s="112" t="s">
        <v>3739</v>
      </c>
      <c r="X1" s="112" t="s">
        <v>3740</v>
      </c>
      <c r="Y1" s="112" t="s">
        <v>3741</v>
      </c>
      <c r="Z1" s="112" t="s">
        <v>3742</v>
      </c>
      <c r="AA1" s="116" t="s">
        <v>3743</v>
      </c>
      <c r="AB1" s="112" t="s">
        <v>3744</v>
      </c>
      <c r="AC1" s="112" t="s">
        <v>3745</v>
      </c>
      <c r="AD1" s="112" t="s">
        <v>3746</v>
      </c>
      <c r="AE1" s="112" t="s">
        <v>3747</v>
      </c>
      <c r="AF1" s="112" t="s">
        <v>3748</v>
      </c>
      <c r="AG1" s="112" t="s">
        <v>3749</v>
      </c>
      <c r="AH1" s="112" t="s">
        <v>3750</v>
      </c>
      <c r="AI1" s="116" t="s">
        <v>3751</v>
      </c>
      <c r="AJ1" s="117" t="s">
        <v>3752</v>
      </c>
      <c r="AK1" s="117" t="s">
        <v>3753</v>
      </c>
      <c r="AL1" s="117" t="s">
        <v>3754</v>
      </c>
      <c r="AM1" s="117" t="s">
        <v>3755</v>
      </c>
      <c r="AN1" s="117" t="s">
        <v>3756</v>
      </c>
      <c r="AO1" s="117" t="s">
        <v>3757</v>
      </c>
      <c r="AP1" s="117" t="s">
        <v>3758</v>
      </c>
      <c r="AQ1" s="117" t="s">
        <v>3715</v>
      </c>
      <c r="AR1" s="118" t="s">
        <v>3759</v>
      </c>
      <c r="AS1" s="119" t="s">
        <v>3760</v>
      </c>
      <c r="AT1" s="120" t="s">
        <v>3761</v>
      </c>
    </row>
    <row r="2" spans="1:46" s="121" customFormat="1" ht="30.75" customHeight="1" x14ac:dyDescent="0.25">
      <c r="A2" s="122" t="s">
        <v>58</v>
      </c>
      <c r="B2" s="123" t="s">
        <v>64</v>
      </c>
      <c r="C2" s="124">
        <f>COUNTIF(Başvuru!J2:K1457,"Prof. Dr. Ayşe Nurten AKARSU")</f>
        <v>91</v>
      </c>
      <c r="D2" s="125">
        <f t="array" ref="D2">SUMPRODUCT(((Başvuru!J2:K1457)="Prof. Dr. Ayşe Nurten AKARSU")*(Başvuru!G2:G1457="Bireysel Araştırma")*(Başvuru!L2:L1457="ONAY"))</f>
        <v>33</v>
      </c>
      <c r="E2" s="125">
        <f t="array" ref="E2">SUMPRODUCT(((Başvuru!J2:K1457)="Prof. Dr. Ayşe Nurten AKARSU")*(Başvuru!G2:G1457="Bireysel Araştırma")*(Başvuru!L2:L1457="DÜZELTME"))</f>
        <v>22</v>
      </c>
      <c r="F2" s="125">
        <f t="array" ref="F2">SUMPRODUCT(((Başvuru!J2:K1457)="Prof. Dr. Ayşe Nurten AKARSU")*(Başvuru!G2:G1457="Bireysel Araştırma")*(Başvuru!L2:L1457="KAEK"))</f>
        <v>0</v>
      </c>
      <c r="G2" s="125">
        <f t="array" ref="G2">SUMPRODUCT(((Başvuru!J2:K1457)="Prof. Dr. Ayşe Nurten AKARSU")*(Başvuru!G2:G1457="Bireysel Araştırma")*(Başvuru!L2:L1457="GÖRÜŞ"))</f>
        <v>3</v>
      </c>
      <c r="H2" s="125">
        <f t="array" ref="H2">SUMPRODUCT(((Başvuru!J2:K1457)="Prof. Dr. Ayşe Nurten AKARSU")*(Başvuru!G2:G1457="Bireysel Araştırma")*(Başvuru!L2:L1457="RET"))</f>
        <v>3</v>
      </c>
      <c r="I2" s="125">
        <f t="array" ref="I2">SUMPRODUCT(((Başvuru!J2:K1457)="Prof. Dr. Ayşe Nurten AKARSU")*(Başvuru!G2:G1457="Bireysel Araştırma")*(Başvuru!L2:L1457="KAPSAM DIŞI"))</f>
        <v>0</v>
      </c>
      <c r="J2" s="125">
        <f t="array" ref="J2">SUMPRODUCT(((Başvuru!J2:K1457)="Prof. Dr. Ayşe Nurten AKARSU")*(Başvuru!G2:G1457="Bireysel Araştırma")*(Başvuru!L2:L1457="GERİ ÇEKİLDİ"))</f>
        <v>0</v>
      </c>
      <c r="K2" s="124">
        <f t="shared" ref="K2:K13" si="0">SUM(D2:J2)</f>
        <v>61</v>
      </c>
      <c r="L2" s="124">
        <f t="array" ref="L2">SUMPRODUCT(((Başvuru!J2:K1457)="Prof. Dr. Ayşe Nurten AKARSU")*(Başvuru!G2:G1457="Yüksek Lisans Tezi")*(Başvuru!L2:L1457="ONAY"))</f>
        <v>0</v>
      </c>
      <c r="M2" s="124">
        <f t="array" ref="M2">SUMPRODUCT(((Başvuru!J2:K1457)="Prof. Dr. Ayşe Nurten AKARSU")*(Başvuru!G2:G1457="Yüksek Lisans Tezi")*(Başvuru!L2:L1457="DÜZELTME"))</f>
        <v>4</v>
      </c>
      <c r="N2" s="124">
        <f t="array" ref="N2">SUMPRODUCT(((Başvuru!J2:K1457)="Prof. Dr. Ayşe Nurten AKARSU")*(Başvuru!G2:G1457="Yüksek Lisans Tezi")*(Başvuru!L2:L1457="KAEK"))</f>
        <v>0</v>
      </c>
      <c r="O2" s="124">
        <f t="array" ref="O2">SUMPRODUCT(((Başvuru!J2:K1457)="Prof. Dr. Ayşe Nurten AKARSU")*(Başvuru!G2:G1457="Yüksek Lisans Tezi")*(Başvuru!L2:L1457="GÖRÜŞ"))</f>
        <v>0</v>
      </c>
      <c r="P2" s="124">
        <f t="array" ref="P2">SUMPRODUCT(((Başvuru!J2:K1457)="Prof. Dr. Ayşe Nurten AKARSU")*(Başvuru!G2:G1457="Yüksek Lisans Tezi")*(Başvuru!L2:L1457="RET"))</f>
        <v>0</v>
      </c>
      <c r="Q2" s="124">
        <f t="array" ref="Q2">SUMPRODUCT(((Başvuru!J2:K1457)="Prof. Dr. Ayşe Nurten AKARSU")*(Başvuru!G2:G1457="Yüksek Lisans Tezi")*(Başvuru!L2:L1457="KAPSAM DIŞI"))</f>
        <v>0</v>
      </c>
      <c r="R2" s="124">
        <f t="array" ref="R2">SUMPRODUCT(((Başvuru!J2:K1457)="Prof. Dr. Ayşe Nurten AKARSU")*(Başvuru!G2:G1457="Yüksek Lisans Tezi")*(Başvuru!L2:L1457="GERİ ÇEKİLDİ"))</f>
        <v>0</v>
      </c>
      <c r="S2" s="124">
        <f t="shared" ref="S2:S13" si="1">SUM(L2:R2)</f>
        <v>4</v>
      </c>
      <c r="T2" s="124">
        <f t="array" ref="T2">SUMPRODUCT(((Başvuru!J2:K1457)="Prof. Dr. Ayşe Nurten AKARSU")*(Başvuru!G2:G1457="Doktora Tezi")*(Başvuru!L2:L1457="ONAY"))</f>
        <v>3</v>
      </c>
      <c r="U2" s="124">
        <f t="array" ref="U2">SUMPRODUCT(((Başvuru!J2:K1457)="Prof. Dr. Ayşe Nurten AKARSU")*(Başvuru!G2:G1457="Doktora Tezi")*(Başvuru!L2:L1457="DÜZELTME"))</f>
        <v>3</v>
      </c>
      <c r="V2" s="124">
        <f t="array" ref="V2">SUMPRODUCT(((Başvuru!J2:K1457)="Prof. Dr. Ayşe Nurten AKARSU")*(Başvuru!G2:G1457="Doktora Tezi")*(Başvuru!L2:L1457="KAEK"))</f>
        <v>0</v>
      </c>
      <c r="W2" s="124">
        <f t="array" ref="W2">SUMPRODUCT(((Başvuru!J2:K1457)="Prof. Dr. Ayşe Nurten AKARSU")*(Başvuru!G2:G1457="Doktora Tezi")*(Başvuru!L2:L1457="GÖRÜŞ"))</f>
        <v>0</v>
      </c>
      <c r="X2" s="124">
        <f t="array" ref="X2">SUMPRODUCT(((Başvuru!J2:K1457)="Prof. Dr. Ayşe Nurten AKARSU")*(Başvuru!G2:G1457="Doktora Tezi")*(Başvuru!L2:L1457="RET"))</f>
        <v>0</v>
      </c>
      <c r="Y2" s="124">
        <f t="array" ref="Y2">SUMPRODUCT(((Başvuru!J2:K1457)="Prof. Dr. Ayşe Nurten AKARSU")*(Başvuru!G2:G1457="Doktora Tezi")*(Başvuru!L2:L1457="KAPSAM DIŞI"))</f>
        <v>0</v>
      </c>
      <c r="Z2" s="124">
        <f t="array" ref="Z2">SUMPRODUCT(((Başvuru!J2:K1457)="Prof. Dr. Ayşe Nurten AKARSU")*(Başvuru!G2:G1457="Doktora Tezi")*(Başvuru!L2:L1457="GERİ ÇEKİLDİ"))</f>
        <v>0</v>
      </c>
      <c r="AA2" s="124">
        <f t="shared" ref="AA2:AA13" si="2">SUM(T2:Z2)</f>
        <v>6</v>
      </c>
      <c r="AB2" s="124">
        <f t="array" ref="AB2">SUMPRODUCT(((Başvuru!J2:K1457)="Prof. Dr. Ayşe Nurten AKARSU")*(Başvuru!G2:G1457="Uzmanlık Tezi")*(Başvuru!L2:L1457="ONAY"))</f>
        <v>7</v>
      </c>
      <c r="AC2" s="124">
        <f t="array" ref="AC2">SUMPRODUCT(((Başvuru!J2:K1457)="Prof. Dr. Ayşe Nurten AKARSU")*(Başvuru!G2:G1457="Uzmanlık Tezi")*(Başvuru!L2:L1457="DÜZELTME"))</f>
        <v>3</v>
      </c>
      <c r="AD2" s="124">
        <f t="array" ref="AD2">SUMPRODUCT(((Başvuru!J2:K1457)="Prof. Dr. Ayşe Nurten AKARSU")*(Başvuru!G2:G1457="Uzmanlık Tezi")*(Başvuru!L2:L1457="KAEK"))</f>
        <v>0</v>
      </c>
      <c r="AE2" s="124">
        <f t="array" ref="AE2">SUMPRODUCT(((Başvuru!J2:K1457)="Prof. Dr. Ayşe Nurten AKARSU")*(Başvuru!G2:G1457="Uzmanlık Tezi")*(Başvuru!L2:L1457="GÖRÜŞ"))</f>
        <v>0</v>
      </c>
      <c r="AF2" s="124">
        <f t="array" ref="AF2">SUMPRODUCT(((Başvuru!J2:K1457)="Prof. Dr. Ayşe Nurten AKARSU")*(Başvuru!G2:G1457="Uzmanlık Tezi")*(Başvuru!L2:L1457="RET"))</f>
        <v>1</v>
      </c>
      <c r="AG2" s="124">
        <f t="array" ref="AG2">SUMPRODUCT(((Başvuru!J2:K1457)="Prof. Dr. Ayşe Nurten AKARSU")*(Başvuru!G2:G1457="Uzmanlık Tezi")*(Başvuru!L2:L1457="KAPSAM DIŞI"))</f>
        <v>0</v>
      </c>
      <c r="AH2" s="124">
        <f t="array" ref="AH2">SUMPRODUCT(((Başvuru!J2:K1457)="Prof. Dr. Ayşe Nurten AKARSU")*(Başvuru!G2:G1457="Uzmanlık Tezi")*(Başvuru!L2:L1457="GERİ ÇEKİLDİ"))</f>
        <v>0</v>
      </c>
      <c r="AI2" s="124">
        <f t="shared" ref="AI2:AI13" si="3">SUM(AB2:AH2)</f>
        <v>11</v>
      </c>
      <c r="AJ2" s="126">
        <f t="shared" ref="AJ2:AJ13" si="4">SUM(D2,L2,T2,AB2)</f>
        <v>43</v>
      </c>
      <c r="AK2" s="126">
        <f t="shared" ref="AK2:AK13" si="5">SUM(E2,M2,U2,AC2)</f>
        <v>32</v>
      </c>
      <c r="AL2" s="126">
        <f t="shared" ref="AL2:AL13" si="6">SUM(F2,N2,V2,AD2)</f>
        <v>0</v>
      </c>
      <c r="AM2" s="126">
        <f t="shared" ref="AM2:AM13" si="7">SUM(G2,O2,W2,AE2)</f>
        <v>3</v>
      </c>
      <c r="AN2" s="126">
        <f t="shared" ref="AN2:AN13" si="8">SUM(H2,P2,X2,AF2)</f>
        <v>4</v>
      </c>
      <c r="AO2" s="126">
        <f t="shared" ref="AO2:AO13" si="9">SUM(I2,Q2,Y2,AG2)</f>
        <v>0</v>
      </c>
      <c r="AP2" s="126">
        <f t="shared" ref="AP2:AP13" si="10">SUM(J2,R2,Z2,AH2)</f>
        <v>0</v>
      </c>
      <c r="AQ2" s="127">
        <f t="shared" ref="AQ2:AQ14" si="11">SUM(AJ2:AP2)</f>
        <v>82</v>
      </c>
      <c r="AR2" s="124">
        <f t="shared" ref="AR2:AR13" si="12">C2-AQ2</f>
        <v>9</v>
      </c>
      <c r="AS2" s="128">
        <f>COUNTIF(Başvuru!$Q:$Q,$B2)</f>
        <v>18</v>
      </c>
      <c r="AT2" s="129">
        <f>COUNTIFS(Başvuru!$Q:$Q,$B2,Başvuru!$J:$J,"&lt;&gt;"&amp;$B2,Başvuru!$K:$K,"&lt;&gt;"&amp;$B2)</f>
        <v>2</v>
      </c>
    </row>
    <row r="3" spans="1:46" s="121" customFormat="1" ht="30" customHeight="1" x14ac:dyDescent="0.25">
      <c r="A3" s="122" t="s">
        <v>68</v>
      </c>
      <c r="B3" s="123" t="s">
        <v>118</v>
      </c>
      <c r="C3" s="124">
        <f>COUNTIF(Başvuru!J2:K1457,"Prof. Dr. M. Özgür UYANIK")</f>
        <v>99</v>
      </c>
      <c r="D3" s="125">
        <f t="array" ref="D3">SUMPRODUCT(((Başvuru!J2:K1457)="Prof. Dr. M. Özgür UYANIK")*(Başvuru!G2:G1457="Bireysel Araştırma")*(Başvuru!L2:L1457="ONAY"))</f>
        <v>38</v>
      </c>
      <c r="E3" s="125">
        <f t="array" ref="E3">SUMPRODUCT(((Başvuru!J2:K1457)="Prof. Dr. M. Özgür UYANIK")*(Başvuru!G2:G1457="Bireysel Araştırma")*(Başvuru!L2:L1457="DÜZELTME"))</f>
        <v>20</v>
      </c>
      <c r="F3" s="125">
        <f t="array" ref="F3">SUMPRODUCT(((Başvuru!J2:K1457)="Prof. Dr. M. Özgür UYANIK")*(Başvuru!G2:G1457="Bireysel Araştırma")*(Başvuru!L2:L1457="KAEK"))</f>
        <v>1</v>
      </c>
      <c r="G3" s="125">
        <f t="array" ref="G3">SUMPRODUCT(((Başvuru!J2:K1457)="Prof. Dr. M. Özgür UYANIK")*(Başvuru!G2:G1457="Bireysel Araştırma")*(Başvuru!L2:L1457="GÖRÜŞ"))</f>
        <v>3</v>
      </c>
      <c r="H3" s="125">
        <f t="array" ref="H3">SUMPRODUCT(((Başvuru!J2:K1457)="Prof. Dr. M. Özgür UYANIK")*(Başvuru!G2:G1457="Bireysel Araştırma")*(Başvuru!L2:L1457="RET"))</f>
        <v>4</v>
      </c>
      <c r="I3" s="125">
        <f t="array" ref="I3">SUMPRODUCT(((Başvuru!J2:K1457)="Prof. Dr. M. Özgür UYANIK")*(Başvuru!G2:G1457="Bireysel Araştırma")*(Başvuru!L2:L1457="KAPSAM DIŞI"))</f>
        <v>0</v>
      </c>
      <c r="J3" s="125">
        <f t="array" ref="J3">SUMPRODUCT(((Başvuru!J2:K1457)="Prof. Dr. M. Özgür UYANIK")*(Başvuru!G2:G1457="Bireysel Araştırma")*(Başvuru!L2:L1457="GERİ ÇEKİLDİ"))</f>
        <v>0</v>
      </c>
      <c r="K3" s="124">
        <f t="shared" si="0"/>
        <v>66</v>
      </c>
      <c r="L3" s="124">
        <f t="array" ref="L3">SUMPRODUCT(((Başvuru!J2:K1457)="Prof. Dr. M. Özgür UYANIK")*(Başvuru!G2:G1457="Yüksek Lisans Tezi")*(Başvuru!L2:L1457="ONAY"))</f>
        <v>1</v>
      </c>
      <c r="M3" s="124">
        <f t="array" ref="M3">SUMPRODUCT(((Başvuru!J2:K1457)="Prof. Dr. M. Özgür UYANIK")*(Başvuru!G2:G1457="Yüksek Lisans Tezi")*(Başvuru!L2:L1457="DÜZELTME"))</f>
        <v>0</v>
      </c>
      <c r="N3" s="124">
        <f t="array" ref="N3">SUMPRODUCT(((Başvuru!J2:K1457)="Prof. Dr. M. Özgür UYANIK")*(Başvuru!G2:G1457="Yüksek Lisans Tezi")*(Başvuru!L2:L1457="KAEK"))</f>
        <v>0</v>
      </c>
      <c r="O3" s="124">
        <f t="array" ref="O3">SUMPRODUCT(((Başvuru!J2:K1457)="Prof. Dr. M. Özgür UYANIK")*(Başvuru!G2:G1457="Yüksek Lisans Tezi")*(Başvuru!L2:L1457="GÖRÜŞ"))</f>
        <v>0</v>
      </c>
      <c r="P3" s="124">
        <f t="array" ref="P3">SUMPRODUCT(((Başvuru!J2:K1457)="Prof. Dr. M. Özgür UYANIK")*(Başvuru!G2:G1457="Yüksek Lisans Tezi")*(Başvuru!L2:L1457="RET"))</f>
        <v>0</v>
      </c>
      <c r="Q3" s="124">
        <f t="array" ref="Q3">SUMPRODUCT(((Başvuru!J2:K1457)="Prof. Dr. M. Özgür UYANIK")*(Başvuru!G2:G1457="Yüksek Lisans Tezi")*(Başvuru!L2:L1457="KAPSAM DIŞI"))</f>
        <v>0</v>
      </c>
      <c r="R3" s="124">
        <f t="array" ref="R3">SUMPRODUCT(((Başvuru!J2:K1457)="Prof. Dr. M. Özgür UYANIK")*(Başvuru!G2:G1457="Yüksek Lisans Tezi")*(Başvuru!L2:L1457="GERİ ÇEKİLDİ"))</f>
        <v>0</v>
      </c>
      <c r="S3" s="124">
        <f t="shared" si="1"/>
        <v>1</v>
      </c>
      <c r="T3" s="124">
        <f t="array" ref="T3">SUMPRODUCT(((Başvuru!J2:K1457)="Prof. Dr. M. Özgür UYANIK")*(Başvuru!G2:G1457="Doktora Tezi")*(Başvuru!L2:L1457="ONAY"))</f>
        <v>1</v>
      </c>
      <c r="U3" s="124">
        <f t="array" ref="U3">SUMPRODUCT(((Başvuru!J2:K1457)="Prof. Dr. M. Özgür UYANIK")*(Başvuru!G2:G1457="Doktora Tezi")*(Başvuru!L2:L1457="DÜZELTME"))</f>
        <v>1</v>
      </c>
      <c r="V3" s="124">
        <f t="array" ref="V3">SUMPRODUCT(((Başvuru!J2:K1457)="Prof. Dr. M. Özgür UYANIK")*(Başvuru!G2:G1457="Doktora Tezi")*(Başvuru!L2:L1457="KAEK"))</f>
        <v>0</v>
      </c>
      <c r="W3" s="124">
        <f t="array" ref="W3">SUMPRODUCT(((Başvuru!J2:K1457)="Prof. Dr. M. Özgür UYANIK")*(Başvuru!G2:G1457="Doktora Tezi")*(Başvuru!L2:L1457="GÖRÜŞ"))</f>
        <v>0</v>
      </c>
      <c r="X3" s="124">
        <f t="array" ref="X3">SUMPRODUCT(((Başvuru!J2:K1457)="Prof. Dr. M. Özgür UYANIK")*(Başvuru!G2:G1457="Doktora Tezi")*(Başvuru!L2:L1457="RET"))</f>
        <v>0</v>
      </c>
      <c r="Y3" s="124">
        <f t="array" ref="Y3">SUMPRODUCT(((Başvuru!J2:K1457)="Prof. Dr. M. Özgür UYANIK")*(Başvuru!G2:G1457="Doktora Tezi")*(Başvuru!L2:L1457="KAPSAM DIŞI"))</f>
        <v>0</v>
      </c>
      <c r="Z3" s="124">
        <f t="array" ref="Z3">SUMPRODUCT(((Başvuru!J2:K1457)="Prof. Dr. M. Özgür UYANIK")*(Başvuru!G2:G1457="Doktora Tezi")*(Başvuru!L2:L1457="GERİ ÇEKİLDİ"))</f>
        <v>0</v>
      </c>
      <c r="AA3" s="124">
        <f t="shared" si="2"/>
        <v>2</v>
      </c>
      <c r="AB3" s="124">
        <f t="array" ref="AB3">SUMPRODUCT(((Başvuru!J2:K1457)="Prof. Dr. M. Özgür UYANIK")*(Başvuru!G2:G1457="Uzmanlık Tezi")*(Başvuru!L2:L1457="ONAY"))</f>
        <v>15</v>
      </c>
      <c r="AC3" s="124">
        <f t="array" ref="AC3">SUMPRODUCT(((Başvuru!J2:K1457)="Prof. Dr. M. Özgür UYANIK")*(Başvuru!G2:G1457="Uzmanlık Tezi")*(Başvuru!L2:L1457="DÜZELTME"))</f>
        <v>5</v>
      </c>
      <c r="AD3" s="124">
        <f t="array" ref="AD3">SUMPRODUCT(((Başvuru!J2:K1457)="Prof. Dr. M. Özgür UYANIK")*(Başvuru!G2:G1457="Uzmanlık Tezi")*(Başvuru!L2:L1457="KAEK"))</f>
        <v>0</v>
      </c>
      <c r="AE3" s="124">
        <f t="array" ref="AE3">SUMPRODUCT(((Başvuru!J2:K1457)="Prof. Dr. M. Özgür UYANIK")*(Başvuru!G2:G1457="Uzmanlık Tezi")*(Başvuru!L2:L1457="GÖRÜŞ"))</f>
        <v>1</v>
      </c>
      <c r="AF3" s="124">
        <f t="array" ref="AF3">SUMPRODUCT(((Başvuru!J2:K1457)="Prof. Dr. M. Özgür UYANIK")*(Başvuru!G2:G1457="Uzmanlık Tezi")*(Başvuru!L2:L1457="RET"))</f>
        <v>0</v>
      </c>
      <c r="AG3" s="124">
        <f t="array" ref="AG3">SUMPRODUCT(((Başvuru!J2:K1457)="Prof. Dr. M. Özgür UYANIK")*(Başvuru!G2:G1457="Uzmanlık Tezi")*(Başvuru!L2:L1457="KAPSAM DIŞI"))</f>
        <v>0</v>
      </c>
      <c r="AH3" s="124">
        <f t="array" ref="AH3">SUMPRODUCT(((Başvuru!J2:K1457)="Prof. Dr. M. Özgür UYANIK")*(Başvuru!G2:G1457="Uzmanlık Tezi")*(Başvuru!L2:L1457="GERİ ÇEKİLDİ"))</f>
        <v>0</v>
      </c>
      <c r="AI3" s="124">
        <f t="shared" si="3"/>
        <v>21</v>
      </c>
      <c r="AJ3" s="126">
        <f t="shared" si="4"/>
        <v>55</v>
      </c>
      <c r="AK3" s="126">
        <f t="shared" si="5"/>
        <v>26</v>
      </c>
      <c r="AL3" s="126">
        <f t="shared" si="6"/>
        <v>1</v>
      </c>
      <c r="AM3" s="126">
        <f t="shared" si="7"/>
        <v>4</v>
      </c>
      <c r="AN3" s="126">
        <f t="shared" si="8"/>
        <v>4</v>
      </c>
      <c r="AO3" s="126">
        <f t="shared" si="9"/>
        <v>0</v>
      </c>
      <c r="AP3" s="126">
        <f t="shared" si="10"/>
        <v>0</v>
      </c>
      <c r="AQ3" s="127">
        <f t="shared" si="11"/>
        <v>90</v>
      </c>
      <c r="AR3" s="124">
        <f t="shared" si="12"/>
        <v>9</v>
      </c>
      <c r="AS3" s="128">
        <f>COUNTIF(Başvuru!$Q:$Q,$B3)</f>
        <v>5</v>
      </c>
      <c r="AT3" s="129">
        <f>COUNTIFS(Başvuru!$Q:$Q,$B3,Başvuru!$J:$J,"&lt;&gt;"&amp;$B3,Başvuru!$K:$K,"&lt;&gt;"&amp;$B3)</f>
        <v>0</v>
      </c>
    </row>
    <row r="4" spans="1:46" s="121" customFormat="1" ht="30" customHeight="1" x14ac:dyDescent="0.25">
      <c r="A4" s="122" t="s">
        <v>76</v>
      </c>
      <c r="B4" s="123" t="s">
        <v>102</v>
      </c>
      <c r="C4" s="124">
        <f>COUNTIF(Başvuru!J2:K1457,"Prof. Dr. Melih Önder BABAOĞLU")</f>
        <v>83</v>
      </c>
      <c r="D4" s="125">
        <f t="array" ref="D4">SUMPRODUCT(((Başvuru!J2:K1457)="Prof. Dr. Melih Önder BABAOĞLU")*(Başvuru!G2:G1457="Bireysel Araştırma")*(Başvuru!L2:L1457="ONAY"))</f>
        <v>25</v>
      </c>
      <c r="E4" s="125">
        <f t="array" ref="E4">SUMPRODUCT(((Başvuru!J2:K1457)="Prof. Dr. Melih Önder BABAOĞLU")*(Başvuru!G2:G1457="Bireysel Araştırma")*(Başvuru!L2:L1457="DÜZELTME"))</f>
        <v>24</v>
      </c>
      <c r="F4" s="125">
        <f t="array" ref="F4">SUMPRODUCT(((Başvuru!J2:K1457)="Prof. Dr. Melih Önder BABAOĞLU")*(Başvuru!G2:G1457="Bireysel Araştırma")*(Başvuru!L2:L1457="KAEK"))</f>
        <v>0</v>
      </c>
      <c r="G4" s="125">
        <f t="array" ref="G4">SUMPRODUCT(((Başvuru!J2:K1457)="Prof. Dr. Melih Önder BABAOĞLU")*(Başvuru!G2:G1457="Bireysel Araştırma")*(Başvuru!L2:L1457="GÖRÜŞ"))</f>
        <v>3</v>
      </c>
      <c r="H4" s="125">
        <f t="array" ref="H4">SUMPRODUCT(((Başvuru!J2:K1457)="Prof. Dr. Melih Önder BABAOĞLU")*(Başvuru!G2:G1457="Bireysel Araştırma")*(Başvuru!L2:L1457="RET"))</f>
        <v>5</v>
      </c>
      <c r="I4" s="125">
        <f t="array" ref="I4">SUMPRODUCT(((Başvuru!J2:K1457)="Prof. Dr. Melih Önder BABAOĞLU")*(Başvuru!G2:G1457="Bireysel Araştırma")*(Başvuru!L2:L1457="KAPSAM DIŞI"))</f>
        <v>0</v>
      </c>
      <c r="J4" s="125">
        <f t="array" ref="J4">SUMPRODUCT(((Başvuru!J2:K1457)="Prof. Dr. Melih Önder BABAOĞLU")*(Başvuru!G2:G1457="Bireysel Araştırma")*(Başvuru!L2:L1457="GERİ ÇEKİLDİ"))</f>
        <v>0</v>
      </c>
      <c r="K4" s="124">
        <f t="shared" si="0"/>
        <v>57</v>
      </c>
      <c r="L4" s="124">
        <f t="array" ref="L4">SUMPRODUCT(((Başvuru!J2:K1457)="Prof. Dr. Melih Önder BABAOĞLU")*(Başvuru!G2:G1457="Yüksek Lisans Tezi")*(Başvuru!L2:L1457="ONAY"))</f>
        <v>0</v>
      </c>
      <c r="M4" s="124">
        <f t="array" ref="M4">SUMPRODUCT(((Başvuru!J2:K1457)="Prof. Dr. Melih Önder BABAOĞLU")*(Başvuru!G2:G1457="Yüksek Lisans Tezi")*(Başvuru!L2:L1457="DÜZELTME"))</f>
        <v>2</v>
      </c>
      <c r="N4" s="124">
        <f t="array" ref="N4">SUMPRODUCT(((Başvuru!J2:K1457)="Prof. Dr. Melih Önder BABAOĞLU")*(Başvuru!G2:G1457="Yüksek Lisans Tezi")*(Başvuru!L2:L1457="KAEK"))</f>
        <v>0</v>
      </c>
      <c r="O4" s="124">
        <f t="array" ref="O4">SUMPRODUCT(((Başvuru!J2:K1457)="Prof. Dr. Melih Önder BABAOĞLU")*(Başvuru!G2:G1457="Yüksek Lisans Tezi")*(Başvuru!L2:L1457="GÖRÜŞ"))</f>
        <v>0</v>
      </c>
      <c r="P4" s="124">
        <f t="array" ref="P4">SUMPRODUCT(((Başvuru!J2:K1457)="Prof. Dr. Melih Önder BABAOĞLU")*(Başvuru!G2:G1457="Yüksek Lisans Tezi")*(Başvuru!L2:L1457="RET"))</f>
        <v>0</v>
      </c>
      <c r="Q4" s="124">
        <f t="array" ref="Q4">SUMPRODUCT(((Başvuru!J2:K1457)="Prof. Dr. Melih Önder BABAOĞLU")*(Başvuru!G2:G1457="Yüksek Lisans Tezi")*(Başvuru!L2:L1457="KAPSAM DIŞI"))</f>
        <v>0</v>
      </c>
      <c r="R4" s="124">
        <f t="array" ref="R4">SUMPRODUCT(((Başvuru!J2:K1457)="Prof. Dr. Melih Önder BABAOĞLU")*(Başvuru!G2:G1457="Yüksek Lisans Tezi")*(Başvuru!L2:L1457="GERİ ÇEKİLDİ"))</f>
        <v>0</v>
      </c>
      <c r="S4" s="124">
        <f t="shared" si="1"/>
        <v>2</v>
      </c>
      <c r="T4" s="124">
        <f t="array" ref="T4">SUMPRODUCT(((Başvuru!J2:K1457)="Prof. Dr. Melih Önder BABAOĞLU")*(Başvuru!G2:G1457="Doktora Tezi")*(Başvuru!L2:L1457="ONAY"))</f>
        <v>0</v>
      </c>
      <c r="U4" s="124">
        <f t="array" ref="U4">SUMPRODUCT(((Başvuru!J2:K1457)="Prof. Dr. Melih Önder BABAOĞLU")*(Başvuru!G2:G1457="Doktora Tezi")*(Başvuru!L2:L1457="DÜZELTME"))</f>
        <v>2</v>
      </c>
      <c r="V4" s="124">
        <f t="array" ref="V4">SUMPRODUCT(((Başvuru!J2:K1457)="Prof. Dr. Melih Önder BABAOĞLU")*(Başvuru!G2:G1457="Doktora Tezi")*(Başvuru!L2:L1457="KAEK"))</f>
        <v>0</v>
      </c>
      <c r="W4" s="124">
        <f t="array" ref="W4">SUMPRODUCT(((Başvuru!J2:K1457)="Prof. Dr. Melih Önder BABAOĞLU")*(Başvuru!G2:G1457="Doktora Tezi")*(Başvuru!L2:L1457="GÖRÜŞ"))</f>
        <v>0</v>
      </c>
      <c r="X4" s="124">
        <f t="array" ref="X4">SUMPRODUCT(((Başvuru!J2:K1457)="Prof. Dr. Melih Önder BABAOĞLU")*(Başvuru!G2:G1457="Doktora Tezi")*(Başvuru!L2:L1457="RET"))</f>
        <v>0</v>
      </c>
      <c r="Y4" s="124">
        <f t="array" ref="Y4">SUMPRODUCT(((Başvuru!J2:K1457)="Prof. Dr. Melih Önder BABAOĞLU")*(Başvuru!G2:G1457="Doktora Tezi")*(Başvuru!L2:L1457="KAPSAM DIŞI"))</f>
        <v>0</v>
      </c>
      <c r="Z4" s="124">
        <f t="array" ref="Z4">SUMPRODUCT(((Başvuru!J2:K1457)="Prof. Dr. Melih Önder BABAOĞLU")*(Başvuru!G2:G1457="Doktora Tezi")*(Başvuru!L2:L1457="GERİ ÇEKİLDİ"))</f>
        <v>0</v>
      </c>
      <c r="AA4" s="124">
        <f t="shared" si="2"/>
        <v>2</v>
      </c>
      <c r="AB4" s="124">
        <f t="array" ref="AB4">SUMPRODUCT(((Başvuru!J2:K1457)="Prof. Dr. Melih Önder BABAOĞLU")*(Başvuru!G2:G1457="Uzmanlık Tezi")*(Başvuru!L2:L1457="ONAY"))</f>
        <v>5</v>
      </c>
      <c r="AC4" s="124">
        <f t="array" ref="AC4">SUMPRODUCT(((Başvuru!J2:K1457)="Prof. Dr. Melih Önder BABAOĞLU")*(Başvuru!G2:G1457="Uzmanlık Tezi")*(Başvuru!L2:L1457="DÜZELTME"))</f>
        <v>5</v>
      </c>
      <c r="AD4" s="124">
        <f t="array" ref="AD4">SUMPRODUCT(((Başvuru!J2:K1457)="Prof. Dr. Melih Önder BABAOĞLU")*(Başvuru!G2:G1457="Uzmanlık Tezi")*(Başvuru!L2:L1457="KAEK"))</f>
        <v>0</v>
      </c>
      <c r="AE4" s="124">
        <f t="array" ref="AE4">SUMPRODUCT(((Başvuru!J2:K1457)="Prof. Dr. Melih Önder BABAOĞLU")*(Başvuru!G2:G1457="Uzmanlık Tezi")*(Başvuru!L2:L1457="GÖRÜŞ"))</f>
        <v>1</v>
      </c>
      <c r="AF4" s="124">
        <f t="array" ref="AF4">SUMPRODUCT(((Başvuru!J2:K1457)="Prof. Dr. Melih Önder BABAOĞLU")*(Başvuru!G2:G1457="Uzmanlık Tezi")*(Başvuru!L2:L1457="RET"))</f>
        <v>1</v>
      </c>
      <c r="AG4" s="124">
        <f t="array" ref="AG4">SUMPRODUCT(((Başvuru!J2:K1457)="Prof. Dr. Melih Önder BABAOĞLU")*(Başvuru!G2:G1457="Uzmanlık Tezi")*(Başvuru!L2:L1457="KAPSAM DIŞI"))</f>
        <v>1</v>
      </c>
      <c r="AH4" s="124">
        <f t="array" ref="AH4">SUMPRODUCT(((Başvuru!J2:K1457)="Prof. Dr. Melih Önder BABAOĞLU")*(Başvuru!G2:G1457="Uzmanlık Tezi")*(Başvuru!L2:L1457="GERİ ÇEKİLDİ"))</f>
        <v>0</v>
      </c>
      <c r="AI4" s="124">
        <f t="shared" si="3"/>
        <v>13</v>
      </c>
      <c r="AJ4" s="126">
        <f t="shared" si="4"/>
        <v>30</v>
      </c>
      <c r="AK4" s="126">
        <f t="shared" si="5"/>
        <v>33</v>
      </c>
      <c r="AL4" s="126">
        <f t="shared" si="6"/>
        <v>0</v>
      </c>
      <c r="AM4" s="126">
        <f t="shared" si="7"/>
        <v>4</v>
      </c>
      <c r="AN4" s="126">
        <f t="shared" si="8"/>
        <v>6</v>
      </c>
      <c r="AO4" s="126">
        <f t="shared" si="9"/>
        <v>1</v>
      </c>
      <c r="AP4" s="126">
        <f t="shared" si="10"/>
        <v>0</v>
      </c>
      <c r="AQ4" s="127">
        <f t="shared" si="11"/>
        <v>74</v>
      </c>
      <c r="AR4" s="124">
        <f t="shared" si="12"/>
        <v>9</v>
      </c>
      <c r="AS4" s="128">
        <f>COUNTIF(Başvuru!$Q:$Q,$B4)</f>
        <v>16</v>
      </c>
      <c r="AT4" s="129">
        <f>COUNTIFS(Başvuru!$Q:$Q,$B4,Başvuru!$J:$J,"&lt;&gt;"&amp;$B4,Başvuru!$K:$K,"&lt;&gt;"&amp;$B4)</f>
        <v>1</v>
      </c>
    </row>
    <row r="5" spans="1:46" s="121" customFormat="1" ht="30" customHeight="1" x14ac:dyDescent="0.25">
      <c r="A5" s="122" t="s">
        <v>85</v>
      </c>
      <c r="B5" s="123" t="s">
        <v>110</v>
      </c>
      <c r="C5" s="124">
        <f>COUNTIF(Başvuru!J2:K1457,"Prof. Dr. Ayşe KİN İŞLER")</f>
        <v>90</v>
      </c>
      <c r="D5" s="125">
        <f t="array" ref="D5">SUMPRODUCT(((Başvuru!J2:K1457)="Prof. Dr. Ayşe KİN İŞLER")*(Başvuru!G2:G1457="Bireysel Araştırma")*(Başvuru!L2:L1457="ONAY"))</f>
        <v>36</v>
      </c>
      <c r="E5" s="125">
        <f t="array" ref="E5">SUMPRODUCT(((Başvuru!J2:K1457)="Prof. Dr. Ayşe KİN İŞLER")*(Başvuru!G2:G1457="Bireysel Araştırma")*(Başvuru!L2:L1457="DÜZELTME"))</f>
        <v>22</v>
      </c>
      <c r="F5" s="125">
        <f t="array" ref="F5">SUMPRODUCT(((Başvuru!J2:K1457)="Prof. Dr. Ayşe KİN İŞLER")*(Başvuru!G2:G1457="Bireysel Araştırma")*(Başvuru!L2:L1457="KAEK"))</f>
        <v>2</v>
      </c>
      <c r="G5" s="125">
        <f t="array" ref="G5">SUMPRODUCT(((Başvuru!J2:K1457)="Prof. Dr. Ayşe KİN İŞLER")*(Başvuru!G2:G1457="Bireysel Araştırma")*(Başvuru!L2:L1457="GÖRÜŞ"))</f>
        <v>3</v>
      </c>
      <c r="H5" s="125">
        <f t="array" ref="H5">SUMPRODUCT(((Başvuru!J2:K1457)="Prof. Dr. Ayşe KİN İŞLER")*(Başvuru!G2:G1457="Bireysel Araştırma")*(Başvuru!L2:L1457="RET"))</f>
        <v>0</v>
      </c>
      <c r="I5" s="125">
        <f t="array" ref="I5">SUMPRODUCT(((Başvuru!J2:K1457)="Prof. Dr. Ayşe KİN İŞLER")*(Başvuru!G2:G1457="Bireysel Araştırma")*(Başvuru!L2:L1457="KAPSAM DIŞI"))</f>
        <v>0</v>
      </c>
      <c r="J5" s="125">
        <f t="array" ref="J5">SUMPRODUCT(((Başvuru!J2:K1457)="Prof. Dr. Ayşe KİN İŞLER")*(Başvuru!G2:G1457="Bireysel Araştırma")*(Başvuru!L2:L1457="GERİ ÇEKİLDİ"))</f>
        <v>0</v>
      </c>
      <c r="K5" s="124">
        <f t="shared" si="0"/>
        <v>63</v>
      </c>
      <c r="L5" s="124">
        <f t="array" ref="L5">SUMPRODUCT(((Başvuru!J2:K1457)="Prof. Dr. Ayşe KİN İŞLER")*(Başvuru!G2:G1457="Yüksek Lisans Tezi")*(Başvuru!L2:L1457="ONAY"))</f>
        <v>1</v>
      </c>
      <c r="M5" s="124">
        <f t="array" ref="M5">SUMPRODUCT(((Başvuru!J2:K1457)="Prof. Dr. Ayşe KİN İŞLER")*(Başvuru!G2:G1457="Yüksek Lisans Tezi")*(Başvuru!L2:L1457="DÜZELTME"))</f>
        <v>1</v>
      </c>
      <c r="N5" s="124">
        <f t="array" ref="N5">SUMPRODUCT(((Başvuru!J2:K1457)="Prof. Dr. Ayşe KİN İŞLER")*(Başvuru!G2:G1457="Yüksek Lisans Tezi")*(Başvuru!L2:L1457="KAEK"))</f>
        <v>0</v>
      </c>
      <c r="O5" s="124">
        <f t="array" ref="O5">SUMPRODUCT(((Başvuru!J2:K1457)="Prof. Dr. Ayşe KİN İŞLER")*(Başvuru!G2:G1457="Yüksek Lisans Tezi")*(Başvuru!L2:L1457="GÖRÜŞ"))</f>
        <v>0</v>
      </c>
      <c r="P5" s="124">
        <f t="array" ref="P5">SUMPRODUCT(((Başvuru!J2:K1457)="Prof. Dr. Ayşe KİN İŞLER")*(Başvuru!G2:G1457="Yüksek Lisans Tezi")*(Başvuru!L2:L1457="RET"))</f>
        <v>0</v>
      </c>
      <c r="Q5" s="124">
        <f t="array" ref="Q5">SUMPRODUCT(((Başvuru!J2:K1457)="Prof. Dr. Ayşe KİN İŞLER")*(Başvuru!G2:G1457="Yüksek Lisans Tezi")*(Başvuru!L2:L1457="KAPSAM DIŞI"))</f>
        <v>0</v>
      </c>
      <c r="R5" s="124">
        <f t="array" ref="R5">SUMPRODUCT(((Başvuru!J2:K1457)="Prof. Dr. Ayşe KİN İŞLER")*(Başvuru!G2:G1457="Yüksek Lisans Tezi")*(Başvuru!L2:L1457="GERİ ÇEKİLDİ"))</f>
        <v>0</v>
      </c>
      <c r="S5" s="124">
        <f t="shared" si="1"/>
        <v>2</v>
      </c>
      <c r="T5" s="124">
        <f t="array" ref="T5">SUMPRODUCT(((Başvuru!J2:K1457)="Prof. Dr. Ayşe KİN İŞLER")*(Başvuru!G2:G1457="Doktora Tezi")*(Başvuru!L2:L1457="ONAY"))</f>
        <v>1</v>
      </c>
      <c r="U5" s="124">
        <f t="array" ref="U5">SUMPRODUCT(((Başvuru!J2:K1457)="Prof. Dr. Ayşe KİN İŞLER")*(Başvuru!G2:G1457="Doktora Tezi")*(Başvuru!L2:L1457="DÜZELTME"))</f>
        <v>1</v>
      </c>
      <c r="V5" s="124">
        <f t="array" ref="V5">SUMPRODUCT(((Başvuru!J2:K1457)="Prof. Dr. Ayşe KİN İŞLER")*(Başvuru!G2:G1457="Doktora Tezi")*(Başvuru!L2:L1457="KAEK"))</f>
        <v>0</v>
      </c>
      <c r="W5" s="124">
        <f t="array" ref="W5">SUMPRODUCT(((Başvuru!J2:K1457)="Prof. Dr. Ayşe KİN İŞLER")*(Başvuru!G2:G1457="Doktora Tezi")*(Başvuru!L2:L1457="GÖRÜŞ"))</f>
        <v>0</v>
      </c>
      <c r="X5" s="124">
        <f t="array" ref="X5">SUMPRODUCT(((Başvuru!J2:K1457)="Prof. Dr. Ayşe KİN İŞLER")*(Başvuru!G2:G1457="Doktora Tezi")*(Başvuru!L2:L1457="RET"))</f>
        <v>0</v>
      </c>
      <c r="Y5" s="124">
        <f t="array" ref="Y5">SUMPRODUCT(((Başvuru!J2:K1457)="Prof. Dr. Ayşe KİN İŞLER")*(Başvuru!G2:G1457="Doktora Tezi")*(Başvuru!L2:L1457="KAPSAM DIŞI"))</f>
        <v>0</v>
      </c>
      <c r="Z5" s="124">
        <f t="array" ref="Z5">SUMPRODUCT(((Başvuru!J2:K1457)="Prof. Dr. Ayşe KİN İŞLER")*(Başvuru!G2:G1457="Doktora Tezi")*(Başvuru!L2:L1457="GERİ ÇEKİLDİ"))</f>
        <v>0</v>
      </c>
      <c r="AA5" s="124">
        <f t="shared" si="2"/>
        <v>2</v>
      </c>
      <c r="AB5" s="124">
        <f t="array" ref="AB5">SUMPRODUCT(((Başvuru!J2:K1457)="Prof. Dr. Ayşe KİN İŞLER")*(Başvuru!G2:G1457="Uzmanlık Tezi")*(Başvuru!L2:L1457="ONAY"))</f>
        <v>5</v>
      </c>
      <c r="AC5" s="124">
        <f t="array" ref="AC5">SUMPRODUCT(((Başvuru!J2:K1457)="Prof. Dr. Ayşe KİN İŞLER")*(Başvuru!G2:G1457="Uzmanlık Tezi")*(Başvuru!L2:L1457="DÜZELTME"))</f>
        <v>7</v>
      </c>
      <c r="AD5" s="124">
        <f t="array" ref="AD5">SUMPRODUCT(((Başvuru!J2:K1457)="Prof. Dr. Ayşe KİN İŞLER")*(Başvuru!G2:G1457="Uzmanlık Tezi")*(Başvuru!L2:L1457="KAEK"))</f>
        <v>0</v>
      </c>
      <c r="AE5" s="124">
        <f t="array" ref="AE5">SUMPRODUCT(((Başvuru!J2:K1457)="Prof. Dr. Ayşe KİN İŞLER")*(Başvuru!G2:G1457="Uzmanlık Tezi")*(Başvuru!L2:L1457="GÖRÜŞ"))</f>
        <v>0</v>
      </c>
      <c r="AF5" s="124">
        <f t="array" ref="AF5">SUMPRODUCT(((Başvuru!J2:K1457)="Prof. Dr. Ayşe KİN İŞLER")*(Başvuru!G2:G1457="Uzmanlık Tezi")*(Başvuru!L2:L1457="RET"))</f>
        <v>0</v>
      </c>
      <c r="AG5" s="124">
        <f t="array" ref="AG5">SUMPRODUCT(((Başvuru!J2:K1457)="Prof. Dr. Ayşe KİN İŞLER")*(Başvuru!G2:G1457="Uzmanlık Tezi")*(Başvuru!L2:L1457="KAPSAM DIŞI"))</f>
        <v>0</v>
      </c>
      <c r="AH5" s="124">
        <f t="array" ref="AH5">SUMPRODUCT(((Başvuru!J2:K1457)="Prof. Dr. Ayşe KİN İŞLER")*(Başvuru!G2:G1457="Uzmanlık Tezi")*(Başvuru!L2:L1457="GERİ ÇEKİLDİ"))</f>
        <v>0</v>
      </c>
      <c r="AI5" s="124">
        <f t="shared" si="3"/>
        <v>12</v>
      </c>
      <c r="AJ5" s="126">
        <f t="shared" si="4"/>
        <v>43</v>
      </c>
      <c r="AK5" s="126">
        <f t="shared" si="5"/>
        <v>31</v>
      </c>
      <c r="AL5" s="126">
        <f t="shared" si="6"/>
        <v>2</v>
      </c>
      <c r="AM5" s="126">
        <f t="shared" si="7"/>
        <v>3</v>
      </c>
      <c r="AN5" s="126">
        <f t="shared" si="8"/>
        <v>0</v>
      </c>
      <c r="AO5" s="126">
        <f t="shared" si="9"/>
        <v>0</v>
      </c>
      <c r="AP5" s="126">
        <f t="shared" si="10"/>
        <v>0</v>
      </c>
      <c r="AQ5" s="127">
        <f t="shared" si="11"/>
        <v>79</v>
      </c>
      <c r="AR5" s="124">
        <f t="shared" si="12"/>
        <v>11</v>
      </c>
      <c r="AS5" s="128">
        <f>COUNTIF(Başvuru!$Q:$Q,$B5)</f>
        <v>12</v>
      </c>
      <c r="AT5" s="129">
        <f>COUNTIFS(Başvuru!$Q:$Q,$B5,Başvuru!$J:$J,"&lt;&gt;"&amp;$B5,Başvuru!$K:$K,"&lt;&gt;"&amp;$B5)</f>
        <v>0</v>
      </c>
    </row>
    <row r="6" spans="1:46" s="121" customFormat="1" ht="30" customHeight="1" x14ac:dyDescent="0.25">
      <c r="A6" s="122" t="s">
        <v>95</v>
      </c>
      <c r="B6" s="123" t="s">
        <v>101</v>
      </c>
      <c r="C6" s="124">
        <f>COUNTIF(Başvuru!J2:K1457,"Prof. Dr. Yavuz AYHAN")</f>
        <v>77</v>
      </c>
      <c r="D6" s="125">
        <f t="array" ref="D6">SUMPRODUCT(((Başvuru!J2:K1457)="Prof. Dr. Yavuz AYHAN")*(Başvuru!G2:G1457="Bireysel Araştırma")*(Başvuru!L2:L1457="ONAY"))</f>
        <v>26</v>
      </c>
      <c r="E6" s="125">
        <f t="array" ref="E6">SUMPRODUCT(((Başvuru!J2:K1457)="Prof. Dr. Yavuz AYHAN")*(Başvuru!G2:G1457="Bireysel Araştırma")*(Başvuru!L2:L1457="DÜZELTME"))</f>
        <v>13</v>
      </c>
      <c r="F6" s="125">
        <f t="array" ref="F6">SUMPRODUCT(((Başvuru!J2:K1457)="Prof. Dr. Yavuz AYHAN")*(Başvuru!G2:G1457="Bireysel Araştırma")*(Başvuru!L2:L1457="KAEK"))</f>
        <v>0</v>
      </c>
      <c r="G6" s="125">
        <f t="array" ref="G6">SUMPRODUCT(((Başvuru!J2:K1457)="Prof. Dr. Yavuz AYHAN")*(Başvuru!G2:G1457="Bireysel Araştırma")*(Başvuru!L2:L1457="GÖRÜŞ"))</f>
        <v>4</v>
      </c>
      <c r="H6" s="125">
        <f t="array" ref="H6">SUMPRODUCT(((Başvuru!J2:K1457)="Prof. Dr. Yavuz AYHAN")*(Başvuru!G2:G1457="Bireysel Araştırma")*(Başvuru!L2:L1457="RET"))</f>
        <v>1</v>
      </c>
      <c r="I6" s="125">
        <f t="array" ref="I6">SUMPRODUCT(((Başvuru!J2:K1457)="Prof. Dr. Yavuz AYHAN")*(Başvuru!G2:G1457="Bireysel Araştırma")*(Başvuru!L2:L1457="KAPSAM DIŞI"))</f>
        <v>4</v>
      </c>
      <c r="J6" s="125">
        <f t="array" ref="J6">SUMPRODUCT(((Başvuru!J2:K1457)="Prof. Dr. Yavuz AYHAN")*(Başvuru!G2:G1457="Bireysel Araştırma")*(Başvuru!L2:L1457="GERİ ÇEKİLDİ"))</f>
        <v>0</v>
      </c>
      <c r="K6" s="124">
        <f t="shared" si="0"/>
        <v>48</v>
      </c>
      <c r="L6" s="124">
        <f t="array" ref="L6">SUMPRODUCT(((Başvuru!J2:K1457)="Prof. Dr. Yavuz AYHAN")*(Başvuru!G2:G1457="Yüksek Lisans Tezi")*(Başvuru!L2:L1457="ONAY"))</f>
        <v>0</v>
      </c>
      <c r="M6" s="124">
        <f t="array" ref="M6">SUMPRODUCT(((Başvuru!J2:K1457)="Prof. Dr. Yavuz AYHAN")*(Başvuru!G2:G1457="Yüksek Lisans Tezi")*(Başvuru!L2:L1457="DÜZELTME"))</f>
        <v>0</v>
      </c>
      <c r="N6" s="124">
        <f t="array" ref="N6">SUMPRODUCT(((Başvuru!J2:K1457)="Prof. Dr. Yavuz AYHAN")*(Başvuru!G2:G1457="Yüksek Lisans Tezi")*(Başvuru!L2:L1457="KAEK"))</f>
        <v>0</v>
      </c>
      <c r="O6" s="124">
        <f t="array" ref="O6">SUMPRODUCT(((Başvuru!J2:K1457)="Prof. Dr. Yavuz AYHAN")*(Başvuru!G2:G1457="Yüksek Lisans Tezi")*(Başvuru!L2:L1457="GÖRÜŞ"))</f>
        <v>0</v>
      </c>
      <c r="P6" s="124">
        <f t="array" ref="P6">SUMPRODUCT(((Başvuru!J2:K1457)="Prof. Dr. Yavuz AYHAN")*(Başvuru!G2:G1457="Yüksek Lisans Tezi")*(Başvuru!L2:L1457="RET"))</f>
        <v>0</v>
      </c>
      <c r="Q6" s="124">
        <f t="array" ref="Q6">SUMPRODUCT(((Başvuru!J2:K1457)="Prof. Dr. Yavuz AYHAN")*(Başvuru!G2:G1457="Yüksek Lisans Tezi")*(Başvuru!L2:L1457="KAPSAM DIŞI"))</f>
        <v>0</v>
      </c>
      <c r="R6" s="124">
        <f t="array" ref="R6">SUMPRODUCT(((Başvuru!J2:K1457)="Prof. Dr. Yavuz AYHAN")*(Başvuru!G2:G1457="Yüksek Lisans Tezi")*(Başvuru!L2:L1457="GERİ ÇEKİLDİ"))</f>
        <v>0</v>
      </c>
      <c r="S6" s="124">
        <f t="shared" si="1"/>
        <v>0</v>
      </c>
      <c r="T6" s="124">
        <f t="array" ref="T6">SUMPRODUCT(((Başvuru!J2:K1457)="Prof. Dr. Yavuz AYHAN")*(Başvuru!G2:G1457="Doktora Tezi")*(Başvuru!L2:L1457="ONAY"))</f>
        <v>1</v>
      </c>
      <c r="U6" s="124">
        <f t="array" ref="U6">SUMPRODUCT(((Başvuru!J2:K1457)="Prof. Dr. Yavuz AYHAN")*(Başvuru!G2:G1457="Doktora Tezi")*(Başvuru!L2:L1457="DÜZELTME"))</f>
        <v>1</v>
      </c>
      <c r="V6" s="124">
        <f t="array" ref="V6">SUMPRODUCT(((Başvuru!J2:K1457)="Prof. Dr. Yavuz AYHAN")*(Başvuru!G2:G1457="Doktora Tezi")*(Başvuru!L2:L1457="KAEK"))</f>
        <v>0</v>
      </c>
      <c r="W6" s="124">
        <f t="array" ref="W6">SUMPRODUCT(((Başvuru!J2:K1457)="Prof. Dr. Yavuz AYHAN")*(Başvuru!G2:G1457="Doktora Tezi")*(Başvuru!L2:L1457="GÖRÜŞ"))</f>
        <v>1</v>
      </c>
      <c r="X6" s="124">
        <f t="array" ref="X6">SUMPRODUCT(((Başvuru!J2:K1457)="Prof. Dr. Yavuz AYHAN")*(Başvuru!G2:G1457="Doktora Tezi")*(Başvuru!L2:L1457="RET"))</f>
        <v>0</v>
      </c>
      <c r="Y6" s="124">
        <f t="array" ref="Y6">SUMPRODUCT(((Başvuru!J2:K1457)="Prof. Dr. Yavuz AYHAN")*(Başvuru!G2:G1457="Doktora Tezi")*(Başvuru!L2:L1457="KAPSAM DIŞI"))</f>
        <v>0</v>
      </c>
      <c r="Z6" s="124">
        <f t="array" ref="Z6">SUMPRODUCT(((Başvuru!J2:K1457)="Prof. Dr. Yavuz AYHAN")*(Başvuru!G2:G1457="Doktora Tezi")*(Başvuru!L2:L1457="GERİ ÇEKİLDİ"))</f>
        <v>0</v>
      </c>
      <c r="AA6" s="124">
        <f t="shared" si="2"/>
        <v>3</v>
      </c>
      <c r="AB6" s="124">
        <f t="array" ref="AB6">SUMPRODUCT(((Başvuru!J2:K1457)="Prof. Dr. Yavuz AYHAN")*(Başvuru!G2:G1457="Uzmanlık Tezi")*(Başvuru!L2:L1457="ONAY"))</f>
        <v>8</v>
      </c>
      <c r="AC6" s="124">
        <f t="array" ref="AC6">SUMPRODUCT(((Başvuru!J2:K1457)="Prof. Dr. Yavuz AYHAN")*(Başvuru!G2:G1457="Uzmanlık Tezi")*(Başvuru!L2:L1457="DÜZELTME"))</f>
        <v>9</v>
      </c>
      <c r="AD6" s="124">
        <f t="array" ref="AD6">SUMPRODUCT(((Başvuru!J2:K1457)="Prof. Dr. Yavuz AYHAN")*(Başvuru!G2:G1457="Uzmanlık Tezi")*(Başvuru!L2:L1457="KAEK"))</f>
        <v>0</v>
      </c>
      <c r="AE6" s="124">
        <f t="array" ref="AE6">SUMPRODUCT(((Başvuru!J2:K1457)="Prof. Dr. Yavuz AYHAN")*(Başvuru!G2:G1457="Uzmanlık Tezi")*(Başvuru!L2:L1457="GÖRÜŞ"))</f>
        <v>1</v>
      </c>
      <c r="AF6" s="124">
        <f t="array" ref="AF6">SUMPRODUCT(((Başvuru!J2:K1457)="Prof. Dr. Yavuz AYHAN")*(Başvuru!G2:G1457="Uzmanlık Tezi")*(Başvuru!L2:L1457="RET"))</f>
        <v>0</v>
      </c>
      <c r="AG6" s="124">
        <f t="array" ref="AG6">SUMPRODUCT(((Başvuru!J2:K1457)="Prof. Dr. Yavuz AYHAN")*(Başvuru!G2:G1457="Uzmanlık Tezi")*(Başvuru!L2:L1457="KAPSAM DIŞI"))</f>
        <v>0</v>
      </c>
      <c r="AH6" s="124">
        <f t="array" ref="AH6">SUMPRODUCT(((Başvuru!J2:K1457)="Prof. Dr. Yavuz AYHAN")*(Başvuru!G2:G1457="Uzmanlık Tezi")*(Başvuru!L2:L1457="GERİ ÇEKİLDİ"))</f>
        <v>0</v>
      </c>
      <c r="AI6" s="124">
        <f t="shared" si="3"/>
        <v>18</v>
      </c>
      <c r="AJ6" s="126">
        <f t="shared" si="4"/>
        <v>35</v>
      </c>
      <c r="AK6" s="126">
        <f t="shared" si="5"/>
        <v>23</v>
      </c>
      <c r="AL6" s="126">
        <f t="shared" si="6"/>
        <v>0</v>
      </c>
      <c r="AM6" s="126">
        <f t="shared" si="7"/>
        <v>6</v>
      </c>
      <c r="AN6" s="126">
        <f t="shared" si="8"/>
        <v>1</v>
      </c>
      <c r="AO6" s="126">
        <f t="shared" si="9"/>
        <v>4</v>
      </c>
      <c r="AP6" s="126">
        <f t="shared" si="10"/>
        <v>0</v>
      </c>
      <c r="AQ6" s="127">
        <f t="shared" si="11"/>
        <v>69</v>
      </c>
      <c r="AR6" s="124">
        <f t="shared" si="12"/>
        <v>8</v>
      </c>
      <c r="AS6" s="128">
        <f>COUNTIF(Başvuru!$Q:$Q,$B6)</f>
        <v>9</v>
      </c>
      <c r="AT6" s="129">
        <f>COUNTIFS(Başvuru!$Q:$Q,$B6,Başvuru!$J:$J,"&lt;&gt;"&amp;$B6,Başvuru!$K:$K,"&lt;&gt;"&amp;$B6)</f>
        <v>0</v>
      </c>
    </row>
    <row r="7" spans="1:46" s="121" customFormat="1" ht="30" customHeight="1" x14ac:dyDescent="0.25">
      <c r="A7" s="122" t="s">
        <v>104</v>
      </c>
      <c r="B7" s="123" t="s">
        <v>125</v>
      </c>
      <c r="C7" s="124">
        <f>COUNTIF(Başvuru!J2:K1457,"Prof. Dr. Nazmiye Ebru ORTAÇ ERSOY")</f>
        <v>86</v>
      </c>
      <c r="D7" s="125">
        <f t="array" ref="D7">SUMPRODUCT(((Başvuru!J2:K1457)="Prof. Dr. Nazmiye Ebru ORTAÇ ERSOY")*(Başvuru!G2:G1457="Bireysel Araştırma")*(Başvuru!L2:L1457="ONAY"))</f>
        <v>37</v>
      </c>
      <c r="E7" s="125">
        <f t="array" ref="E7">SUMPRODUCT(((Başvuru!J2:K1457)="Prof. Dr. Nazmiye Ebru ORTAÇ ERSOY")*(Başvuru!G2:G1457="Bireysel Araştırma")*(Başvuru!L2:L1457="DÜZELTME"))</f>
        <v>15</v>
      </c>
      <c r="F7" s="125">
        <f t="array" ref="F7">SUMPRODUCT(((Başvuru!J2:K1457)="Prof. Dr. Nazmiye Ebru ORTAÇ ERSOY")*(Başvuru!G2:G1457="Bireysel Araştırma")*(Başvuru!L2:L1457="KAEK"))</f>
        <v>0</v>
      </c>
      <c r="G7" s="125">
        <f t="array" ref="G7">SUMPRODUCT(((Başvuru!J2:K1457)="Prof. Dr. Nazmiye Ebru ORTAÇ ERSOY")*(Başvuru!G2:G1457="Bireysel Araştırma")*(Başvuru!L2:L1457="GÖRÜŞ"))</f>
        <v>2</v>
      </c>
      <c r="H7" s="125">
        <f t="array" ref="H7">SUMPRODUCT(((Başvuru!J2:K1457)="Prof. Dr. Nazmiye Ebru ORTAÇ ERSOY")*(Başvuru!G2:G1457="Bireysel Araştırma")*(Başvuru!L2:L1457="RET"))</f>
        <v>2</v>
      </c>
      <c r="I7" s="125">
        <f t="array" ref="I7">SUMPRODUCT(((Başvuru!J2:K1457)="Prof. Dr. Nazmiye Ebru ORTAÇ ERSOY")*(Başvuru!G2:G1457="Bireysel Araştırma")*(Başvuru!L2:L1457="KAPSAM DIŞI"))</f>
        <v>1</v>
      </c>
      <c r="J7" s="125">
        <f t="array" ref="J7">SUMPRODUCT(((Başvuru!J2:K1457)="Prof. Dr. Nazmiye Ebru ORTAÇ ERSOY")*(Başvuru!G2:G1457="Bireysel Araştırma")*(Başvuru!L2:L1457="GERİ ÇEKİLDİ"))</f>
        <v>0</v>
      </c>
      <c r="K7" s="124">
        <f t="shared" si="0"/>
        <v>57</v>
      </c>
      <c r="L7" s="124">
        <f t="array" ref="L7">SUMPRODUCT(((Başvuru!J2:K1457)="Prof. Dr. Nazmiye Ebru ORTAÇ ERSOY")*(Başvuru!G2:G1457="Yüksek Lisans Tezi")*(Başvuru!L2:L1457="ONAY"))</f>
        <v>0</v>
      </c>
      <c r="M7" s="124">
        <f t="array" ref="M7">SUMPRODUCT(((Başvuru!J2:K1457)="Prof. Dr. Nazmiye Ebru ORTAÇ ERSOY")*(Başvuru!G2:G1457="Yüksek Lisans Tezi")*(Başvuru!L2:L1457="DÜZELTME"))</f>
        <v>0</v>
      </c>
      <c r="N7" s="124">
        <f t="array" ref="N7">SUMPRODUCT(((Başvuru!J2:K1457)="Prof. Dr. Nazmiye Ebru ORTAÇ ERSOY")*(Başvuru!G2:G1457="Yüksek Lisans Tezi")*(Başvuru!L2:L1457="KAEK"))</f>
        <v>0</v>
      </c>
      <c r="O7" s="124">
        <f t="array" ref="O7">SUMPRODUCT(((Başvuru!J2:K1457)="Prof. Dr. Nazmiye Ebru ORTAÇ ERSOY")*(Başvuru!G2:G1457="Yüksek Lisans Tezi")*(Başvuru!L2:L1457="GÖRÜŞ"))</f>
        <v>0</v>
      </c>
      <c r="P7" s="124">
        <f t="array" ref="P7">SUMPRODUCT(((Başvuru!J2:K1457)="Prof. Dr. Nazmiye Ebru ORTAÇ ERSOY")*(Başvuru!G2:G1457="Yüksek Lisans Tezi")*(Başvuru!L2:L1457="RET"))</f>
        <v>0</v>
      </c>
      <c r="Q7" s="124">
        <f t="array" ref="Q7">SUMPRODUCT(((Başvuru!J2:K1457)="Prof. Dr. Nazmiye Ebru ORTAÇ ERSOY")*(Başvuru!G2:G1457="Yüksek Lisans Tezi")*(Başvuru!L2:L1457="KAPSAM DIŞI"))</f>
        <v>0</v>
      </c>
      <c r="R7" s="124">
        <f t="array" ref="R7">SUMPRODUCT(((Başvuru!J2:K1457)="Prof. Dr. Nazmiye Ebru ORTAÇ ERSOY")*(Başvuru!G2:G1457="Yüksek Lisans Tezi")*(Başvuru!L2:L1457="GERİ ÇEKİLDİ"))</f>
        <v>0</v>
      </c>
      <c r="S7" s="124">
        <f t="shared" si="1"/>
        <v>0</v>
      </c>
      <c r="T7" s="124">
        <f t="array" ref="T7">SUMPRODUCT(((Başvuru!J2:K1457)="Prof. Dr. Nazmiye Ebru ORTAÇ ERSOY")*(Başvuru!G2:G1457="Doktora Tezi")*(Başvuru!L2:L1457="ONAY"))</f>
        <v>0</v>
      </c>
      <c r="U7" s="124">
        <f t="array" ref="U7">SUMPRODUCT(((Başvuru!J2:K1457)="Prof. Dr. Nazmiye Ebru ORTAÇ ERSOY")*(Başvuru!G2:G1457="Doktora Tezi")*(Başvuru!L2:L1457="DÜZELTME"))</f>
        <v>2</v>
      </c>
      <c r="V7" s="124">
        <f t="array" ref="V7">SUMPRODUCT(((Başvuru!J2:K1457)="Prof. Dr. Nazmiye Ebru ORTAÇ ERSOY")*(Başvuru!G2:G1457="Doktora Tezi")*(Başvuru!L2:L1457="KAEK"))</f>
        <v>0</v>
      </c>
      <c r="W7" s="124">
        <f t="array" ref="W7">SUMPRODUCT(((Başvuru!J2:K1457)="Prof. Dr. Nazmiye Ebru ORTAÇ ERSOY")*(Başvuru!G2:G1457="Doktora Tezi")*(Başvuru!L2:L1457="GÖRÜŞ"))</f>
        <v>0</v>
      </c>
      <c r="X7" s="124">
        <f t="array" ref="X7">SUMPRODUCT(((Başvuru!J2:K1457)="Prof. Dr. Nazmiye Ebru ORTAÇ ERSOY")*(Başvuru!G2:G1457="Doktora Tezi")*(Başvuru!L2:L1457="RET"))</f>
        <v>0</v>
      </c>
      <c r="Y7" s="124">
        <f t="array" ref="Y7">SUMPRODUCT(((Başvuru!J2:K1457)="Prof. Dr. Nazmiye Ebru ORTAÇ ERSOY")*(Başvuru!G2:G1457="Doktora Tezi")*(Başvuru!L2:L1457="KAPSAM DIŞI"))</f>
        <v>0</v>
      </c>
      <c r="Z7" s="124">
        <f t="array" ref="Z7">SUMPRODUCT(((Başvuru!J2:K1457)="Prof. Dr. Nazmiye Ebru ORTAÇ ERSOY")*(Başvuru!G2:G1457="Doktora Tezi")*(Başvuru!L2:L1457="GERİ ÇEKİLDİ"))</f>
        <v>0</v>
      </c>
      <c r="AA7" s="124">
        <f t="shared" si="2"/>
        <v>2</v>
      </c>
      <c r="AB7" s="124">
        <f t="array" ref="AB7">SUMPRODUCT(((Başvuru!J2:K1457)="Prof. Dr. Nazmiye Ebru ORTAÇ ERSOY")*(Başvuru!G2:G1457="Uzmanlık Tezi")*(Başvuru!L2:L1457="ONAY"))</f>
        <v>10</v>
      </c>
      <c r="AC7" s="124">
        <f t="array" ref="AC7">SUMPRODUCT(((Başvuru!J2:K1457)="Prof. Dr. Nazmiye Ebru ORTAÇ ERSOY")*(Başvuru!G2:G1457="Uzmanlık Tezi")*(Başvuru!L2:L1457="DÜZELTME"))</f>
        <v>6</v>
      </c>
      <c r="AD7" s="124">
        <f t="array" ref="AD7">SUMPRODUCT(((Başvuru!J2:K1457)="Prof. Dr. Nazmiye Ebru ORTAÇ ERSOY")*(Başvuru!G2:G1457="Uzmanlık Tezi")*(Başvuru!L2:L1457="KAEK"))</f>
        <v>1</v>
      </c>
      <c r="AE7" s="124">
        <f t="array" ref="AE7">SUMPRODUCT(((Başvuru!J2:K1457)="Prof. Dr. Nazmiye Ebru ORTAÇ ERSOY")*(Başvuru!G2:G1457="Uzmanlık Tezi")*(Başvuru!L2:L1457="GÖRÜŞ"))</f>
        <v>0</v>
      </c>
      <c r="AF7" s="124">
        <f t="array" ref="AF7">SUMPRODUCT(((Başvuru!J2:K1457)="Prof. Dr. Nazmiye Ebru ORTAÇ ERSOY")*(Başvuru!G2:G1457="Uzmanlık Tezi")*(Başvuru!L2:L1457="RET"))</f>
        <v>0</v>
      </c>
      <c r="AG7" s="124">
        <f t="array" ref="AG7">SUMPRODUCT(((Başvuru!J2:K1457)="Prof. Dr. Nazmiye Ebru ORTAÇ ERSOY")*(Başvuru!G2:G1457="Uzmanlık Tezi")*(Başvuru!L2:L1457="KAPSAM DIŞI"))</f>
        <v>0</v>
      </c>
      <c r="AH7" s="124">
        <f t="array" ref="AH7">SUMPRODUCT(((Başvuru!J2:K1457)="Prof. Dr. Nazmiye Ebru ORTAÇ ERSOY")*(Başvuru!G2:G1457="Uzmanlık Tezi")*(Başvuru!L2:L1457="GERİ ÇEKİLDİ"))</f>
        <v>0</v>
      </c>
      <c r="AI7" s="124">
        <f t="shared" si="3"/>
        <v>17</v>
      </c>
      <c r="AJ7" s="126">
        <f t="shared" si="4"/>
        <v>47</v>
      </c>
      <c r="AK7" s="126">
        <f t="shared" si="5"/>
        <v>23</v>
      </c>
      <c r="AL7" s="126">
        <f t="shared" si="6"/>
        <v>1</v>
      </c>
      <c r="AM7" s="126">
        <f t="shared" si="7"/>
        <v>2</v>
      </c>
      <c r="AN7" s="126">
        <f t="shared" si="8"/>
        <v>2</v>
      </c>
      <c r="AO7" s="126">
        <f t="shared" si="9"/>
        <v>1</v>
      </c>
      <c r="AP7" s="126">
        <f t="shared" si="10"/>
        <v>0</v>
      </c>
      <c r="AQ7" s="127">
        <f t="shared" si="11"/>
        <v>76</v>
      </c>
      <c r="AR7" s="124">
        <f t="shared" si="12"/>
        <v>10</v>
      </c>
      <c r="AS7" s="128">
        <f>COUNTIF(Başvuru!$Q:$Q,$B7)</f>
        <v>4</v>
      </c>
      <c r="AT7" s="129">
        <f>COUNTIFS(Başvuru!$Q:$Q,$B7,Başvuru!$J:$J,"&lt;&gt;"&amp;$B7,Başvuru!$K:$K,"&lt;&gt;"&amp;$B7)</f>
        <v>0</v>
      </c>
    </row>
    <row r="8" spans="1:46" s="121" customFormat="1" ht="30" customHeight="1" x14ac:dyDescent="0.25">
      <c r="A8" s="122" t="s">
        <v>112</v>
      </c>
      <c r="B8" s="123" t="s">
        <v>74</v>
      </c>
      <c r="C8" s="124">
        <f>COUNTIF(Başvuru!J2:K1457,"Prof. Dr. Gözde GİRGİN")</f>
        <v>101</v>
      </c>
      <c r="D8" s="125">
        <f t="array" ref="D8">SUMPRODUCT(((Başvuru!J2:K1457)="Prof. Dr. Gözde GİRGİN")*(Başvuru!G2:G1457="Bireysel Araştırma")*(Başvuru!L2:L1457="ONAY"))</f>
        <v>39</v>
      </c>
      <c r="E8" s="125">
        <f t="array" ref="E8">SUMPRODUCT(((Başvuru!J2:K1457)="Prof. Dr. Gözde GİRGİN")*(Başvuru!G2:G1457="Bireysel Araştırma")*(Başvuru!L2:L1457="DÜZELTME"))</f>
        <v>17</v>
      </c>
      <c r="F8" s="125">
        <f t="array" ref="F8">SUMPRODUCT(((Başvuru!J2:K1457)="Prof. Dr. Gözde GİRGİN")*(Başvuru!G2:G1457="Bireysel Araştırma")*(Başvuru!L2:L1457="KAEK"))</f>
        <v>0</v>
      </c>
      <c r="G8" s="125">
        <f t="array" ref="G8">SUMPRODUCT(((Başvuru!J2:K1457)="Prof. Dr. Gözde GİRGİN")*(Başvuru!G2:G1457="Bireysel Araştırma")*(Başvuru!L2:L1457="GÖRÜŞ"))</f>
        <v>5</v>
      </c>
      <c r="H8" s="125">
        <f t="array" ref="H8">SUMPRODUCT(((Başvuru!J2:K1457)="Prof. Dr. Gözde GİRGİN")*(Başvuru!G2:G1457="Bireysel Araştırma")*(Başvuru!L2:L1457="RET"))</f>
        <v>3</v>
      </c>
      <c r="I8" s="125">
        <f t="array" ref="I8">SUMPRODUCT(((Başvuru!J2:K1457)="Prof. Dr. Gözde GİRGİN")*(Başvuru!G2:G1457="Bireysel Araştırma")*(Başvuru!L2:L1457="KAPSAM DIŞI"))</f>
        <v>1</v>
      </c>
      <c r="J8" s="125">
        <f t="array" ref="J8">SUMPRODUCT(((Başvuru!J2:K1457)="Prof. Dr. Gözde GİRGİN")*(Başvuru!G2:G1457="Bireysel Araştırma")*(Başvuru!L2:L1457="GERİ ÇEKİLDİ"))</f>
        <v>0</v>
      </c>
      <c r="K8" s="124">
        <f t="shared" si="0"/>
        <v>65</v>
      </c>
      <c r="L8" s="124">
        <f t="array" ref="L8">SUMPRODUCT(((Başvuru!J2:K1457)="Prof. Dr. Gözde GİRGİN")*(Başvuru!G2:G1457="Yüksek Lisans Tezi")*(Başvuru!L2:L1457="ONAY"))</f>
        <v>0</v>
      </c>
      <c r="M8" s="124">
        <f t="array" ref="M8">SUMPRODUCT(((Başvuru!J2:K1457)="Prof. Dr. Gözde GİRGİN")*(Başvuru!G2:G1457="Yüksek Lisans Tezi")*(Başvuru!L2:L1457="DÜZELTME"))</f>
        <v>2</v>
      </c>
      <c r="N8" s="124">
        <f t="array" ref="N8">SUMPRODUCT(((Başvuru!J2:K1457)="Prof. Dr. Gözde GİRGİN")*(Başvuru!G2:G1457="Yüksek Lisans Tezi")*(Başvuru!L2:L1457="KAEK"))</f>
        <v>0</v>
      </c>
      <c r="O8" s="124">
        <f t="array" ref="O8">SUMPRODUCT(((Başvuru!J2:K1457)="Prof. Dr. Gözde GİRGİN")*(Başvuru!G2:G1457="Yüksek Lisans Tezi")*(Başvuru!L2:L1457="GÖRÜŞ"))</f>
        <v>0</v>
      </c>
      <c r="P8" s="124">
        <f t="array" ref="P8">SUMPRODUCT(((Başvuru!J2:K1457)="Prof. Dr. Gözde GİRGİN")*(Başvuru!G2:G1457="Yüksek Lisans Tezi")*(Başvuru!L2:L1457="RET"))</f>
        <v>0</v>
      </c>
      <c r="Q8" s="124">
        <f t="array" ref="Q8">SUMPRODUCT(((Başvuru!J2:K1457)="Prof. Dr. Gözde GİRGİN")*(Başvuru!G2:G1457="Yüksek Lisans Tezi")*(Başvuru!L2:L1457="KAPSAM DIŞI"))</f>
        <v>0</v>
      </c>
      <c r="R8" s="124">
        <f t="array" ref="R8">SUMPRODUCT(((Başvuru!J2:K1457)="Prof. Dr. Gözde GİRGİN")*(Başvuru!G2:G1457="Yüksek Lisans Tezi")*(Başvuru!L2:L1457="GERİ ÇEKİLDİ"))</f>
        <v>0</v>
      </c>
      <c r="S8" s="124">
        <f t="shared" si="1"/>
        <v>2</v>
      </c>
      <c r="T8" s="124">
        <f t="array" ref="T8">SUMPRODUCT(((Başvuru!J2:K1457)="Prof. Dr. Gözde GİRGİN")*(Başvuru!G2:G1457="Doktora Tezi")*(Başvuru!L2:L1457="ONAY"))</f>
        <v>1</v>
      </c>
      <c r="U8" s="124">
        <f t="array" ref="U8">SUMPRODUCT(((Başvuru!J2:K1457)="Prof. Dr. Gözde GİRGİN")*(Başvuru!G2:G1457="Doktora Tezi")*(Başvuru!L2:L1457="DÜZELTME"))</f>
        <v>3</v>
      </c>
      <c r="V8" s="124">
        <f t="array" ref="V8">SUMPRODUCT(((Başvuru!J2:K1457)="Prof. Dr. Gözde GİRGİN")*(Başvuru!G2:G1457="Doktora Tezi")*(Başvuru!L2:L1457="KAEK"))</f>
        <v>0</v>
      </c>
      <c r="W8" s="124">
        <f t="array" ref="W8">SUMPRODUCT(((Başvuru!J2:K1457)="Prof. Dr. Gözde GİRGİN")*(Başvuru!G2:G1457="Doktora Tezi")*(Başvuru!L2:L1457="GÖRÜŞ"))</f>
        <v>2</v>
      </c>
      <c r="X8" s="124">
        <f t="array" ref="X8">SUMPRODUCT(((Başvuru!J2:K1457)="Prof. Dr. Gözde GİRGİN")*(Başvuru!G2:G1457="Doktora Tezi")*(Başvuru!L2:L1457="RET"))</f>
        <v>0</v>
      </c>
      <c r="Y8" s="124">
        <f t="array" ref="Y8">SUMPRODUCT(((Başvuru!J2:K1457)="Prof. Dr. Gözde GİRGİN")*(Başvuru!G2:G1457="Doktora Tezi")*(Başvuru!L2:L1457="KAPSAM DIŞI"))</f>
        <v>0</v>
      </c>
      <c r="Z8" s="124">
        <f t="array" ref="Z8">SUMPRODUCT(((Başvuru!J2:K1457)="Prof. Dr. Gözde GİRGİN")*(Başvuru!G2:G1457="Doktora Tezi")*(Başvuru!L2:L1457="GERİ ÇEKİLDİ"))</f>
        <v>0</v>
      </c>
      <c r="AA8" s="124">
        <f t="shared" si="2"/>
        <v>6</v>
      </c>
      <c r="AB8" s="124">
        <f t="array" ref="AB8">SUMPRODUCT(((Başvuru!J2:K1457)="Prof. Dr. Gözde GİRGİN")*(Başvuru!G2:G1457="Uzmanlık Tezi")*(Başvuru!L2:L1457="ONAY"))</f>
        <v>10</v>
      </c>
      <c r="AC8" s="124">
        <f t="array" ref="AC8">SUMPRODUCT(((Başvuru!J2:K1457)="Prof. Dr. Gözde GİRGİN")*(Başvuru!G2:G1457="Uzmanlık Tezi")*(Başvuru!L2:L1457="DÜZELTME"))</f>
        <v>8</v>
      </c>
      <c r="AD8" s="124">
        <f t="array" ref="AD8">SUMPRODUCT(((Başvuru!J2:K1457)="Prof. Dr. Gözde GİRGİN")*(Başvuru!G2:G1457="Uzmanlık Tezi")*(Başvuru!L2:L1457="KAEK"))</f>
        <v>0</v>
      </c>
      <c r="AE8" s="124">
        <f t="array" ref="AE8">SUMPRODUCT(((Başvuru!J2:K1457)="Prof. Dr. Gözde GİRGİN")*(Başvuru!G2:G1457="Uzmanlık Tezi")*(Başvuru!L2:L1457="GÖRÜŞ"))</f>
        <v>1</v>
      </c>
      <c r="AF8" s="124">
        <f t="array" ref="AF8">SUMPRODUCT(((Başvuru!J2:K1457)="Prof. Dr. Gözde GİRGİN")*(Başvuru!G2:G1457="Uzmanlık Tezi")*(Başvuru!L2:L1457="RET"))</f>
        <v>0</v>
      </c>
      <c r="AG8" s="124">
        <f t="array" ref="AG8">SUMPRODUCT(((Başvuru!J2:K1457)="Prof. Dr. Gözde GİRGİN")*(Başvuru!G2:G1457="Uzmanlık Tezi")*(Başvuru!L2:L1457="KAPSAM DIŞI"))</f>
        <v>0</v>
      </c>
      <c r="AH8" s="124">
        <f t="array" ref="AH8">SUMPRODUCT(((Başvuru!J2:K1457)="Prof. Dr. Gözde GİRGİN")*(Başvuru!G2:G1457="Uzmanlık Tezi")*(Başvuru!L2:L1457="GERİ ÇEKİLDİ"))</f>
        <v>0</v>
      </c>
      <c r="AI8" s="124">
        <f t="shared" si="3"/>
        <v>19</v>
      </c>
      <c r="AJ8" s="126">
        <f t="shared" si="4"/>
        <v>50</v>
      </c>
      <c r="AK8" s="126">
        <f t="shared" si="5"/>
        <v>30</v>
      </c>
      <c r="AL8" s="126">
        <f t="shared" si="6"/>
        <v>0</v>
      </c>
      <c r="AM8" s="126">
        <f t="shared" si="7"/>
        <v>8</v>
      </c>
      <c r="AN8" s="126">
        <f t="shared" si="8"/>
        <v>3</v>
      </c>
      <c r="AO8" s="126">
        <f t="shared" si="9"/>
        <v>1</v>
      </c>
      <c r="AP8" s="126">
        <f t="shared" si="10"/>
        <v>0</v>
      </c>
      <c r="AQ8" s="127">
        <f t="shared" si="11"/>
        <v>92</v>
      </c>
      <c r="AR8" s="124">
        <f t="shared" si="12"/>
        <v>9</v>
      </c>
      <c r="AS8" s="128">
        <f>COUNTIF(Başvuru!$Q:$Q,$B8)</f>
        <v>10</v>
      </c>
      <c r="AT8" s="129">
        <f>COUNTIFS(Başvuru!$Q:$Q,$B8,Başvuru!$J:$J,"&lt;&gt;"&amp;$B8,Başvuru!$K:$K,"&lt;&gt;"&amp;$B8)</f>
        <v>0</v>
      </c>
    </row>
    <row r="9" spans="1:46" s="121" customFormat="1" ht="30" customHeight="1" x14ac:dyDescent="0.25">
      <c r="A9" s="122" t="s">
        <v>120</v>
      </c>
      <c r="B9" s="123" t="s">
        <v>65</v>
      </c>
      <c r="C9" s="124">
        <f>COUNTIF(Başvuru!J2:K1457,"Doç. Dr. Kübra AYKAÇ")</f>
        <v>85</v>
      </c>
      <c r="D9" s="125">
        <f t="array" ref="D9">SUMPRODUCT(((Başvuru!J2:K1457)="Doç. Dr. Kübra AYKAÇ")*(Başvuru!G2:G1457="Bireysel Araştırma")*(Başvuru!L2:L1457="ONAY"))</f>
        <v>33</v>
      </c>
      <c r="E9" s="125">
        <f t="array" ref="E9">SUMPRODUCT(((Başvuru!J2:K1457)="Doç. Dr. Kübra AYKAÇ")*(Başvuru!G2:G1457="Bireysel Araştırma")*(Başvuru!L2:L1457="DÜZELTME"))</f>
        <v>19</v>
      </c>
      <c r="F9" s="125">
        <f t="array" ref="F9">SUMPRODUCT(((Başvuru!J2:K1457)="Doç. Dr. Kübra AYKAÇ")*(Başvuru!G2:G1457="Bireysel Araştırma")*(Başvuru!L2:L1457="KAEK"))</f>
        <v>1</v>
      </c>
      <c r="G9" s="125">
        <f t="array" ref="G9">SUMPRODUCT(((Başvuru!J2:K1457)="Doç. Dr. Kübra AYKAÇ")*(Başvuru!G2:G1457="Bireysel Araştırma")*(Başvuru!L2:L1457="GÖRÜŞ"))</f>
        <v>2</v>
      </c>
      <c r="H9" s="125">
        <f t="array" ref="H9">SUMPRODUCT(((Başvuru!J2:K1457)="Doç. Dr. Kübra AYKAÇ")*(Başvuru!G2:G1457="Bireysel Araştırma")*(Başvuru!L2:L1457="RET"))</f>
        <v>1</v>
      </c>
      <c r="I9" s="125">
        <f t="array" ref="I9">SUMPRODUCT(((Başvuru!J2:K1457)="Doç. Dr. Kübra AYKAÇ")*(Başvuru!G2:G1457="Bireysel Araştırma")*(Başvuru!L2:L1457="KAPSAM DIŞI"))</f>
        <v>0</v>
      </c>
      <c r="J9" s="125">
        <f t="array" ref="J9">SUMPRODUCT(((Başvuru!J2:K1457)="Doç. Dr. Kübra AYKAÇ")*(Başvuru!G2:G1457="Bireysel Araştırma")*(Başvuru!L2:L1457="GERİ ÇEKİLDİ"))</f>
        <v>0</v>
      </c>
      <c r="K9" s="124">
        <f t="shared" si="0"/>
        <v>56</v>
      </c>
      <c r="L9" s="124">
        <f t="array" ref="L9">SUMPRODUCT(((Başvuru!J2:K1457)="Doç. Dr. Kübra AYKAÇ")*(Başvuru!G2:G1457="Yüksek Lisans Tezi")*(Başvuru!L2:L1457="ONAY"))</f>
        <v>1</v>
      </c>
      <c r="M9" s="124">
        <f t="array" ref="M9">SUMPRODUCT(((Başvuru!J2:K1457)="Doç. Dr. Kübra AYKAÇ")*(Başvuru!G2:G1457="Yüksek Lisans Tezi")*(Başvuru!L2:L1457="DÜZELTME"))</f>
        <v>2</v>
      </c>
      <c r="N9" s="124">
        <f t="array" ref="N9">SUMPRODUCT(((Başvuru!J2:K1457)="Doç. Dr. Kübra AYKAÇ")*(Başvuru!G2:G1457="Yüksek Lisans Tezi")*(Başvuru!L2:L1457="KAEK"))</f>
        <v>0</v>
      </c>
      <c r="O9" s="124">
        <f t="array" ref="O9">SUMPRODUCT(((Başvuru!J2:K1457)="Doç. Dr. Kübra AYKAÇ")*(Başvuru!G2:G1457="Yüksek Lisans Tezi")*(Başvuru!L2:L1457="GÖRÜŞ"))</f>
        <v>0</v>
      </c>
      <c r="P9" s="124">
        <f t="array" ref="P9">SUMPRODUCT(((Başvuru!J2:K1457)="Doç. Dr. Kübra AYKAÇ")*(Başvuru!G2:G1457="Yüksek Lisans Tezi")*(Başvuru!L2:L1457="RET"))</f>
        <v>1</v>
      </c>
      <c r="Q9" s="124">
        <f t="array" ref="Q9">SUMPRODUCT(((Başvuru!J2:K1457)="Doç. Dr. Kübra AYKAÇ")*(Başvuru!G2:G1457="Yüksek Lisans Tezi")*(Başvuru!L2:L1457="KAPSAM DIŞI"))</f>
        <v>0</v>
      </c>
      <c r="R9" s="124">
        <f t="array" ref="R9">SUMPRODUCT(((Başvuru!J2:K1457)="Doç. Dr. Kübra AYKAÇ")*(Başvuru!G2:G1457="Yüksek Lisans Tezi")*(Başvuru!L2:L1457="GERİ ÇEKİLDİ"))</f>
        <v>0</v>
      </c>
      <c r="S9" s="124">
        <f t="shared" si="1"/>
        <v>4</v>
      </c>
      <c r="T9" s="124">
        <f t="array" ref="T9">SUMPRODUCT(((Başvuru!J2:K1457)="Doç. Dr. Kübra AYKAÇ")*(Başvuru!G2:G1457="Doktora Tezi")*(Başvuru!L2:L1457="ONAY"))</f>
        <v>2</v>
      </c>
      <c r="U9" s="124">
        <f t="array" ref="U9">SUMPRODUCT(((Başvuru!J2:K1457)="Doç. Dr. Kübra AYKAÇ")*(Başvuru!G2:G1457="Doktora Tezi")*(Başvuru!L2:L1457="DÜZELTME"))</f>
        <v>1</v>
      </c>
      <c r="V9" s="124">
        <f t="array" ref="V9">SUMPRODUCT(((Başvuru!J2:K1457)="Doç. Dr. Kübra AYKAÇ")*(Başvuru!G2:G1457="Doktora Tezi")*(Başvuru!L2:L1457="KAEK"))</f>
        <v>0</v>
      </c>
      <c r="W9" s="124">
        <f t="array" ref="W9">SUMPRODUCT(((Başvuru!J2:K1457)="Doç. Dr. Kübra AYKAÇ")*(Başvuru!G2:G1457="Doktora Tezi")*(Başvuru!L2:L1457="GÖRÜŞ"))</f>
        <v>0</v>
      </c>
      <c r="X9" s="124">
        <f t="array" ref="X9">SUMPRODUCT(((Başvuru!J2:K1457)="Doç. Dr. Kübra AYKAÇ")*(Başvuru!G2:G1457="Doktora Tezi")*(Başvuru!L2:L1457="RET"))</f>
        <v>0</v>
      </c>
      <c r="Y9" s="124">
        <f t="array" ref="Y9">SUMPRODUCT(((Başvuru!J2:K1457)="Doç. Dr. Kübra AYKAÇ")*(Başvuru!G2:G1457="Doktora Tezi")*(Başvuru!L2:L1457="KAPSAM DIŞI"))</f>
        <v>0</v>
      </c>
      <c r="Z9" s="124">
        <f t="array" ref="Z9">SUMPRODUCT(((Başvuru!J2:K1457)="Doç. Dr. Kübra AYKAÇ")*(Başvuru!G2:G1457="Doktora Tezi")*(Başvuru!L2:L1457="GERİ ÇEKİLDİ"))</f>
        <v>0</v>
      </c>
      <c r="AA9" s="124">
        <f t="shared" si="2"/>
        <v>3</v>
      </c>
      <c r="AB9" s="124">
        <f t="array" ref="AB9">SUMPRODUCT(((Başvuru!J2:K1457)="Doç. Dr. Kübra AYKAÇ")*(Başvuru!G2:G1457="Uzmanlık Tezi")*(Başvuru!L2:L1457="ONAY"))</f>
        <v>8</v>
      </c>
      <c r="AC9" s="124">
        <f t="array" ref="AC9">SUMPRODUCT(((Başvuru!J2:K1457)="Doç. Dr. Kübra AYKAÇ")*(Başvuru!G2:G1457="Uzmanlık Tezi")*(Başvuru!L2:L1457="DÜZELTME"))</f>
        <v>3</v>
      </c>
      <c r="AD9" s="124">
        <f t="array" ref="AD9">SUMPRODUCT(((Başvuru!J2:K1457)="Doç. Dr. Kübra AYKAÇ")*(Başvuru!G2:G1457="Uzmanlık Tezi")*(Başvuru!L2:L1457="KAEK"))</f>
        <v>1</v>
      </c>
      <c r="AE9" s="124">
        <f t="array" ref="AE9">SUMPRODUCT(((Başvuru!J2:K1457)="Doç. Dr. Kübra AYKAÇ")*(Başvuru!G2:G1457="Uzmanlık Tezi")*(Başvuru!L2:L1457="GÖRÜŞ"))</f>
        <v>0</v>
      </c>
      <c r="AF9" s="124">
        <f t="array" ref="AF9">SUMPRODUCT(((Başvuru!J2:K1457)="Doç. Dr. Kübra AYKAÇ")*(Başvuru!G2:G1457="Uzmanlık Tezi")*(Başvuru!L2:L1457="RET"))</f>
        <v>0</v>
      </c>
      <c r="AG9" s="124">
        <f t="array" ref="AG9">SUMPRODUCT(((Başvuru!J2:K1457)="Doç. Dr. Kübra AYKAÇ")*(Başvuru!G2:G1457="Uzmanlık Tezi")*(Başvuru!L2:L1457="KAPSAM DIŞI"))</f>
        <v>1</v>
      </c>
      <c r="AH9" s="124">
        <f t="array" ref="AH9">SUMPRODUCT(((Başvuru!J2:K1457)="Doç. Dr. Kübra AYKAÇ")*(Başvuru!G2:G1457="Uzmanlık Tezi")*(Başvuru!L2:L1457="GERİ ÇEKİLDİ"))</f>
        <v>0</v>
      </c>
      <c r="AI9" s="124">
        <f t="shared" si="3"/>
        <v>13</v>
      </c>
      <c r="AJ9" s="126">
        <f t="shared" si="4"/>
        <v>44</v>
      </c>
      <c r="AK9" s="126">
        <f t="shared" si="5"/>
        <v>25</v>
      </c>
      <c r="AL9" s="126">
        <f t="shared" si="6"/>
        <v>2</v>
      </c>
      <c r="AM9" s="126">
        <f t="shared" si="7"/>
        <v>2</v>
      </c>
      <c r="AN9" s="126">
        <f t="shared" si="8"/>
        <v>2</v>
      </c>
      <c r="AO9" s="126">
        <f t="shared" si="9"/>
        <v>1</v>
      </c>
      <c r="AP9" s="126">
        <f t="shared" si="10"/>
        <v>0</v>
      </c>
      <c r="AQ9" s="127">
        <f t="shared" si="11"/>
        <v>76</v>
      </c>
      <c r="AR9" s="124">
        <f t="shared" si="12"/>
        <v>9</v>
      </c>
      <c r="AS9" s="128">
        <f>COUNTIF(Başvuru!$Q:$Q,$B9)</f>
        <v>4</v>
      </c>
      <c r="AT9" s="129">
        <f>COUNTIFS(Başvuru!$Q:$Q,$B9,Başvuru!$J:$J,"&lt;&gt;"&amp;$B9,Başvuru!$K:$K,"&lt;&gt;"&amp;$B9)</f>
        <v>0</v>
      </c>
    </row>
    <row r="10" spans="1:46" s="121" customFormat="1" ht="30" customHeight="1" x14ac:dyDescent="0.25">
      <c r="A10" s="122" t="s">
        <v>127</v>
      </c>
      <c r="B10" s="123" t="s">
        <v>91</v>
      </c>
      <c r="C10" s="124">
        <f>COUNTIF(Başvuru!J2:K1457,"Doç. Dr. Tolga ÇAKMAK")</f>
        <v>81</v>
      </c>
      <c r="D10" s="125">
        <f t="array" ref="D10">SUMPRODUCT(((Başvuru!J2:K1457)="Doç. Dr. Tolga ÇAKMAK")*(Başvuru!G2:G1457="Bireysel Araştırma")*(Başvuru!L2:L1457="ONAY"))</f>
        <v>28</v>
      </c>
      <c r="E10" s="125">
        <f t="array" ref="E10">SUMPRODUCT(((Başvuru!J2:K1457)="Doç. Dr. Tolga ÇAKMAK")*(Başvuru!G2:G1457="Bireysel Araştırma")*(Başvuru!L2:L1457="DÜZELTME"))</f>
        <v>15</v>
      </c>
      <c r="F10" s="125">
        <f t="array" ref="F10">SUMPRODUCT(((Başvuru!J2:K1457)="Doç. Dr. Tolga ÇAKMAK")*(Başvuru!G2:G1457="Bireysel Araştırma")*(Başvuru!L2:L1457="KAEK"))</f>
        <v>1</v>
      </c>
      <c r="G10" s="125">
        <f t="array" ref="G10">SUMPRODUCT(((Başvuru!J2:K1457)="Doç. Dr. Tolga ÇAKMAK")*(Başvuru!G2:G1457="Bireysel Araştırma")*(Başvuru!L2:L1457="GÖRÜŞ"))</f>
        <v>3</v>
      </c>
      <c r="H10" s="125">
        <f t="array" ref="H10">SUMPRODUCT(((Başvuru!J2:K1457)="Doç. Dr. Tolga ÇAKMAK")*(Başvuru!G2:G1457="Bireysel Araştırma")*(Başvuru!L2:L1457="RET"))</f>
        <v>6</v>
      </c>
      <c r="I10" s="125">
        <f t="array" ref="I10">SUMPRODUCT(((Başvuru!J2:K1457)="Doç. Dr. Tolga ÇAKMAK")*(Başvuru!G2:G1457="Bireysel Araştırma")*(Başvuru!L2:L1457="KAPSAM DIŞI"))</f>
        <v>0</v>
      </c>
      <c r="J10" s="125">
        <f t="array" ref="J10">SUMPRODUCT(((Başvuru!J2:K1457)="Doç. Dr. Tolga ÇAKMAK")*(Başvuru!G2:G1457="Bireysel Araştırma")*(Başvuru!L2:L1457="GERİ ÇEKİLDİ"))</f>
        <v>0</v>
      </c>
      <c r="K10" s="124">
        <f t="shared" si="0"/>
        <v>53</v>
      </c>
      <c r="L10" s="124">
        <f t="array" ref="L10">SUMPRODUCT(((Başvuru!J2:K1457)="Doç. Dr. Tolga ÇAKMAK")*(Başvuru!G2:G1457="Yüksek Lisans Tezi")*(Başvuru!L2:L1457="ONAY"))</f>
        <v>0</v>
      </c>
      <c r="M10" s="124">
        <f t="array" ref="M10">SUMPRODUCT(((Başvuru!J2:K1457)="Doç. Dr. Tolga ÇAKMAK")*(Başvuru!G2:G1457="Yüksek Lisans Tezi")*(Başvuru!L2:L1457="DÜZELTME"))</f>
        <v>2</v>
      </c>
      <c r="N10" s="124">
        <f t="array" ref="N10">SUMPRODUCT(((Başvuru!J2:K1457)="Doç. Dr. Tolga ÇAKMAK")*(Başvuru!G2:G1457="Yüksek Lisans Tezi")*(Başvuru!L2:L1457="KAEK"))</f>
        <v>0</v>
      </c>
      <c r="O10" s="124">
        <f t="array" ref="O10">SUMPRODUCT(((Başvuru!J2:K1457)="Doç. Dr. Tolga ÇAKMAK")*(Başvuru!G2:G1457="Yüksek Lisans Tezi")*(Başvuru!L2:L1457="GÖRÜŞ"))</f>
        <v>0</v>
      </c>
      <c r="P10" s="124">
        <f t="array" ref="P10">SUMPRODUCT(((Başvuru!J2:K1457)="Doç. Dr. Tolga ÇAKMAK")*(Başvuru!G2:G1457="Yüksek Lisans Tezi")*(Başvuru!L2:L1457="RET"))</f>
        <v>1</v>
      </c>
      <c r="Q10" s="124">
        <f t="array" ref="Q10">SUMPRODUCT(((Başvuru!J2:K1457)="Doç. Dr. Tolga ÇAKMAK")*(Başvuru!G2:G1457="Yüksek Lisans Tezi")*(Başvuru!L2:L1457="KAPSAM DIŞI"))</f>
        <v>0</v>
      </c>
      <c r="R10" s="124">
        <f t="array" ref="R10">SUMPRODUCT(((Başvuru!J2:K1457)="Doç. Dr. Tolga ÇAKMAK")*(Başvuru!G2:G1457="Yüksek Lisans Tezi")*(Başvuru!L2:L1457="GERİ ÇEKİLDİ"))</f>
        <v>0</v>
      </c>
      <c r="S10" s="124">
        <f t="shared" si="1"/>
        <v>3</v>
      </c>
      <c r="T10" s="124">
        <f t="array" ref="T10">SUMPRODUCT(((Başvuru!J2:K1457)="Doç. Dr. Tolga ÇAKMAK")*(Başvuru!G2:G1457="Doktora Tezi")*(Başvuru!L2:L1457="ONAY"))</f>
        <v>3</v>
      </c>
      <c r="U10" s="124">
        <f t="array" ref="U10">SUMPRODUCT(((Başvuru!J2:K1457)="Doç. Dr. Tolga ÇAKMAK")*(Başvuru!G2:G1457="Doktora Tezi")*(Başvuru!L2:L1457="DÜZELTME"))</f>
        <v>5</v>
      </c>
      <c r="V10" s="124">
        <f t="array" ref="V10">SUMPRODUCT(((Başvuru!J2:K1457)="Doç. Dr. Tolga ÇAKMAK")*(Başvuru!G2:G1457="Doktora Tezi")*(Başvuru!L2:L1457="KAEK"))</f>
        <v>0</v>
      </c>
      <c r="W10" s="124">
        <f t="array" ref="W10">SUMPRODUCT(((Başvuru!J2:K1457)="Doç. Dr. Tolga ÇAKMAK")*(Başvuru!G2:G1457="Doktora Tezi")*(Başvuru!L2:L1457="GÖRÜŞ"))</f>
        <v>1</v>
      </c>
      <c r="X10" s="124">
        <f t="array" ref="X10">SUMPRODUCT(((Başvuru!J2:K1457)="Doç. Dr. Tolga ÇAKMAK")*(Başvuru!G2:G1457="Doktora Tezi")*(Başvuru!L2:L1457="RET"))</f>
        <v>0</v>
      </c>
      <c r="Y10" s="124">
        <f t="array" ref="Y10">SUMPRODUCT(((Başvuru!J2:K1457)="Doç. Dr. Tolga ÇAKMAK")*(Başvuru!G2:G1457="Doktora Tezi")*(Başvuru!L2:L1457="KAPSAM DIŞI"))</f>
        <v>0</v>
      </c>
      <c r="Z10" s="124">
        <f t="array" ref="Z10">SUMPRODUCT(((Başvuru!J2:K1457)="Doç. Dr. Tolga ÇAKMAK")*(Başvuru!G2:G1457="Doktora Tezi")*(Başvuru!L2:L1457="GERİ ÇEKİLDİ"))</f>
        <v>0</v>
      </c>
      <c r="AA10" s="124">
        <f t="shared" si="2"/>
        <v>9</v>
      </c>
      <c r="AB10" s="124">
        <f t="array" ref="AB10">SUMPRODUCT(((Başvuru!J2:K1457)="Doç. Dr. Tolga ÇAKMAK")*(Başvuru!G2:G1457="Uzmanlık Tezi")*(Başvuru!L2:L1457="ONAY"))</f>
        <v>11</v>
      </c>
      <c r="AC10" s="124">
        <f t="array" ref="AC10">SUMPRODUCT(((Başvuru!J2:K1457)="Doç. Dr. Tolga ÇAKMAK")*(Başvuru!G2:G1457="Uzmanlık Tezi")*(Başvuru!L2:L1457="DÜZELTME"))</f>
        <v>3</v>
      </c>
      <c r="AD10" s="124">
        <f t="array" ref="AD10">SUMPRODUCT(((Başvuru!J2:K1457)="Doç. Dr. Tolga ÇAKMAK")*(Başvuru!G2:G1457="Uzmanlık Tezi")*(Başvuru!L2:L1457="KAEK"))</f>
        <v>0</v>
      </c>
      <c r="AE10" s="124">
        <f t="array" ref="AE10">SUMPRODUCT(((Başvuru!J2:K1457)="Doç. Dr. Tolga ÇAKMAK")*(Başvuru!G2:G1457="Uzmanlık Tezi")*(Başvuru!L2:L1457="GÖRÜŞ"))</f>
        <v>0</v>
      </c>
      <c r="AF10" s="124">
        <f t="array" ref="AF10">SUMPRODUCT(((Başvuru!J2:K1457)="Doç. Dr. Tolga ÇAKMAK")*(Başvuru!G2:G1457="Uzmanlık Tezi")*(Başvuru!L2:L1457="RET"))</f>
        <v>0</v>
      </c>
      <c r="AG10" s="124">
        <f t="array" ref="AG10">SUMPRODUCT(((Başvuru!J2:K1457)="Doç. Dr. Tolga ÇAKMAK")*(Başvuru!G2:G1457="Uzmanlık Tezi")*(Başvuru!L2:L1457="KAPSAM DIŞI"))</f>
        <v>0</v>
      </c>
      <c r="AH10" s="124">
        <f t="array" ref="AH10">SUMPRODUCT(((Başvuru!J2:K1457)="Doç. Dr. Tolga ÇAKMAK")*(Başvuru!G2:G1457="Uzmanlık Tezi")*(Başvuru!L2:L1457="GERİ ÇEKİLDİ"))</f>
        <v>0</v>
      </c>
      <c r="AI10" s="124">
        <f t="shared" si="3"/>
        <v>14</v>
      </c>
      <c r="AJ10" s="126">
        <f t="shared" si="4"/>
        <v>42</v>
      </c>
      <c r="AK10" s="126">
        <f t="shared" si="5"/>
        <v>25</v>
      </c>
      <c r="AL10" s="126">
        <f t="shared" si="6"/>
        <v>1</v>
      </c>
      <c r="AM10" s="126">
        <f t="shared" si="7"/>
        <v>4</v>
      </c>
      <c r="AN10" s="126">
        <f t="shared" si="8"/>
        <v>7</v>
      </c>
      <c r="AO10" s="126">
        <f t="shared" si="9"/>
        <v>0</v>
      </c>
      <c r="AP10" s="126">
        <f t="shared" si="10"/>
        <v>0</v>
      </c>
      <c r="AQ10" s="127">
        <f t="shared" si="11"/>
        <v>79</v>
      </c>
      <c r="AR10" s="124">
        <f t="shared" si="12"/>
        <v>2</v>
      </c>
      <c r="AS10" s="128">
        <f>COUNTIF(Başvuru!$Q:$Q,$B10)</f>
        <v>2</v>
      </c>
      <c r="AT10" s="129">
        <f>COUNTIFS(Başvuru!$Q:$Q,$B10,Başvuru!$J:$J,"&lt;&gt;"&amp;$B10,Başvuru!$K:$K,"&lt;&gt;"&amp;$B10)</f>
        <v>0</v>
      </c>
    </row>
    <row r="11" spans="1:46" s="121" customFormat="1" ht="30" customHeight="1" x14ac:dyDescent="0.25">
      <c r="A11" s="122" t="s">
        <v>134</v>
      </c>
      <c r="B11" s="123" t="s">
        <v>92</v>
      </c>
      <c r="C11" s="124">
        <f>COUNTIF(Başvuru!J2:K1457,"Doç. Dr. Burcu ERSÖZ ALAN")</f>
        <v>98</v>
      </c>
      <c r="D11" s="125">
        <f t="array" ref="D11">SUMPRODUCT(((Başvuru!J2:K1457)="Doç. Dr. Burcu ERSÖZ ALAN")*(Başvuru!G2:G1457="Bireysel Araştırma")*(Başvuru!L2:L1457="ONAY"))</f>
        <v>44</v>
      </c>
      <c r="E11" s="125">
        <f t="array" ref="E11">SUMPRODUCT(((Başvuru!J2:K1457)="Doç. Dr. Burcu ERSÖZ ALAN")*(Başvuru!G2:G1457="Bireysel Araştırma")*(Başvuru!L2:L1457="DÜZELTME"))</f>
        <v>17</v>
      </c>
      <c r="F11" s="125">
        <f t="array" ref="F11">SUMPRODUCT(((Başvuru!J2:K1457)="Doç. Dr. Burcu ERSÖZ ALAN")*(Başvuru!G2:G1457="Bireysel Araştırma")*(Başvuru!L2:L1457="KAEK"))</f>
        <v>0</v>
      </c>
      <c r="G11" s="125">
        <f t="array" ref="G11">SUMPRODUCT(((Başvuru!J2:K1457)="Doç. Dr. Burcu ERSÖZ ALAN")*(Başvuru!G2:G1457="Bireysel Araştırma")*(Başvuru!L2:L1457="GÖRÜŞ"))</f>
        <v>3</v>
      </c>
      <c r="H11" s="125">
        <f t="array" ref="H11">SUMPRODUCT(((Başvuru!J2:K1457)="Doç. Dr. Burcu ERSÖZ ALAN")*(Başvuru!G2:G1457="Bireysel Araştırma")*(Başvuru!L2:L1457="RET"))</f>
        <v>1</v>
      </c>
      <c r="I11" s="125">
        <f t="array" ref="I11">SUMPRODUCT(((Başvuru!J2:K1457)="Doç. Dr. Burcu ERSÖZ ALAN")*(Başvuru!G2:G1457="Bireysel Araştırma")*(Başvuru!L2:L1457="KAPSAM DIŞI"))</f>
        <v>1</v>
      </c>
      <c r="J11" s="125">
        <f t="array" ref="J11">SUMPRODUCT(((Başvuru!J2:K1457)="Doç. Dr. Burcu ERSÖZ ALAN")*(Başvuru!G2:G1457="Bireysel Araştırma")*(Başvuru!L2:L1457="GERİ ÇEKİLDİ"))</f>
        <v>0</v>
      </c>
      <c r="K11" s="124">
        <f t="shared" si="0"/>
        <v>66</v>
      </c>
      <c r="L11" s="124">
        <f t="array" ref="L11">SUMPRODUCT(((Başvuru!J2:K1457)="Doç. Dr. Burcu ERSÖZ ALAN")*(Başvuru!G2:G1457="Yüksek Lisans Tezi")*(Başvuru!L2:L1457="ONAY"))</f>
        <v>0</v>
      </c>
      <c r="M11" s="124">
        <f t="array" ref="M11">SUMPRODUCT(((Başvuru!J2:K1457)="Doç. Dr. Burcu ERSÖZ ALAN")*(Başvuru!G2:G1457="Yüksek Lisans Tezi")*(Başvuru!L2:L1457="DÜZELTME"))</f>
        <v>0</v>
      </c>
      <c r="N11" s="124">
        <f t="array" ref="N11">SUMPRODUCT(((Başvuru!J2:K1457)="Doç. Dr. Burcu ERSÖZ ALAN")*(Başvuru!G2:G1457="Yüksek Lisans Tezi")*(Başvuru!L2:L1457="KAEK"))</f>
        <v>0</v>
      </c>
      <c r="O11" s="124">
        <f t="array" ref="O11">SUMPRODUCT(((Başvuru!J2:K1457)="Doç. Dr. Burcu ERSÖZ ALAN")*(Başvuru!G2:G1457="Yüksek Lisans Tezi")*(Başvuru!L2:L1457="GÖRÜŞ"))</f>
        <v>0</v>
      </c>
      <c r="P11" s="124">
        <f t="array" ref="P11">SUMPRODUCT(((Başvuru!J2:K1457)="Doç. Dr. Burcu ERSÖZ ALAN")*(Başvuru!G2:G1457="Yüksek Lisans Tezi")*(Başvuru!L2:L1457="RET"))</f>
        <v>0</v>
      </c>
      <c r="Q11" s="124">
        <f t="array" ref="Q11">SUMPRODUCT(((Başvuru!J2:K1457)="Doç. Dr. Burcu ERSÖZ ALAN")*(Başvuru!G2:G1457="Yüksek Lisans Tezi")*(Başvuru!L2:L1457="KAPSAM DIŞI"))</f>
        <v>0</v>
      </c>
      <c r="R11" s="124">
        <f t="array" ref="R11">SUMPRODUCT(((Başvuru!J2:K1457)="Doç. Dr. Burcu ERSÖZ ALAN")*(Başvuru!G2:G1457="Yüksek Lisans Tezi")*(Başvuru!L2:L1457="GERİ ÇEKİLDİ"))</f>
        <v>0</v>
      </c>
      <c r="S11" s="124">
        <f t="shared" si="1"/>
        <v>0</v>
      </c>
      <c r="T11" s="124">
        <f t="array" ref="T11">SUMPRODUCT(((Başvuru!J2:K1457)="Doç. Dr. Burcu ERSÖZ ALAN")*(Başvuru!G2:G1457="Doktora Tezi")*(Başvuru!L2:L1457="ONAY"))</f>
        <v>6</v>
      </c>
      <c r="U11" s="124">
        <f t="array" ref="U11">SUMPRODUCT(((Başvuru!J2:K1457)="Doç. Dr. Burcu ERSÖZ ALAN")*(Başvuru!G2:G1457="Doktora Tezi")*(Başvuru!L2:L1457="DÜZELTME"))</f>
        <v>3</v>
      </c>
      <c r="V11" s="124">
        <f t="array" ref="V11">SUMPRODUCT(((Başvuru!J2:K1457)="Doç. Dr. Burcu ERSÖZ ALAN")*(Başvuru!G2:G1457="Doktora Tezi")*(Başvuru!L2:L1457="KAEK"))</f>
        <v>0</v>
      </c>
      <c r="W11" s="124">
        <f t="array" ref="W11">SUMPRODUCT(((Başvuru!J2:K1457)="Doç. Dr. Burcu ERSÖZ ALAN")*(Başvuru!G2:G1457="Doktora Tezi")*(Başvuru!L2:L1457="GÖRÜŞ"))</f>
        <v>0</v>
      </c>
      <c r="X11" s="124">
        <f t="array" ref="X11">SUMPRODUCT(((Başvuru!J2:K1457)="Doç. Dr. Burcu ERSÖZ ALAN")*(Başvuru!G2:G1457="Doktora Tezi")*(Başvuru!L2:L1457="RET"))</f>
        <v>0</v>
      </c>
      <c r="Y11" s="124">
        <f t="array" ref="Y11">SUMPRODUCT(((Başvuru!J2:K1457)="Doç. Dr. Burcu ERSÖZ ALAN")*(Başvuru!G2:G1457="Doktora Tezi")*(Başvuru!L2:L1457="KAPSAM DIŞI"))</f>
        <v>0</v>
      </c>
      <c r="Z11" s="124">
        <f t="array" ref="Z11">SUMPRODUCT(((Başvuru!J2:K1457)="Doç. Dr. Burcu ERSÖZ ALAN")*(Başvuru!G2:G1457="Doktora Tezi")*(Başvuru!L2:L1457="GERİ ÇEKİLDİ"))</f>
        <v>0</v>
      </c>
      <c r="AA11" s="124">
        <f t="shared" si="2"/>
        <v>9</v>
      </c>
      <c r="AB11" s="124">
        <f t="array" ref="AB11">SUMPRODUCT(((Başvuru!J2:K1457)="Doç. Dr. Burcu ERSÖZ ALAN")*(Başvuru!G2:G1457="Uzmanlık Tezi")*(Başvuru!L2:L1457="ONAY"))</f>
        <v>6</v>
      </c>
      <c r="AC11" s="124">
        <f t="array" ref="AC11">SUMPRODUCT(((Başvuru!J2:K1457)="Doç. Dr. Burcu ERSÖZ ALAN")*(Başvuru!G2:G1457="Uzmanlık Tezi")*(Başvuru!L2:L1457="DÜZELTME"))</f>
        <v>7</v>
      </c>
      <c r="AD11" s="124">
        <f t="array" ref="AD11">SUMPRODUCT(((Başvuru!J2:K1457)="Doç. Dr. Burcu ERSÖZ ALAN")*(Başvuru!G2:G1457="Uzmanlık Tezi")*(Başvuru!L2:L1457="KAEK"))</f>
        <v>0</v>
      </c>
      <c r="AE11" s="124">
        <f t="array" ref="AE11">SUMPRODUCT(((Başvuru!J2:K1457)="Doç. Dr. Burcu ERSÖZ ALAN")*(Başvuru!G2:G1457="Uzmanlık Tezi")*(Başvuru!L2:L1457="GÖRÜŞ"))</f>
        <v>2</v>
      </c>
      <c r="AF11" s="124">
        <f t="array" ref="AF11">SUMPRODUCT(((Başvuru!J2:K1457)="Doç. Dr. Burcu ERSÖZ ALAN")*(Başvuru!G2:G1457="Uzmanlık Tezi")*(Başvuru!L2:L1457="RET"))</f>
        <v>0</v>
      </c>
      <c r="AG11" s="124">
        <f t="array" ref="AG11">SUMPRODUCT(((Başvuru!J2:K1457)="Doç. Dr. Burcu ERSÖZ ALAN")*(Başvuru!G2:G1457="Uzmanlık Tezi")*(Başvuru!L2:L1457="KAPSAM DIŞI"))</f>
        <v>0</v>
      </c>
      <c r="AH11" s="124">
        <f t="array" ref="AH11">SUMPRODUCT(((Başvuru!J2:K1457)="Doç. Dr. Burcu ERSÖZ ALAN")*(Başvuru!G2:G1457="Uzmanlık Tezi")*(Başvuru!L2:L1457="GERİ ÇEKİLDİ"))</f>
        <v>0</v>
      </c>
      <c r="AI11" s="124">
        <f t="shared" si="3"/>
        <v>15</v>
      </c>
      <c r="AJ11" s="126">
        <f t="shared" si="4"/>
        <v>56</v>
      </c>
      <c r="AK11" s="126">
        <f t="shared" si="5"/>
        <v>27</v>
      </c>
      <c r="AL11" s="126">
        <f t="shared" si="6"/>
        <v>0</v>
      </c>
      <c r="AM11" s="126">
        <f t="shared" si="7"/>
        <v>5</v>
      </c>
      <c r="AN11" s="126">
        <f t="shared" si="8"/>
        <v>1</v>
      </c>
      <c r="AO11" s="126">
        <f t="shared" si="9"/>
        <v>1</v>
      </c>
      <c r="AP11" s="126">
        <f t="shared" si="10"/>
        <v>0</v>
      </c>
      <c r="AQ11" s="127">
        <f t="shared" si="11"/>
        <v>90</v>
      </c>
      <c r="AR11" s="124">
        <f t="shared" si="12"/>
        <v>8</v>
      </c>
      <c r="AS11" s="128">
        <f>COUNTIF(Başvuru!$Q:$Q,$B11)</f>
        <v>9</v>
      </c>
      <c r="AT11" s="129">
        <f>COUNTIFS(Başvuru!$Q:$Q,$B11,Başvuru!$J:$J,"&lt;&gt;"&amp;$B11,Başvuru!$K:$K,"&lt;&gt;"&amp;$B11)</f>
        <v>0</v>
      </c>
    </row>
    <row r="12" spans="1:46" s="121" customFormat="1" ht="30" customHeight="1" x14ac:dyDescent="0.25">
      <c r="A12" s="122" t="s">
        <v>141</v>
      </c>
      <c r="B12" s="123" t="s">
        <v>83</v>
      </c>
      <c r="C12" s="124">
        <f>COUNTIF(Başvuru!J2:K1457,"Doç. Dr. Ekim GÜMELER")</f>
        <v>90</v>
      </c>
      <c r="D12" s="125">
        <f t="array" ref="D12">SUMPRODUCT(((Başvuru!J2:K1457)="Doç. Dr. Ekim GÜMELER")*(Başvuru!G2:G1457="Bireysel Araştırma")*(Başvuru!L2:L1457="ONAY"))</f>
        <v>39</v>
      </c>
      <c r="E12" s="125">
        <f t="array" ref="E12">SUMPRODUCT(((Başvuru!J2:K1457)="Doç. Dr. Ekim GÜMELER")*(Başvuru!G2:G1457="Bireysel Araştırma")*(Başvuru!L2:L1457="DÜZELTME"))</f>
        <v>19</v>
      </c>
      <c r="F12" s="125">
        <f t="array" ref="F12">SUMPRODUCT(((Başvuru!J2:K1457)="Doç. Dr. Ekim GÜMELER")*(Başvuru!G2:G1457="Bireysel Araştırma")*(Başvuru!L2:L1457="KAEK"))</f>
        <v>1</v>
      </c>
      <c r="G12" s="125">
        <f t="array" ref="G12">SUMPRODUCT(((Başvuru!J2:K1457)="Doç. Dr. Ekim GÜMELER")*(Başvuru!G2:G1457="Bireysel Araştırma")*(Başvuru!L2:L1457="GÖRÜŞ"))</f>
        <v>3</v>
      </c>
      <c r="H12" s="125">
        <f t="array" ref="H12">SUMPRODUCT(((Başvuru!J2:K1457)="Doç. Dr. Ekim GÜMELER")*(Başvuru!G2:G1457="Bireysel Araştırma")*(Başvuru!L2:L1457="RET"))</f>
        <v>0</v>
      </c>
      <c r="I12" s="125">
        <f t="array" ref="I12">SUMPRODUCT(((Başvuru!J2:K1457)="Doç. Dr. Ekim GÜMELER")*(Başvuru!G2:G1457="Bireysel Araştırma")*(Başvuru!L2:L1457="KAPSAM DIŞI"))</f>
        <v>0</v>
      </c>
      <c r="J12" s="125">
        <f t="array" ref="J12">SUMPRODUCT(((Başvuru!J2:K1457)="Doç. Dr. Ekim GÜMELER")*(Başvuru!G2:G1457="Bireysel Araştırma")*(Başvuru!L2:L1457="GERİ ÇEKİLDİ"))</f>
        <v>0</v>
      </c>
      <c r="K12" s="124">
        <f t="shared" si="0"/>
        <v>62</v>
      </c>
      <c r="L12" s="124">
        <f t="array" ref="L12">SUMPRODUCT(((Başvuru!J2:K1457)="Doç. Dr. Ekim GÜMELER")*(Başvuru!G2:G1457="Yüksek Lisans Tezi")*(Başvuru!L2:L1457="ONAY"))</f>
        <v>0</v>
      </c>
      <c r="M12" s="124">
        <f t="array" ref="M12">SUMPRODUCT(((Başvuru!J2:K1457)="Doç. Dr. Ekim GÜMELER")*(Başvuru!G2:G1457="Yüksek Lisans Tezi")*(Başvuru!L2:L1457="DÜZELTME"))</f>
        <v>0</v>
      </c>
      <c r="N12" s="124">
        <f t="array" ref="N12">SUMPRODUCT(((Başvuru!J2:K1457)="Doç. Dr. Ekim GÜMELER")*(Başvuru!G2:G1457="Yüksek Lisans Tezi")*(Başvuru!L2:L1457="KAEK"))</f>
        <v>0</v>
      </c>
      <c r="O12" s="124">
        <f t="array" ref="O12">SUMPRODUCT(((Başvuru!J2:K1457)="Doç. Dr. Ekim GÜMELER")*(Başvuru!G2:G1457="Yüksek Lisans Tezi")*(Başvuru!L2:L1457="GÖRÜŞ"))</f>
        <v>0</v>
      </c>
      <c r="P12" s="124">
        <f t="array" ref="P12">SUMPRODUCT(((Başvuru!J2:K1457)="Doç. Dr. Ekim GÜMELER")*(Başvuru!G2:G1457="Yüksek Lisans Tezi")*(Başvuru!L2:L1457="RET"))</f>
        <v>0</v>
      </c>
      <c r="Q12" s="124">
        <f t="array" ref="Q12">SUMPRODUCT(((Başvuru!J2:K1457)="Doç. Dr. Ekim GÜMELER")*(Başvuru!G2:G1457="Yüksek Lisans Tezi")*(Başvuru!L2:L1457="KAPSAM DIŞI"))</f>
        <v>0</v>
      </c>
      <c r="R12" s="124">
        <f t="array" ref="R12">SUMPRODUCT(((Başvuru!J2:K1457)="Doç. Dr. Ekim GÜMELER")*(Başvuru!G2:G1457="Yüksek Lisans Tezi")*(Başvuru!L2:L1457="GERİ ÇEKİLDİ"))</f>
        <v>0</v>
      </c>
      <c r="S12" s="124">
        <f t="shared" si="1"/>
        <v>0</v>
      </c>
      <c r="T12" s="124">
        <f t="array" ref="T12">SUMPRODUCT(((Başvuru!J2:K1457)="Doç. Dr. Ekim GÜMELER")*(Başvuru!G2:G1457="Doktora Tezi")*(Başvuru!L2:L1457="ONAY"))</f>
        <v>4</v>
      </c>
      <c r="U12" s="124">
        <f t="array" ref="U12">SUMPRODUCT(((Başvuru!J2:K1457)="Doç. Dr. Ekim GÜMELER")*(Başvuru!G2:G1457="Doktora Tezi")*(Başvuru!L2:L1457="DÜZELTME"))</f>
        <v>0</v>
      </c>
      <c r="V12" s="124">
        <f t="array" ref="V12">SUMPRODUCT(((Başvuru!J2:K1457)="Doç. Dr. Ekim GÜMELER")*(Başvuru!G2:G1457="Doktora Tezi")*(Başvuru!L2:L1457="KAEK"))</f>
        <v>0</v>
      </c>
      <c r="W12" s="124">
        <f t="array" ref="W12">SUMPRODUCT(((Başvuru!J2:K1457)="Doç. Dr. Ekim GÜMELER")*(Başvuru!G2:G1457="Doktora Tezi")*(Başvuru!L2:L1457="GÖRÜŞ"))</f>
        <v>2</v>
      </c>
      <c r="X12" s="124">
        <f t="array" ref="X12">SUMPRODUCT(((Başvuru!J2:K1457)="Doç. Dr. Ekim GÜMELER")*(Başvuru!G2:G1457="Doktora Tezi")*(Başvuru!L2:L1457="RET"))</f>
        <v>0</v>
      </c>
      <c r="Y12" s="124">
        <f t="array" ref="Y12">SUMPRODUCT(((Başvuru!J2:K1457)="Doç. Dr. Ekim GÜMELER")*(Başvuru!G2:G1457="Doktora Tezi")*(Başvuru!L2:L1457="KAPSAM DIŞI"))</f>
        <v>0</v>
      </c>
      <c r="Z12" s="124">
        <f t="array" ref="Z12">SUMPRODUCT(((Başvuru!J2:K1457)="Doç. Dr. Ekim GÜMELER")*(Başvuru!G2:G1457="Doktora Tezi")*(Başvuru!L2:L1457="GERİ ÇEKİLDİ"))</f>
        <v>0</v>
      </c>
      <c r="AA12" s="124">
        <f t="shared" si="2"/>
        <v>6</v>
      </c>
      <c r="AB12" s="124">
        <f t="array" ref="AB12">SUMPRODUCT(((Başvuru!J2:K1457)="Doç. Dr. Ekim GÜMELER")*(Başvuru!G2:G1457="Uzmanlık Tezi")*(Başvuru!L2:L1457="ONAY"))</f>
        <v>6</v>
      </c>
      <c r="AC12" s="124">
        <f t="array" ref="AC12">SUMPRODUCT(((Başvuru!J2:K1457)="Doç. Dr. Ekim GÜMELER")*(Başvuru!G2:G1457="Uzmanlık Tezi")*(Başvuru!L2:L1457="DÜZELTME"))</f>
        <v>5</v>
      </c>
      <c r="AD12" s="124">
        <f t="array" ref="AD12">SUMPRODUCT(((Başvuru!J2:K1457)="Doç. Dr. Ekim GÜMELER")*(Başvuru!G2:G1457="Uzmanlık Tezi")*(Başvuru!L2:L1457="KAEK"))</f>
        <v>0</v>
      </c>
      <c r="AE12" s="124">
        <f t="array" ref="AE12">SUMPRODUCT(((Başvuru!J2:K1457)="Doç. Dr. Ekim GÜMELER")*(Başvuru!G2:G1457="Uzmanlık Tezi")*(Başvuru!L2:L1457="GÖRÜŞ"))</f>
        <v>0</v>
      </c>
      <c r="AF12" s="124">
        <f t="array" ref="AF12">SUMPRODUCT(((Başvuru!J2:K1457)="Doç. Dr. Ekim GÜMELER")*(Başvuru!G2:G1457="Uzmanlık Tezi")*(Başvuru!L2:L1457="RET"))</f>
        <v>0</v>
      </c>
      <c r="AG12" s="124">
        <f t="array" ref="AG12">SUMPRODUCT(((Başvuru!J2:K1457)="Doç. Dr. Ekim GÜMELER")*(Başvuru!G2:G1457="Uzmanlık Tezi")*(Başvuru!L2:L1457="KAPSAM DIŞI"))</f>
        <v>2</v>
      </c>
      <c r="AH12" s="124">
        <f t="array" ref="AH12">SUMPRODUCT(((Başvuru!J2:K1457)="Doç. Dr. Ekim GÜMELER")*(Başvuru!G2:G1457="Uzmanlık Tezi")*(Başvuru!L2:L1457="GERİ ÇEKİLDİ"))</f>
        <v>0</v>
      </c>
      <c r="AI12" s="124">
        <f t="shared" si="3"/>
        <v>13</v>
      </c>
      <c r="AJ12" s="126">
        <f t="shared" si="4"/>
        <v>49</v>
      </c>
      <c r="AK12" s="126">
        <f t="shared" si="5"/>
        <v>24</v>
      </c>
      <c r="AL12" s="126">
        <f t="shared" si="6"/>
        <v>1</v>
      </c>
      <c r="AM12" s="126">
        <f t="shared" si="7"/>
        <v>5</v>
      </c>
      <c r="AN12" s="126">
        <f t="shared" si="8"/>
        <v>0</v>
      </c>
      <c r="AO12" s="126">
        <f t="shared" si="9"/>
        <v>2</v>
      </c>
      <c r="AP12" s="126">
        <f t="shared" si="10"/>
        <v>0</v>
      </c>
      <c r="AQ12" s="127">
        <f t="shared" si="11"/>
        <v>81</v>
      </c>
      <c r="AR12" s="124">
        <f t="shared" si="12"/>
        <v>9</v>
      </c>
      <c r="AS12" s="128">
        <f>COUNTIF(Başvuru!$Q:$Q,$B12)</f>
        <v>4</v>
      </c>
      <c r="AT12" s="129">
        <f>COUNTIFS(Başvuru!$Q:$Q,$B12,Başvuru!$J:$J,"&lt;&gt;"&amp;$B12,Başvuru!$K:$K,"&lt;&gt;"&amp;$B12)</f>
        <v>0</v>
      </c>
    </row>
    <row r="13" spans="1:46" s="121" customFormat="1" ht="30" customHeight="1" x14ac:dyDescent="0.25">
      <c r="A13" s="122" t="s">
        <v>147</v>
      </c>
      <c r="B13" s="123" t="s">
        <v>82</v>
      </c>
      <c r="C13" s="124">
        <f>COUNTIF(Başvuru!J2:K1457,"Dr. Öğr. Üyesi Müge DEMİR")</f>
        <v>95</v>
      </c>
      <c r="D13" s="125">
        <f t="array" ref="D13">SUMPRODUCT(((Başvuru!J2:K1457)="Dr. Öğr. Üyesi Müge DEMİR")*(Başvuru!G2:G1457="Bireysel Araştırma")*(Başvuru!L2:L1457="ONAY"))</f>
        <v>28</v>
      </c>
      <c r="E13" s="125">
        <f t="array" ref="E13">SUMPRODUCT(((Başvuru!J2:K1457)="Dr. Öğr. Üyesi Müge DEMİR")*(Başvuru!G2:G1457="Bireysel Araştırma")*(Başvuru!L2:L1457="DÜZELTME"))</f>
        <v>27</v>
      </c>
      <c r="F13" s="125">
        <f t="array" ref="F13">SUMPRODUCT(((Başvuru!J2:K1457)="Dr. Öğr. Üyesi Müge DEMİR")*(Başvuru!G2:G1457="Bireysel Araştırma")*(Başvuru!L2:L1457="KAEK"))</f>
        <v>4</v>
      </c>
      <c r="G13" s="125">
        <f t="array" ref="G13">SUMPRODUCT(((Başvuru!J2:K1457)="Dr. Öğr. Üyesi Müge DEMİR")*(Başvuru!G2:G1457="Bireysel Araştırma")*(Başvuru!L2:L1457="GÖRÜŞ"))</f>
        <v>0</v>
      </c>
      <c r="H13" s="125">
        <f t="array" ref="H13">SUMPRODUCT(((Başvuru!J2:K1457)="Dr. Öğr. Üyesi Müge DEMİR")*(Başvuru!G2:G1457="Bireysel Araştırma")*(Başvuru!L2:L1457="RET"))</f>
        <v>4</v>
      </c>
      <c r="I13" s="125">
        <f t="array" ref="I13">SUMPRODUCT(((Başvuru!J2:K1457)="Dr. Öğr. Üyesi Müge DEMİR")*(Başvuru!G2:G1457="Bireysel Araştırma")*(Başvuru!L2:L1457="KAPSAM DIŞI"))</f>
        <v>3</v>
      </c>
      <c r="J13" s="125">
        <f t="array" ref="J13">SUMPRODUCT(((Başvuru!J2:K1457)="Dr. Öğr. Üyesi Müge DEMİR")*(Başvuru!G2:G1457="Bireysel Araştırma")*(Başvuru!L2:L1457="GERİ ÇEKİLDİ"))</f>
        <v>0</v>
      </c>
      <c r="K13" s="124">
        <f t="shared" si="0"/>
        <v>66</v>
      </c>
      <c r="L13" s="124">
        <f t="array" ref="L13">SUMPRODUCT(((Başvuru!J2:K1457)="Dr. Öğr. Üyesi Müge DEMİR")*(Başvuru!G2:G1457="Yüksek Lisans Tezi")*(Başvuru!L2:L1457="ONAY"))</f>
        <v>1</v>
      </c>
      <c r="M13" s="124">
        <f t="array" ref="M13">SUMPRODUCT(((Başvuru!J2:K1457)="Dr. Öğr. Üyesi Müge DEMİR")*(Başvuru!G2:G1457="Yüksek Lisans Tezi")*(Başvuru!L2:L1457="DÜZELTME"))</f>
        <v>1</v>
      </c>
      <c r="N13" s="124">
        <f t="array" ref="N13">SUMPRODUCT(((Başvuru!J2:K1457)="Dr. Öğr. Üyesi Müge DEMİR")*(Başvuru!G2:G1457="Yüksek Lisans Tezi")*(Başvuru!L2:L1457="KAEK"))</f>
        <v>0</v>
      </c>
      <c r="O13" s="124">
        <f t="array" ref="O13">SUMPRODUCT(((Başvuru!J2:K1457)="Dr. Öğr. Üyesi Müge DEMİR")*(Başvuru!G2:G1457="Yüksek Lisans Tezi")*(Başvuru!L2:L1457="GÖRÜŞ"))</f>
        <v>0</v>
      </c>
      <c r="P13" s="124">
        <f t="array" ref="P13">SUMPRODUCT(((Başvuru!J2:K1457)="Dr. Öğr. Üyesi Müge DEMİR")*(Başvuru!G2:G1457="Yüksek Lisans Tezi")*(Başvuru!L2:L1457="RET"))</f>
        <v>0</v>
      </c>
      <c r="Q13" s="124">
        <f t="array" ref="Q13">SUMPRODUCT(((Başvuru!J2:K1457)="Dr. Öğr. Üyesi Müge DEMİR")*(Başvuru!G2:G1457="Yüksek Lisans Tezi")*(Başvuru!L2:L1457="KAPSAM DIŞI"))</f>
        <v>0</v>
      </c>
      <c r="R13" s="124">
        <f t="array" ref="R13">SUMPRODUCT(((Başvuru!J2:K1457)="Dr. Öğr. Üyesi Müge DEMİR")*(Başvuru!G2:G1457="Yüksek Lisans Tezi")*(Başvuru!L2:L1457="GERİ ÇEKİLDİ"))</f>
        <v>0</v>
      </c>
      <c r="S13" s="124">
        <f t="shared" si="1"/>
        <v>2</v>
      </c>
      <c r="T13" s="124">
        <f t="array" ref="T13">SUMPRODUCT(((Başvuru!J2:K1457)="Dr. Öğr. Üyesi Müge DEMİR")*(Başvuru!G2:G1457="Doktora Tezi")*(Başvuru!L2:L1457="ONAY"))</f>
        <v>4</v>
      </c>
      <c r="U13" s="124">
        <f t="array" ref="U13">SUMPRODUCT(((Başvuru!J2:K1457)="Dr. Öğr. Üyesi Müge DEMİR")*(Başvuru!G2:G1457="Doktora Tezi")*(Başvuru!L2:L1457="DÜZELTME"))</f>
        <v>0</v>
      </c>
      <c r="V13" s="124">
        <f t="array" ref="V13">SUMPRODUCT(((Başvuru!J2:K1457)="Dr. Öğr. Üyesi Müge DEMİR")*(Başvuru!G2:G1457="Doktora Tezi")*(Başvuru!L2:L1457="KAEK"))</f>
        <v>0</v>
      </c>
      <c r="W13" s="124">
        <f t="array" ref="W13">SUMPRODUCT(((Başvuru!J2:K1457)="Dr. Öğr. Üyesi Müge DEMİR")*(Başvuru!G2:G1457="Doktora Tezi")*(Başvuru!L2:L1457="GÖRÜŞ"))</f>
        <v>0</v>
      </c>
      <c r="X13" s="124">
        <f t="array" ref="X13">SUMPRODUCT(((Başvuru!J2:K1457)="Dr. Öğr. Üyesi Müge DEMİR")*(Başvuru!G2:G1457="Doktora Tezi")*(Başvuru!L2:L1457="RET"))</f>
        <v>0</v>
      </c>
      <c r="Y13" s="124">
        <f t="array" ref="Y13">SUMPRODUCT(((Başvuru!J2:K1457)="Dr. Öğr. Üyesi Müge DEMİR")*(Başvuru!G2:G1457="Doktora Tezi")*(Başvuru!L2:L1457="KAPSAM DIŞI"))</f>
        <v>0</v>
      </c>
      <c r="Z13" s="124">
        <f t="array" ref="Z13">SUMPRODUCT(((Başvuru!J2:K1457)="Dr. Öğr. Üyesi Müge DEMİR")*(Başvuru!G2:G1457="Doktora Tezi")*(Başvuru!L2:L1457="GERİ ÇEKİLDİ"))</f>
        <v>0</v>
      </c>
      <c r="AA13" s="124">
        <f t="shared" si="2"/>
        <v>4</v>
      </c>
      <c r="AB13" s="124">
        <f t="array" ref="AB13">SUMPRODUCT(((Başvuru!J2:K1457)="Dr. Öğr. Üyesi Müge DEMİR")*(Başvuru!G2:G1457="Uzmanlık Tezi")*(Başvuru!L2:L1457="ONAY"))</f>
        <v>5</v>
      </c>
      <c r="AC13" s="124">
        <f t="array" ref="AC13">SUMPRODUCT(((Başvuru!J2:K1457)="Dr. Öğr. Üyesi Müge DEMİR")*(Başvuru!G2:G1457="Uzmanlık Tezi")*(Başvuru!L2:L1457="DÜZELTME"))</f>
        <v>3</v>
      </c>
      <c r="AD13" s="124">
        <f t="array" ref="AD13">SUMPRODUCT(((Başvuru!J2:K1457)="Dr. Öğr. Üyesi Müge DEMİR")*(Başvuru!G2:G1457="Uzmanlık Tezi")*(Başvuru!L2:L1457="KAEK"))</f>
        <v>2</v>
      </c>
      <c r="AE13" s="124">
        <f t="array" ref="AE13">SUMPRODUCT(((Başvuru!J2:K1457)="Dr. Öğr. Üyesi Müge DEMİR")*(Başvuru!G2:G1457="Uzmanlık Tezi")*(Başvuru!L2:L1457="GÖRÜŞ"))</f>
        <v>0</v>
      </c>
      <c r="AF13" s="124">
        <f t="array" ref="AF13">SUMPRODUCT(((Başvuru!J2:K1457)="Dr. Öğr. Üyesi Müge DEMİR")*(Başvuru!G2:G1457="Uzmanlık Tezi")*(Başvuru!L2:L1457="RET"))</f>
        <v>2</v>
      </c>
      <c r="AG13" s="124">
        <f t="array" ref="AG13">SUMPRODUCT(((Başvuru!J2:K1457)="Dr. Öğr. Üyesi Müge DEMİR")*(Başvuru!G2:G1457="Uzmanlık Tezi")*(Başvuru!L2:L1457="KAPSAM DIŞI"))</f>
        <v>0</v>
      </c>
      <c r="AH13" s="124">
        <f t="array" ref="AH13">SUMPRODUCT(((Başvuru!J2:K1457)="Dr. Öğr. Üyesi Müge DEMİR")*(Başvuru!G2:G1457="Uzmanlık Tezi")*(Başvuru!L2:L1457="GERİ ÇEKİLDİ"))</f>
        <v>0</v>
      </c>
      <c r="AI13" s="124">
        <f t="shared" si="3"/>
        <v>12</v>
      </c>
      <c r="AJ13" s="126">
        <f t="shared" si="4"/>
        <v>38</v>
      </c>
      <c r="AK13" s="126">
        <f t="shared" si="5"/>
        <v>31</v>
      </c>
      <c r="AL13" s="126">
        <f t="shared" si="6"/>
        <v>6</v>
      </c>
      <c r="AM13" s="126">
        <f t="shared" si="7"/>
        <v>0</v>
      </c>
      <c r="AN13" s="126">
        <f t="shared" si="8"/>
        <v>6</v>
      </c>
      <c r="AO13" s="126">
        <f t="shared" si="9"/>
        <v>3</v>
      </c>
      <c r="AP13" s="126">
        <f t="shared" si="10"/>
        <v>0</v>
      </c>
      <c r="AQ13" s="127">
        <f t="shared" si="11"/>
        <v>84</v>
      </c>
      <c r="AR13" s="124">
        <f t="shared" si="12"/>
        <v>11</v>
      </c>
      <c r="AS13" s="128">
        <f>COUNTIF(Başvuru!$Q:$Q,$B13)</f>
        <v>22</v>
      </c>
      <c r="AT13" s="129">
        <f>COUNTIFS(Başvuru!$Q:$Q,$B13,Başvuru!$J:$J,"&lt;&gt;"&amp;$B13,Başvuru!$K:$K,"&lt;&gt;"&amp;$B13)</f>
        <v>5</v>
      </c>
    </row>
    <row r="14" spans="1:46" s="137" customFormat="1" ht="30" customHeight="1" x14ac:dyDescent="0.25">
      <c r="A14" s="304" t="s">
        <v>4</v>
      </c>
      <c r="B14" s="305"/>
      <c r="C14" s="130">
        <f t="shared" ref="C14:AP14" si="13">SUM(C2:C13)</f>
        <v>1076</v>
      </c>
      <c r="D14" s="130">
        <f t="shared" si="13"/>
        <v>406</v>
      </c>
      <c r="E14" s="130">
        <f t="shared" si="13"/>
        <v>230</v>
      </c>
      <c r="F14" s="130">
        <f t="shared" si="13"/>
        <v>10</v>
      </c>
      <c r="G14" s="130">
        <f t="shared" si="13"/>
        <v>34</v>
      </c>
      <c r="H14" s="130">
        <f t="shared" si="13"/>
        <v>30</v>
      </c>
      <c r="I14" s="130">
        <f t="shared" si="13"/>
        <v>10</v>
      </c>
      <c r="J14" s="130">
        <f t="shared" si="13"/>
        <v>0</v>
      </c>
      <c r="K14" s="131">
        <f t="shared" si="13"/>
        <v>720</v>
      </c>
      <c r="L14" s="130">
        <f t="shared" si="13"/>
        <v>4</v>
      </c>
      <c r="M14" s="130">
        <f t="shared" si="13"/>
        <v>14</v>
      </c>
      <c r="N14" s="130">
        <f t="shared" si="13"/>
        <v>0</v>
      </c>
      <c r="O14" s="130">
        <f t="shared" si="13"/>
        <v>0</v>
      </c>
      <c r="P14" s="130">
        <f t="shared" si="13"/>
        <v>2</v>
      </c>
      <c r="Q14" s="130">
        <f t="shared" si="13"/>
        <v>0</v>
      </c>
      <c r="R14" s="130">
        <f t="shared" si="13"/>
        <v>0</v>
      </c>
      <c r="S14" s="131">
        <f t="shared" si="13"/>
        <v>20</v>
      </c>
      <c r="T14" s="130">
        <f t="shared" si="13"/>
        <v>26</v>
      </c>
      <c r="U14" s="130">
        <f t="shared" si="13"/>
        <v>22</v>
      </c>
      <c r="V14" s="130">
        <f t="shared" si="13"/>
        <v>0</v>
      </c>
      <c r="W14" s="130">
        <f t="shared" si="13"/>
        <v>6</v>
      </c>
      <c r="X14" s="130">
        <f t="shared" si="13"/>
        <v>0</v>
      </c>
      <c r="Y14" s="130">
        <f t="shared" si="13"/>
        <v>0</v>
      </c>
      <c r="Z14" s="130">
        <f t="shared" si="13"/>
        <v>0</v>
      </c>
      <c r="AA14" s="131">
        <f t="shared" si="13"/>
        <v>54</v>
      </c>
      <c r="AB14" s="130">
        <f t="shared" si="13"/>
        <v>96</v>
      </c>
      <c r="AC14" s="130">
        <f t="shared" si="13"/>
        <v>64</v>
      </c>
      <c r="AD14" s="130">
        <f t="shared" si="13"/>
        <v>4</v>
      </c>
      <c r="AE14" s="130">
        <f t="shared" si="13"/>
        <v>6</v>
      </c>
      <c r="AF14" s="130">
        <f t="shared" si="13"/>
        <v>4</v>
      </c>
      <c r="AG14" s="130">
        <f t="shared" si="13"/>
        <v>4</v>
      </c>
      <c r="AH14" s="130">
        <f t="shared" si="13"/>
        <v>0</v>
      </c>
      <c r="AI14" s="131">
        <f t="shared" si="13"/>
        <v>178</v>
      </c>
      <c r="AJ14" s="132">
        <f t="shared" si="13"/>
        <v>532</v>
      </c>
      <c r="AK14" s="132">
        <f t="shared" si="13"/>
        <v>330</v>
      </c>
      <c r="AL14" s="132">
        <f t="shared" si="13"/>
        <v>14</v>
      </c>
      <c r="AM14" s="132">
        <f t="shared" si="13"/>
        <v>46</v>
      </c>
      <c r="AN14" s="132">
        <f t="shared" si="13"/>
        <v>36</v>
      </c>
      <c r="AO14" s="132">
        <f t="shared" si="13"/>
        <v>14</v>
      </c>
      <c r="AP14" s="132">
        <f t="shared" si="13"/>
        <v>0</v>
      </c>
      <c r="AQ14" s="133">
        <f t="shared" si="11"/>
        <v>972</v>
      </c>
      <c r="AR14" s="134">
        <f>SUM(AR2:AR13)</f>
        <v>104</v>
      </c>
      <c r="AS14" s="135">
        <f>SUM(AS2:AS13)</f>
        <v>115</v>
      </c>
      <c r="AT14" s="136">
        <f>SUM(AT2:AT13)</f>
        <v>8</v>
      </c>
    </row>
    <row r="15" spans="1:46" s="137" customFormat="1" ht="33" customHeight="1" x14ac:dyDescent="0.25">
      <c r="A15" s="138"/>
      <c r="B15" s="138"/>
      <c r="C15" s="131">
        <f>C14/2</f>
        <v>538</v>
      </c>
      <c r="D15" s="139"/>
      <c r="E15" s="140"/>
      <c r="F15" s="140"/>
      <c r="G15" s="140"/>
      <c r="H15" s="140"/>
      <c r="I15" s="140"/>
      <c r="J15" s="140"/>
      <c r="K15" s="141"/>
      <c r="L15" s="139"/>
      <c r="M15" s="140"/>
      <c r="N15" s="140"/>
      <c r="O15" s="140"/>
      <c r="P15" s="140"/>
      <c r="Q15" s="140"/>
      <c r="R15" s="140"/>
      <c r="S15" s="142"/>
      <c r="T15" s="139"/>
      <c r="U15" s="140"/>
      <c r="V15" s="140"/>
      <c r="W15" s="140"/>
      <c r="X15" s="140"/>
      <c r="Y15" s="140"/>
      <c r="Z15" s="140"/>
      <c r="AA15" s="142"/>
      <c r="AB15" s="139"/>
      <c r="AC15" s="140"/>
      <c r="AD15" s="140"/>
      <c r="AE15" s="140"/>
      <c r="AF15" s="140"/>
      <c r="AG15" s="140"/>
      <c r="AH15" s="140"/>
      <c r="AI15" s="142"/>
      <c r="AJ15" s="138"/>
      <c r="AK15" s="138"/>
      <c r="AL15" s="138"/>
      <c r="AM15" s="138"/>
      <c r="AN15" s="138"/>
      <c r="AO15" s="138"/>
      <c r="AP15" s="138"/>
      <c r="AQ15" s="138"/>
      <c r="AR15" s="131">
        <f>AR14/2</f>
        <v>52</v>
      </c>
      <c r="AS15" s="107"/>
      <c r="AT15" s="107"/>
    </row>
    <row r="19" spans="1:3" ht="30" customHeight="1" x14ac:dyDescent="0.3">
      <c r="A19" s="143" t="s">
        <v>3717</v>
      </c>
      <c r="B19" s="110" t="s">
        <v>3762</v>
      </c>
      <c r="C19" s="110" t="s">
        <v>3719</v>
      </c>
    </row>
    <row r="20" spans="1:3" ht="30" customHeight="1" x14ac:dyDescent="0.3">
      <c r="A20" s="144" t="s">
        <v>58</v>
      </c>
      <c r="B20" s="123" t="s">
        <v>34</v>
      </c>
      <c r="C20" s="145">
        <f>COUNTIF(Başvuru!G2:G1457,"Bireysel Araştırma")</f>
        <v>435</v>
      </c>
    </row>
    <row r="21" spans="1:3" ht="30" customHeight="1" x14ac:dyDescent="0.3">
      <c r="A21" s="146" t="s">
        <v>68</v>
      </c>
      <c r="B21" s="147" t="s">
        <v>36</v>
      </c>
      <c r="C21" s="148">
        <f>COUNTIF(Başvuru!G2:G1457,"Yüksek Lisans Tezi")</f>
        <v>14</v>
      </c>
    </row>
    <row r="22" spans="1:3" ht="30" customHeight="1" x14ac:dyDescent="0.3">
      <c r="A22" s="144" t="s">
        <v>76</v>
      </c>
      <c r="B22" s="123" t="s">
        <v>37</v>
      </c>
      <c r="C22" s="145">
        <f>COUNTIF(Başvuru!G2:G1457,"Doktora Tezi")</f>
        <v>29</v>
      </c>
    </row>
    <row r="23" spans="1:3" ht="30" customHeight="1" x14ac:dyDescent="0.3">
      <c r="A23" s="146" t="s">
        <v>85</v>
      </c>
      <c r="B23" s="147" t="s">
        <v>35</v>
      </c>
      <c r="C23" s="148">
        <f>COUNTIF(Başvuru!G2:G1457,"Uzmanlık Tezi")</f>
        <v>100</v>
      </c>
    </row>
    <row r="24" spans="1:3" ht="30" customHeight="1" x14ac:dyDescent="0.3">
      <c r="A24" s="306" t="s">
        <v>4</v>
      </c>
      <c r="B24" s="305"/>
      <c r="C24" s="110">
        <f>SUM(C20:C23)</f>
        <v>578</v>
      </c>
    </row>
    <row r="25" spans="1:3" ht="30" customHeight="1" x14ac:dyDescent="0.3">
      <c r="B25" s="121"/>
      <c r="C25" s="121"/>
    </row>
    <row r="26" spans="1:3" ht="30" customHeight="1" x14ac:dyDescent="0.3">
      <c r="A26" s="143" t="s">
        <v>3717</v>
      </c>
      <c r="B26" s="110" t="s">
        <v>3763</v>
      </c>
      <c r="C26" s="110" t="s">
        <v>3719</v>
      </c>
    </row>
    <row r="27" spans="1:3" ht="30" customHeight="1" x14ac:dyDescent="0.3">
      <c r="A27" s="144" t="s">
        <v>58</v>
      </c>
      <c r="B27" s="149" t="s">
        <v>3706</v>
      </c>
      <c r="C27" s="145">
        <f>COUNTIF(Başvuru!L2:L1457,"ONAY")</f>
        <v>266</v>
      </c>
    </row>
    <row r="28" spans="1:3" ht="30" customHeight="1" x14ac:dyDescent="0.3">
      <c r="A28" s="144" t="s">
        <v>68</v>
      </c>
      <c r="B28" s="149" t="s">
        <v>3707</v>
      </c>
      <c r="C28" s="145">
        <f>COUNTIF(Başvuru!L2:L1457,"DÜZELTME")</f>
        <v>165</v>
      </c>
    </row>
    <row r="29" spans="1:3" ht="30" customHeight="1" x14ac:dyDescent="0.3">
      <c r="A29" s="144" t="s">
        <v>76</v>
      </c>
      <c r="B29" s="149" t="s">
        <v>229</v>
      </c>
      <c r="C29" s="145">
        <f>COUNTIF(Başvuru!L2:L1457,"KAEK")</f>
        <v>7</v>
      </c>
    </row>
    <row r="30" spans="1:3" ht="30" customHeight="1" x14ac:dyDescent="0.3">
      <c r="A30" s="144" t="s">
        <v>85</v>
      </c>
      <c r="B30" s="149" t="s">
        <v>3708</v>
      </c>
      <c r="C30" s="145">
        <f>COUNTIF(Başvuru!L2:L1457,"GÖRÜŞ")</f>
        <v>23</v>
      </c>
    </row>
    <row r="31" spans="1:3" ht="30" customHeight="1" x14ac:dyDescent="0.3">
      <c r="A31" s="144" t="s">
        <v>95</v>
      </c>
      <c r="B31" s="149" t="s">
        <v>3709</v>
      </c>
      <c r="C31" s="145">
        <f>COUNTIF(Başvuru!L2:L1457,"RET")</f>
        <v>18</v>
      </c>
    </row>
    <row r="32" spans="1:3" ht="30" customHeight="1" x14ac:dyDescent="0.3">
      <c r="A32" s="144" t="s">
        <v>104</v>
      </c>
      <c r="B32" s="149" t="s">
        <v>3710</v>
      </c>
      <c r="C32" s="145">
        <f>COUNTIF(Başvuru!L2:L1457,"KAPSAM DIŞI")</f>
        <v>7</v>
      </c>
    </row>
    <row r="33" spans="1:3" ht="30" customHeight="1" x14ac:dyDescent="0.3">
      <c r="A33" s="144" t="s">
        <v>112</v>
      </c>
      <c r="B33" s="149" t="s">
        <v>3711</v>
      </c>
      <c r="C33" s="145">
        <f>COUNTIF(Başvuru!L2:L1457,"GERİ ÇEKİLDİ")</f>
        <v>0</v>
      </c>
    </row>
    <row r="34" spans="1:3" ht="30" customHeight="1" x14ac:dyDescent="0.3">
      <c r="A34" s="306" t="s">
        <v>4</v>
      </c>
      <c r="B34" s="305"/>
      <c r="C34" s="110">
        <f>SUM(C27:C33)</f>
        <v>486</v>
      </c>
    </row>
  </sheetData>
  <mergeCells count="3">
    <mergeCell ref="A14:B14"/>
    <mergeCell ref="A24:B24"/>
    <mergeCell ref="A34:B34"/>
  </mergeCells>
  <conditionalFormatting sqref="A20:C23">
    <cfRule type="expression" dxfId="15" priority="3">
      <formula>" =ÇİFTMİ(SATIR())"</formula>
    </cfRule>
  </conditionalFormatting>
  <conditionalFormatting sqref="A27:C33">
    <cfRule type="expression" dxfId="14" priority="4">
      <formula>ISEVEN(ROW())</formula>
    </cfRule>
  </conditionalFormatting>
  <conditionalFormatting sqref="A2:AI13">
    <cfRule type="expression" dxfId="13" priority="5">
      <formula>ISODD(ROW())</formula>
    </cfRule>
  </conditionalFormatting>
  <conditionalFormatting sqref="AR2:AR13">
    <cfRule type="expression" dxfId="12" priority="2">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AQ36"/>
  <sheetViews>
    <sheetView showZeros="0" topLeftCell="A7" zoomScale="50" zoomScaleNormal="50" workbookViewId="0">
      <selection activeCell="D52" sqref="D52"/>
    </sheetView>
  </sheetViews>
  <sheetFormatPr defaultColWidth="9.140625" defaultRowHeight="15.75" x14ac:dyDescent="0.25"/>
  <cols>
    <col min="1" max="1" width="9.140625" style="26" customWidth="1"/>
    <col min="2" max="2" width="58.42578125" style="26" customWidth="1"/>
    <col min="3" max="3" width="21.28515625" style="26" customWidth="1"/>
    <col min="4" max="35" width="9.7109375" style="26" customWidth="1"/>
    <col min="36" max="36" width="11" style="26" customWidth="1"/>
    <col min="37" max="42" width="9.7109375" style="26" customWidth="1"/>
    <col min="43" max="43" width="12.85546875" style="26" customWidth="1"/>
    <col min="44" max="44" width="9.140625" style="26" customWidth="1"/>
    <col min="45" max="16384" width="9.140625" style="26"/>
  </cols>
  <sheetData>
    <row r="1" spans="1:43" s="121" customFormat="1" ht="30" customHeight="1" x14ac:dyDescent="0.25">
      <c r="A1" s="312" t="s">
        <v>3717</v>
      </c>
      <c r="B1" s="312" t="s">
        <v>3718</v>
      </c>
      <c r="C1" s="312" t="s">
        <v>3719</v>
      </c>
      <c r="D1" s="315" t="s">
        <v>34</v>
      </c>
      <c r="E1" s="316"/>
      <c r="F1" s="316"/>
      <c r="G1" s="316"/>
      <c r="H1" s="316"/>
      <c r="I1" s="316"/>
      <c r="J1" s="316"/>
      <c r="K1" s="317"/>
      <c r="L1" s="315" t="s">
        <v>36</v>
      </c>
      <c r="M1" s="316"/>
      <c r="N1" s="316"/>
      <c r="O1" s="316"/>
      <c r="P1" s="316"/>
      <c r="Q1" s="316"/>
      <c r="R1" s="316"/>
      <c r="S1" s="317"/>
      <c r="T1" s="315" t="s">
        <v>37</v>
      </c>
      <c r="U1" s="316"/>
      <c r="V1" s="316"/>
      <c r="W1" s="316"/>
      <c r="X1" s="316"/>
      <c r="Y1" s="316"/>
      <c r="Z1" s="316"/>
      <c r="AA1" s="317"/>
      <c r="AB1" s="315" t="s">
        <v>35</v>
      </c>
      <c r="AC1" s="316"/>
      <c r="AD1" s="316"/>
      <c r="AE1" s="316"/>
      <c r="AF1" s="316"/>
      <c r="AG1" s="316"/>
      <c r="AH1" s="316"/>
      <c r="AI1" s="317"/>
      <c r="AJ1" s="319" t="s">
        <v>4</v>
      </c>
      <c r="AK1" s="320"/>
      <c r="AL1" s="320"/>
      <c r="AM1" s="320"/>
      <c r="AN1" s="320"/>
      <c r="AO1" s="320"/>
      <c r="AP1" s="320"/>
      <c r="AQ1" s="321"/>
    </row>
    <row r="2" spans="1:43" s="121" customFormat="1" ht="111.75" customHeight="1" x14ac:dyDescent="0.25">
      <c r="A2" s="313"/>
      <c r="B2" s="313"/>
      <c r="C2" s="313"/>
      <c r="D2" s="151" t="s">
        <v>3706</v>
      </c>
      <c r="E2" s="151" t="s">
        <v>3707</v>
      </c>
      <c r="F2" s="151" t="s">
        <v>229</v>
      </c>
      <c r="G2" s="151" t="s">
        <v>3708</v>
      </c>
      <c r="H2" s="151" t="s">
        <v>3709</v>
      </c>
      <c r="I2" s="151" t="s">
        <v>3710</v>
      </c>
      <c r="J2" s="151" t="s">
        <v>3711</v>
      </c>
      <c r="K2" s="152" t="s">
        <v>4</v>
      </c>
      <c r="L2" s="153" t="s">
        <v>3706</v>
      </c>
      <c r="M2" s="151" t="s">
        <v>3707</v>
      </c>
      <c r="N2" s="151" t="s">
        <v>229</v>
      </c>
      <c r="O2" s="151" t="s">
        <v>3708</v>
      </c>
      <c r="P2" s="151" t="s">
        <v>3709</v>
      </c>
      <c r="Q2" s="151" t="s">
        <v>3710</v>
      </c>
      <c r="R2" s="151" t="s">
        <v>3711</v>
      </c>
      <c r="S2" s="154" t="s">
        <v>4</v>
      </c>
      <c r="T2" s="151" t="s">
        <v>3706</v>
      </c>
      <c r="U2" s="151" t="s">
        <v>3707</v>
      </c>
      <c r="V2" s="151" t="s">
        <v>229</v>
      </c>
      <c r="W2" s="151" t="s">
        <v>3708</v>
      </c>
      <c r="X2" s="151" t="s">
        <v>3709</v>
      </c>
      <c r="Y2" s="151" t="s">
        <v>3710</v>
      </c>
      <c r="Z2" s="151" t="s">
        <v>3711</v>
      </c>
      <c r="AA2" s="155" t="s">
        <v>4</v>
      </c>
      <c r="AB2" s="151" t="s">
        <v>3706</v>
      </c>
      <c r="AC2" s="151" t="s">
        <v>3707</v>
      </c>
      <c r="AD2" s="151" t="s">
        <v>229</v>
      </c>
      <c r="AE2" s="151" t="s">
        <v>3708</v>
      </c>
      <c r="AF2" s="151" t="s">
        <v>3709</v>
      </c>
      <c r="AG2" s="151" t="s">
        <v>3710</v>
      </c>
      <c r="AH2" s="151" t="s">
        <v>3711</v>
      </c>
      <c r="AI2" s="155" t="s">
        <v>4</v>
      </c>
      <c r="AJ2" s="156" t="s">
        <v>3706</v>
      </c>
      <c r="AK2" s="156" t="s">
        <v>3707</v>
      </c>
      <c r="AL2" s="156" t="s">
        <v>229</v>
      </c>
      <c r="AM2" s="156" t="s">
        <v>3708</v>
      </c>
      <c r="AN2" s="156" t="s">
        <v>3709</v>
      </c>
      <c r="AO2" s="156" t="s">
        <v>3710</v>
      </c>
      <c r="AP2" s="156" t="s">
        <v>3711</v>
      </c>
      <c r="AQ2" s="156" t="s">
        <v>4</v>
      </c>
    </row>
    <row r="3" spans="1:43" s="121" customFormat="1" ht="30.75" customHeight="1" x14ac:dyDescent="0.25">
      <c r="A3" s="122" t="s">
        <v>58</v>
      </c>
      <c r="B3" s="123" t="s">
        <v>64</v>
      </c>
      <c r="C3" s="124">
        <f>COUNTIF(Başvuru!$J:$K, $B3)</f>
        <v>91</v>
      </c>
      <c r="D3" s="124">
        <f>COUNTIFS(Başvuru!$G:$G, "Bireysel Araştırma", Başvuru!$L:$L, D$2, Başvuru!$J:$J, $B3) + COUNTIFS(Başvuru!$G:$G, "Bireysel Araştırma", Başvuru!$L:$L, D$2, Başvuru!$K:$K, $B3)</f>
        <v>33</v>
      </c>
      <c r="E3" s="124">
        <f>COUNTIFS(Başvuru!$G:$G, "Bireysel Araştırma", Başvuru!$L:$L, E$2, Başvuru!$J:$J, $B3) + COUNTIFS(Başvuru!$G:$G, "Bireysel Araştırma", Başvuru!$L:$L, E$2, Başvuru!$K:$K, $B3)</f>
        <v>22</v>
      </c>
      <c r="F3" s="124">
        <f>COUNTIFS(Başvuru!$G:$G, "Bireysel Araştırma", Başvuru!$L:$L, F$2, Başvuru!$J:$J, $B3) + COUNTIFS(Başvuru!$G:$G, "Bireysel Araştırma", Başvuru!$L:$L, F$2, Başvuru!$K:$K, $B3)</f>
        <v>0</v>
      </c>
      <c r="G3" s="124">
        <f>COUNTIFS(Başvuru!$G:$G, "Bireysel Araştırma", Başvuru!$L:$L, G$2, Başvuru!$J:$J, $B3) + COUNTIFS(Başvuru!$G:$G, "Bireysel Araştırma", Başvuru!$L:$L, G$2, Başvuru!$K:$K, $B3)</f>
        <v>3</v>
      </c>
      <c r="H3" s="124">
        <f>COUNTIFS(Başvuru!$G:$G, "Bireysel Araştırma", Başvuru!$L:$L, H$2, Başvuru!$J:$J, $B3) + COUNTIFS(Başvuru!$G:$G, "Bireysel Araştırma", Başvuru!$L:$L, H$2, Başvuru!$K:$K, $B3)</f>
        <v>3</v>
      </c>
      <c r="I3" s="124">
        <f>COUNTIFS(Başvuru!$G:$G, "Bireysel Araştırma", Başvuru!$L:$L, I$2, Başvuru!$J:$J, $B3) + COUNTIFS(Başvuru!$G:$G, "Bireysel Araştırma", Başvuru!$L:$L, I$2, Başvuru!$K:$K, $B3)</f>
        <v>0</v>
      </c>
      <c r="J3" s="124">
        <f>COUNTIFS(Başvuru!$G:$G, "Bireysel Araştırma", Başvuru!$L:$L, J$2, Başvuru!$J:$J, $B3) + COUNTIFS(Başvuru!$G:$G, "Bireysel Araştırma", Başvuru!$L:$L, J$2, Başvuru!$K:$K, $B3)</f>
        <v>0</v>
      </c>
      <c r="K3" s="124">
        <f t="shared" ref="K3:K14" si="0">SUM(D3:J3)</f>
        <v>61</v>
      </c>
      <c r="L3" s="124">
        <f>COUNTIFS(Başvuru!$G:$G, "Yüksek Lisans Tezi", Başvuru!$L:$L, L$2, Başvuru!$J:$J, $B3) + COUNTIFS(Başvuru!$G:$G, "Yüksek Lisans Tezi", Başvuru!$L:$L, L$2, Başvuru!$K:$K, $B3)</f>
        <v>0</v>
      </c>
      <c r="M3" s="124">
        <f>COUNTIFS(Başvuru!$G:$G, "Yüksek Lisans Tezi", Başvuru!$L:$L, M$2, Başvuru!$J:$J, $B3) + COUNTIFS(Başvuru!$G:$G, "Yüksek Lisans Tezi", Başvuru!$L:$L, M$2, Başvuru!$K:$K, $B3)</f>
        <v>4</v>
      </c>
      <c r="N3" s="124">
        <f>COUNTIFS(Başvuru!$G:$G, "Yüksek Lisans Tezi", Başvuru!$L:$L, N$2, Başvuru!$J:$J, $B3) + COUNTIFS(Başvuru!$G:$G, "Yüksek Lisans Tezi", Başvuru!$L:$L, N$2, Başvuru!$K:$K, $B3)</f>
        <v>0</v>
      </c>
      <c r="O3" s="124">
        <f>COUNTIFS(Başvuru!$G:$G, "Yüksek Lisans Tezi", Başvuru!$L:$L, O$2, Başvuru!$J:$J, $B3) + COUNTIFS(Başvuru!$G:$G, "Yüksek Lisans Tezi", Başvuru!$L:$L, O$2, Başvuru!$K:$K, $B3)</f>
        <v>0</v>
      </c>
      <c r="P3" s="124">
        <f>COUNTIFS(Başvuru!$G:$G, "Yüksek Lisans Tezi", Başvuru!$L:$L, P$2, Başvuru!$J:$J, $B3) + COUNTIFS(Başvuru!$G:$G, "Yüksek Lisans Tezi", Başvuru!$L:$L, P$2, Başvuru!$K:$K, $B3)</f>
        <v>0</v>
      </c>
      <c r="Q3" s="124">
        <f>COUNTIFS(Başvuru!$G:$G, "Yüksek Lisans Tezi", Başvuru!$L:$L, Q$2, Başvuru!$J:$J, $B3) + COUNTIFS(Başvuru!$G:$G, "Yüksek Lisans Tezi", Başvuru!$L:$L, Q$2, Başvuru!$K:$K, $B3)</f>
        <v>0</v>
      </c>
      <c r="R3" s="124">
        <f>COUNTIFS(Başvuru!$G:$G, "Yüksek Lisans Tezi", Başvuru!$L:$L, R$2, Başvuru!$J:$J, $B3) + COUNTIFS(Başvuru!$G:$G, "Yüksek Lisans Tezi", Başvuru!$L:$L, R$2, Başvuru!$K:$K, $B3)</f>
        <v>0</v>
      </c>
      <c r="S3" s="124">
        <f t="shared" ref="S3:S14" si="1">SUM(L3:R3)</f>
        <v>4</v>
      </c>
      <c r="T3" s="124">
        <f>COUNTIFS(Başvuru!$G:$G, "Doktora Tezi", Başvuru!$L:$L, T$2, Başvuru!$J:$J, $B3) + COUNTIFS(Başvuru!$G:$G, "Doktora Tezi", Başvuru!$L:$L, T$2, Başvuru!$K:$K, $B3)</f>
        <v>3</v>
      </c>
      <c r="U3" s="124">
        <f>COUNTIFS(Başvuru!$G:$G, "Doktora Tezi", Başvuru!$L:$L, U$2, Başvuru!$J:$J, $B3) + COUNTIFS(Başvuru!$G:$G, "Doktora Tezi", Başvuru!$L:$L, U$2, Başvuru!$K:$K, $B3)</f>
        <v>3</v>
      </c>
      <c r="V3" s="124">
        <f>COUNTIFS(Başvuru!$G:$G, "Doktora Tezi", Başvuru!$L:$L, V$2, Başvuru!$J:$J, $B3) + COUNTIFS(Başvuru!$G:$G, "Doktora Tezi", Başvuru!$L:$L, V$2, Başvuru!$K:$K, $B3)</f>
        <v>0</v>
      </c>
      <c r="W3" s="124">
        <f>COUNTIFS(Başvuru!$G:$G, "Doktora Tezi", Başvuru!$L:$L, W$2, Başvuru!$J:$J, $B3) + COUNTIFS(Başvuru!$G:$G, "Doktora Tezi", Başvuru!$L:$L, W$2, Başvuru!$K:$K, $B3)</f>
        <v>0</v>
      </c>
      <c r="X3" s="124">
        <f>COUNTIFS(Başvuru!$G:$G, "Doktora Tezi", Başvuru!$L:$L, X$2, Başvuru!$J:$J, $B3) + COUNTIFS(Başvuru!$G:$G, "Doktora Tezi", Başvuru!$L:$L, X$2, Başvuru!$K:$K, $B3)</f>
        <v>0</v>
      </c>
      <c r="Y3" s="124">
        <f>COUNTIFS(Başvuru!$G:$G, "Doktora Tezi", Başvuru!$L:$L, Y$2, Başvuru!$J:$J, $B3) + COUNTIFS(Başvuru!$G:$G, "Doktora Tezi", Başvuru!$L:$L, Y$2, Başvuru!$K:$K, $B3)</f>
        <v>0</v>
      </c>
      <c r="Z3" s="124">
        <f>COUNTIFS(Başvuru!$G:$G, "Doktora Tezi", Başvuru!$L:$L, Z$2, Başvuru!$J:$J, $B3) + COUNTIFS(Başvuru!$G:$G, "Doktora Tezi", Başvuru!$L:$L, Z$2, Başvuru!$K:$K, $B3)</f>
        <v>0</v>
      </c>
      <c r="AA3" s="124">
        <f t="shared" ref="AA3:AA14" si="2">SUM(T3:Z3)</f>
        <v>6</v>
      </c>
      <c r="AB3" s="124">
        <f>COUNTIFS(Başvuru!$G:$G, "Uzmanlık Tezi", Başvuru!$L:$L, AB$2, Başvuru!$J:$J, $B3) + COUNTIFS(Başvuru!$G:$G, "Uzmanlık Tezi", Başvuru!$L:$L, AB$2, Başvuru!$K:$K, $B3)</f>
        <v>7</v>
      </c>
      <c r="AC3" s="124">
        <f>COUNTIFS(Başvuru!$G:$G, "Uzmanlık Tezi", Başvuru!$L:$L, AC$2, Başvuru!$J:$J, $B3) + COUNTIFS(Başvuru!$G:$G, "Uzmanlık Tezi", Başvuru!$L:$L, AC$2, Başvuru!$K:$K, $B3)</f>
        <v>3</v>
      </c>
      <c r="AD3" s="124">
        <f>COUNTIFS(Başvuru!$G:$G, "Uzmanlık Tezi", Başvuru!$L:$L, AD$2, Başvuru!$J:$J, $B3) + COUNTIFS(Başvuru!$G:$G, "Uzmanlık Tezi", Başvuru!$L:$L, AD$2, Başvuru!$K:$K, $B3)</f>
        <v>0</v>
      </c>
      <c r="AE3" s="124">
        <f>COUNTIFS(Başvuru!$G:$G, "Uzmanlık Tezi", Başvuru!$L:$L, AE$2, Başvuru!$J:$J, $B3) + COUNTIFS(Başvuru!$G:$G, "Uzmanlık Tezi", Başvuru!$L:$L, AE$2, Başvuru!$K:$K, $B3)</f>
        <v>0</v>
      </c>
      <c r="AF3" s="124">
        <f>COUNTIFS(Başvuru!$G:$G, "Uzmanlık Tezi", Başvuru!$L:$L, AF$2, Başvuru!$J:$J, $B3) + COUNTIFS(Başvuru!$G:$G, "Uzmanlık Tezi", Başvuru!$L:$L, AF$2, Başvuru!$K:$K, $B3)</f>
        <v>1</v>
      </c>
      <c r="AG3" s="124">
        <f>COUNTIFS(Başvuru!$G:$G, "Uzmanlık Tezi", Başvuru!$L:$L, AG$2, Başvuru!$J:$J, $B3) + COUNTIFS(Başvuru!$G:$G, "Uzmanlık Tezi", Başvuru!$L:$L, AG$2, Başvuru!$K:$K, $B3)</f>
        <v>0</v>
      </c>
      <c r="AH3" s="124">
        <f>COUNTIFS(Başvuru!$G:$G, "Uzmanlık Tezi", Başvuru!$L:$L, AH$2, Başvuru!$J:$J, $B3) + COUNTIFS(Başvuru!$G:$G, "Uzmanlık Tezi", Başvuru!$L:$L, AH$2, Başvuru!$K:$K, $B3)</f>
        <v>0</v>
      </c>
      <c r="AI3" s="124">
        <f t="shared" ref="AI3:AI14" si="3">SUM(AB3:AH3)</f>
        <v>11</v>
      </c>
      <c r="AJ3" s="126">
        <f t="shared" ref="AJ3:AJ14" si="4">SUM(D3,L3,T3,AB3)</f>
        <v>43</v>
      </c>
      <c r="AK3" s="126">
        <f t="shared" ref="AK3:AK14" si="5">SUM(E3,M3,U3,AC3)</f>
        <v>32</v>
      </c>
      <c r="AL3" s="126">
        <f t="shared" ref="AL3:AL14" si="6">SUM(F3,N3,V3,AD3)</f>
        <v>0</v>
      </c>
      <c r="AM3" s="126">
        <f t="shared" ref="AM3:AM14" si="7">SUM(G3,O3,W3,AE3)</f>
        <v>3</v>
      </c>
      <c r="AN3" s="126">
        <f t="shared" ref="AN3:AN14" si="8">SUM(H3,P3,X3,AF3)</f>
        <v>4</v>
      </c>
      <c r="AO3" s="126">
        <f t="shared" ref="AO3:AO14" si="9">SUM(I3,Q3,Y3,AG3)</f>
        <v>0</v>
      </c>
      <c r="AP3" s="126">
        <f t="shared" ref="AP3:AP14" si="10">SUM(J3,R3,Z3,AH3)</f>
        <v>0</v>
      </c>
      <c r="AQ3" s="126">
        <f t="shared" ref="AQ3:AQ15" si="11">SUM(AJ3:AP3)</f>
        <v>82</v>
      </c>
    </row>
    <row r="4" spans="1:43" s="121" customFormat="1" ht="30" customHeight="1" x14ac:dyDescent="0.25">
      <c r="A4" s="122" t="s">
        <v>68</v>
      </c>
      <c r="B4" s="123" t="s">
        <v>118</v>
      </c>
      <c r="C4" s="124">
        <f>COUNTIF(Başvuru!$J:$K, $B4)</f>
        <v>99</v>
      </c>
      <c r="D4" s="124">
        <f>COUNTIFS(Başvuru!$G:$G, "Bireysel Araştırma", Başvuru!$L:$L, D$2, Başvuru!$J:$J, $B4) + COUNTIFS(Başvuru!$G:$G, "Bireysel Araştırma", Başvuru!$L:$L, D$2, Başvuru!$K:$K, $B4)</f>
        <v>38</v>
      </c>
      <c r="E4" s="124">
        <f>COUNTIFS(Başvuru!$G:$G, "Bireysel Araştırma", Başvuru!$L:$L, E$2, Başvuru!$J:$J, $B4) + COUNTIFS(Başvuru!$G:$G, "Bireysel Araştırma", Başvuru!$L:$L, E$2, Başvuru!$K:$K, $B4)</f>
        <v>20</v>
      </c>
      <c r="F4" s="124">
        <f>COUNTIFS(Başvuru!$G:$G, "Bireysel Araştırma", Başvuru!$L:$L, F$2, Başvuru!$J:$J, $B4) + COUNTIFS(Başvuru!$G:$G, "Bireysel Araştırma", Başvuru!$L:$L, F$2, Başvuru!$K:$K, $B4)</f>
        <v>1</v>
      </c>
      <c r="G4" s="124">
        <f>COUNTIFS(Başvuru!$G:$G, "Bireysel Araştırma", Başvuru!$L:$L, G$2, Başvuru!$J:$J, $B4) + COUNTIFS(Başvuru!$G:$G, "Bireysel Araştırma", Başvuru!$L:$L, G$2, Başvuru!$K:$K, $B4)</f>
        <v>3</v>
      </c>
      <c r="H4" s="124">
        <f>COUNTIFS(Başvuru!$G:$G, "Bireysel Araştırma", Başvuru!$L:$L, H$2, Başvuru!$J:$J, $B4) + COUNTIFS(Başvuru!$G:$G, "Bireysel Araştırma", Başvuru!$L:$L, H$2, Başvuru!$K:$K, $B4)</f>
        <v>4</v>
      </c>
      <c r="I4" s="124">
        <f>COUNTIFS(Başvuru!$G:$G, "Bireysel Araştırma", Başvuru!$L:$L, I$2, Başvuru!$J:$J, $B4) + COUNTIFS(Başvuru!$G:$G, "Bireysel Araştırma", Başvuru!$L:$L, I$2, Başvuru!$K:$K, $B4)</f>
        <v>0</v>
      </c>
      <c r="J4" s="124">
        <f>COUNTIFS(Başvuru!$G:$G, "Bireysel Araştırma", Başvuru!$L:$L, J$2, Başvuru!$J:$J, $B4) + COUNTIFS(Başvuru!$G:$G, "Bireysel Araştırma", Başvuru!$L:$L, J$2, Başvuru!$K:$K, $B4)</f>
        <v>0</v>
      </c>
      <c r="K4" s="124">
        <f t="shared" si="0"/>
        <v>66</v>
      </c>
      <c r="L4" s="124">
        <f>COUNTIFS(Başvuru!$G:$G, "Yüksek Lisans Tezi", Başvuru!$L:$L, L$2, Başvuru!$J:$J, $B4) + COUNTIFS(Başvuru!$G:$G, "Yüksek Lisans Tezi", Başvuru!$L:$L, L$2, Başvuru!$K:$K, $B4)</f>
        <v>1</v>
      </c>
      <c r="M4" s="124">
        <f>COUNTIFS(Başvuru!$G:$G, "Yüksek Lisans Tezi", Başvuru!$L:$L, M$2, Başvuru!$J:$J, $B4) + COUNTIFS(Başvuru!$G:$G, "Yüksek Lisans Tezi", Başvuru!$L:$L, M$2, Başvuru!$K:$K, $B4)</f>
        <v>0</v>
      </c>
      <c r="N4" s="124">
        <f>COUNTIFS(Başvuru!$G:$G, "Yüksek Lisans Tezi", Başvuru!$L:$L, N$2, Başvuru!$J:$J, $B4) + COUNTIFS(Başvuru!$G:$G, "Yüksek Lisans Tezi", Başvuru!$L:$L, N$2, Başvuru!$K:$K, $B4)</f>
        <v>0</v>
      </c>
      <c r="O4" s="124">
        <f>COUNTIFS(Başvuru!$G:$G, "Yüksek Lisans Tezi", Başvuru!$L:$L, O$2, Başvuru!$J:$J, $B4) + COUNTIFS(Başvuru!$G:$G, "Yüksek Lisans Tezi", Başvuru!$L:$L, O$2, Başvuru!$K:$K, $B4)</f>
        <v>0</v>
      </c>
      <c r="P4" s="124">
        <f>COUNTIFS(Başvuru!$G:$G, "Yüksek Lisans Tezi", Başvuru!$L:$L, P$2, Başvuru!$J:$J, $B4) + COUNTIFS(Başvuru!$G:$G, "Yüksek Lisans Tezi", Başvuru!$L:$L, P$2, Başvuru!$K:$K, $B4)</f>
        <v>0</v>
      </c>
      <c r="Q4" s="124">
        <f>COUNTIFS(Başvuru!$G:$G, "Yüksek Lisans Tezi", Başvuru!$L:$L, Q$2, Başvuru!$J:$J, $B4) + COUNTIFS(Başvuru!$G:$G, "Yüksek Lisans Tezi", Başvuru!$L:$L, Q$2, Başvuru!$K:$K, $B4)</f>
        <v>0</v>
      </c>
      <c r="R4" s="124">
        <f>COUNTIFS(Başvuru!$G:$G, "Yüksek Lisans Tezi", Başvuru!$L:$L, R$2, Başvuru!$J:$J, $B4) + COUNTIFS(Başvuru!$G:$G, "Yüksek Lisans Tezi", Başvuru!$L:$L, R$2, Başvuru!$K:$K, $B4)</f>
        <v>0</v>
      </c>
      <c r="S4" s="124">
        <f t="shared" si="1"/>
        <v>1</v>
      </c>
      <c r="T4" s="124">
        <f>COUNTIFS(Başvuru!$G:$G, "Doktora Tezi", Başvuru!$L:$L, T$2, Başvuru!$J:$J, $B4) + COUNTIFS(Başvuru!$G:$G, "Doktora Tezi", Başvuru!$L:$L, T$2, Başvuru!$K:$K, $B4)</f>
        <v>1</v>
      </c>
      <c r="U4" s="124">
        <f>COUNTIFS(Başvuru!$G:$G, "Doktora Tezi", Başvuru!$L:$L, U$2, Başvuru!$J:$J, $B4) + COUNTIFS(Başvuru!$G:$G, "Doktora Tezi", Başvuru!$L:$L, U$2, Başvuru!$K:$K, $B4)</f>
        <v>1</v>
      </c>
      <c r="V4" s="124">
        <f>COUNTIFS(Başvuru!$G:$G, "Doktora Tezi", Başvuru!$L:$L, V$2, Başvuru!$J:$J, $B4) + COUNTIFS(Başvuru!$G:$G, "Doktora Tezi", Başvuru!$L:$L, V$2, Başvuru!$K:$K, $B4)</f>
        <v>0</v>
      </c>
      <c r="W4" s="124">
        <f>COUNTIFS(Başvuru!$G:$G, "Doktora Tezi", Başvuru!$L:$L, W$2, Başvuru!$J:$J, $B4) + COUNTIFS(Başvuru!$G:$G, "Doktora Tezi", Başvuru!$L:$L, W$2, Başvuru!$K:$K, $B4)</f>
        <v>0</v>
      </c>
      <c r="X4" s="124">
        <f>COUNTIFS(Başvuru!$G:$G, "Doktora Tezi", Başvuru!$L:$L, X$2, Başvuru!$J:$J, $B4) + COUNTIFS(Başvuru!$G:$G, "Doktora Tezi", Başvuru!$L:$L, X$2, Başvuru!$K:$K, $B4)</f>
        <v>0</v>
      </c>
      <c r="Y4" s="124">
        <f>COUNTIFS(Başvuru!$G:$G, "Doktora Tezi", Başvuru!$L:$L, Y$2, Başvuru!$J:$J, $B4) + COUNTIFS(Başvuru!$G:$G, "Doktora Tezi", Başvuru!$L:$L, Y$2, Başvuru!$K:$K, $B4)</f>
        <v>0</v>
      </c>
      <c r="Z4" s="124">
        <f>COUNTIFS(Başvuru!$G:$G, "Doktora Tezi", Başvuru!$L:$L, Z$2, Başvuru!$J:$J, $B4) + COUNTIFS(Başvuru!$G:$G, "Doktora Tezi", Başvuru!$L:$L, Z$2, Başvuru!$K:$K, $B4)</f>
        <v>0</v>
      </c>
      <c r="AA4" s="124">
        <f t="shared" si="2"/>
        <v>2</v>
      </c>
      <c r="AB4" s="124">
        <f>COUNTIFS(Başvuru!$G:$G, "Uzmanlık Tezi", Başvuru!$L:$L, AB$2, Başvuru!$J:$J, $B4) + COUNTIFS(Başvuru!$G:$G, "Uzmanlık Tezi", Başvuru!$L:$L, AB$2, Başvuru!$K:$K, $B4)</f>
        <v>15</v>
      </c>
      <c r="AC4" s="124">
        <f>COUNTIFS(Başvuru!$G:$G, "Uzmanlık Tezi", Başvuru!$L:$L, AC$2, Başvuru!$J:$J, $B4) + COUNTIFS(Başvuru!$G:$G, "Uzmanlık Tezi", Başvuru!$L:$L, AC$2, Başvuru!$K:$K, $B4)</f>
        <v>5</v>
      </c>
      <c r="AD4" s="124">
        <f>COUNTIFS(Başvuru!$G:$G, "Uzmanlık Tezi", Başvuru!$L:$L, AD$2, Başvuru!$J:$J, $B4) + COUNTIFS(Başvuru!$G:$G, "Uzmanlık Tezi", Başvuru!$L:$L, AD$2, Başvuru!$K:$K, $B4)</f>
        <v>0</v>
      </c>
      <c r="AE4" s="124">
        <f>COUNTIFS(Başvuru!$G:$G, "Uzmanlık Tezi", Başvuru!$L:$L, AE$2, Başvuru!$J:$J, $B4) + COUNTIFS(Başvuru!$G:$G, "Uzmanlık Tezi", Başvuru!$L:$L, AE$2, Başvuru!$K:$K, $B4)</f>
        <v>1</v>
      </c>
      <c r="AF4" s="124">
        <f>COUNTIFS(Başvuru!$G:$G, "Uzmanlık Tezi", Başvuru!$L:$L, AF$2, Başvuru!$J:$J, $B4) + COUNTIFS(Başvuru!$G:$G, "Uzmanlık Tezi", Başvuru!$L:$L, AF$2, Başvuru!$K:$K, $B4)</f>
        <v>0</v>
      </c>
      <c r="AG4" s="124">
        <f>COUNTIFS(Başvuru!$G:$G, "Uzmanlık Tezi", Başvuru!$L:$L, AG$2, Başvuru!$J:$J, $B4) + COUNTIFS(Başvuru!$G:$G, "Uzmanlık Tezi", Başvuru!$L:$L, AG$2, Başvuru!$K:$K, $B4)</f>
        <v>0</v>
      </c>
      <c r="AH4" s="124">
        <f>COUNTIFS(Başvuru!$G:$G, "Uzmanlık Tezi", Başvuru!$L:$L, AH$2, Başvuru!$J:$J, $B4) + COUNTIFS(Başvuru!$G:$G, "Uzmanlık Tezi", Başvuru!$L:$L, AH$2, Başvuru!$K:$K, $B4)</f>
        <v>0</v>
      </c>
      <c r="AI4" s="124">
        <f t="shared" si="3"/>
        <v>21</v>
      </c>
      <c r="AJ4" s="126">
        <f t="shared" si="4"/>
        <v>55</v>
      </c>
      <c r="AK4" s="126">
        <f t="shared" si="5"/>
        <v>26</v>
      </c>
      <c r="AL4" s="126">
        <f t="shared" si="6"/>
        <v>1</v>
      </c>
      <c r="AM4" s="126">
        <f t="shared" si="7"/>
        <v>4</v>
      </c>
      <c r="AN4" s="126">
        <f t="shared" si="8"/>
        <v>4</v>
      </c>
      <c r="AO4" s="126">
        <f t="shared" si="9"/>
        <v>0</v>
      </c>
      <c r="AP4" s="126">
        <f t="shared" si="10"/>
        <v>0</v>
      </c>
      <c r="AQ4" s="126">
        <f t="shared" si="11"/>
        <v>90</v>
      </c>
    </row>
    <row r="5" spans="1:43" s="121" customFormat="1" ht="30" customHeight="1" x14ac:dyDescent="0.25">
      <c r="A5" s="122" t="s">
        <v>76</v>
      </c>
      <c r="B5" s="123" t="s">
        <v>102</v>
      </c>
      <c r="C5" s="124">
        <f>COUNTIF(Başvuru!$J:$K, $B5)</f>
        <v>83</v>
      </c>
      <c r="D5" s="124">
        <f>COUNTIFS(Başvuru!$G:$G, "Bireysel Araştırma", Başvuru!$L:$L, D$2, Başvuru!$J:$J, $B5) + COUNTIFS(Başvuru!$G:$G, "Bireysel Araştırma", Başvuru!$L:$L, D$2, Başvuru!$K:$K, $B5)</f>
        <v>25</v>
      </c>
      <c r="E5" s="124">
        <f>COUNTIFS(Başvuru!$G:$G, "Bireysel Araştırma", Başvuru!$L:$L, E$2, Başvuru!$J:$J, $B5) + COUNTIFS(Başvuru!$G:$G, "Bireysel Araştırma", Başvuru!$L:$L, E$2, Başvuru!$K:$K, $B5)</f>
        <v>24</v>
      </c>
      <c r="F5" s="124">
        <f>COUNTIFS(Başvuru!$G:$G, "Bireysel Araştırma", Başvuru!$L:$L, F$2, Başvuru!$J:$J, $B5) + COUNTIFS(Başvuru!$G:$G, "Bireysel Araştırma", Başvuru!$L:$L, F$2, Başvuru!$K:$K, $B5)</f>
        <v>0</v>
      </c>
      <c r="G5" s="124">
        <f>COUNTIFS(Başvuru!$G:$G, "Bireysel Araştırma", Başvuru!$L:$L, G$2, Başvuru!$J:$J, $B5) + COUNTIFS(Başvuru!$G:$G, "Bireysel Araştırma", Başvuru!$L:$L, G$2, Başvuru!$K:$K, $B5)</f>
        <v>3</v>
      </c>
      <c r="H5" s="124">
        <f>COUNTIFS(Başvuru!$G:$G, "Bireysel Araştırma", Başvuru!$L:$L, H$2, Başvuru!$J:$J, $B5) + COUNTIFS(Başvuru!$G:$G, "Bireysel Araştırma", Başvuru!$L:$L, H$2, Başvuru!$K:$K, $B5)</f>
        <v>5</v>
      </c>
      <c r="I5" s="124">
        <f>COUNTIFS(Başvuru!$G:$G, "Bireysel Araştırma", Başvuru!$L:$L, I$2, Başvuru!$J:$J, $B5) + COUNTIFS(Başvuru!$G:$G, "Bireysel Araştırma", Başvuru!$L:$L, I$2, Başvuru!$K:$K, $B5)</f>
        <v>0</v>
      </c>
      <c r="J5" s="124">
        <f>COUNTIFS(Başvuru!$G:$G, "Bireysel Araştırma", Başvuru!$L:$L, J$2, Başvuru!$J:$J, $B5) + COUNTIFS(Başvuru!$G:$G, "Bireysel Araştırma", Başvuru!$L:$L, J$2, Başvuru!$K:$K, $B5)</f>
        <v>0</v>
      </c>
      <c r="K5" s="124">
        <f t="shared" si="0"/>
        <v>57</v>
      </c>
      <c r="L5" s="124">
        <f>COUNTIFS(Başvuru!$G:$G, "Yüksek Lisans Tezi", Başvuru!$L:$L, L$2, Başvuru!$J:$J, $B5) + COUNTIFS(Başvuru!$G:$G, "Yüksek Lisans Tezi", Başvuru!$L:$L, L$2, Başvuru!$K:$K, $B5)</f>
        <v>0</v>
      </c>
      <c r="M5" s="124">
        <f>COUNTIFS(Başvuru!$G:$G, "Yüksek Lisans Tezi", Başvuru!$L:$L, M$2, Başvuru!$J:$J, $B5) + COUNTIFS(Başvuru!$G:$G, "Yüksek Lisans Tezi", Başvuru!$L:$L, M$2, Başvuru!$K:$K, $B5)</f>
        <v>2</v>
      </c>
      <c r="N5" s="124">
        <f>COUNTIFS(Başvuru!$G:$G, "Yüksek Lisans Tezi", Başvuru!$L:$L, N$2, Başvuru!$J:$J, $B5) + COUNTIFS(Başvuru!$G:$G, "Yüksek Lisans Tezi", Başvuru!$L:$L, N$2, Başvuru!$K:$K, $B5)</f>
        <v>0</v>
      </c>
      <c r="O5" s="124">
        <f>COUNTIFS(Başvuru!$G:$G, "Yüksek Lisans Tezi", Başvuru!$L:$L, O$2, Başvuru!$J:$J, $B5) + COUNTIFS(Başvuru!$G:$G, "Yüksek Lisans Tezi", Başvuru!$L:$L, O$2, Başvuru!$K:$K, $B5)</f>
        <v>0</v>
      </c>
      <c r="P5" s="124">
        <f>COUNTIFS(Başvuru!$G:$G, "Yüksek Lisans Tezi", Başvuru!$L:$L, P$2, Başvuru!$J:$J, $B5) + COUNTIFS(Başvuru!$G:$G, "Yüksek Lisans Tezi", Başvuru!$L:$L, P$2, Başvuru!$K:$K, $B5)</f>
        <v>0</v>
      </c>
      <c r="Q5" s="124">
        <f>COUNTIFS(Başvuru!$G:$G, "Yüksek Lisans Tezi", Başvuru!$L:$L, Q$2, Başvuru!$J:$J, $B5) + COUNTIFS(Başvuru!$G:$G, "Yüksek Lisans Tezi", Başvuru!$L:$L, Q$2, Başvuru!$K:$K, $B5)</f>
        <v>0</v>
      </c>
      <c r="R5" s="124">
        <f>COUNTIFS(Başvuru!$G:$G, "Yüksek Lisans Tezi", Başvuru!$L:$L, R$2, Başvuru!$J:$J, $B5) + COUNTIFS(Başvuru!$G:$G, "Yüksek Lisans Tezi", Başvuru!$L:$L, R$2, Başvuru!$K:$K, $B5)</f>
        <v>0</v>
      </c>
      <c r="S5" s="124">
        <f t="shared" si="1"/>
        <v>2</v>
      </c>
      <c r="T5" s="124">
        <f>COUNTIFS(Başvuru!$G:$G, "Doktora Tezi", Başvuru!$L:$L, T$2, Başvuru!$J:$J, $B5) + COUNTIFS(Başvuru!$G:$G, "Doktora Tezi", Başvuru!$L:$L, T$2, Başvuru!$K:$K, $B5)</f>
        <v>0</v>
      </c>
      <c r="U5" s="124">
        <f>COUNTIFS(Başvuru!$G:$G, "Doktora Tezi", Başvuru!$L:$L, U$2, Başvuru!$J:$J, $B5) + COUNTIFS(Başvuru!$G:$G, "Doktora Tezi", Başvuru!$L:$L, U$2, Başvuru!$K:$K, $B5)</f>
        <v>2</v>
      </c>
      <c r="V5" s="124">
        <f>COUNTIFS(Başvuru!$G:$G, "Doktora Tezi", Başvuru!$L:$L, V$2, Başvuru!$J:$J, $B5) + COUNTIFS(Başvuru!$G:$G, "Doktora Tezi", Başvuru!$L:$L, V$2, Başvuru!$K:$K, $B5)</f>
        <v>0</v>
      </c>
      <c r="W5" s="124">
        <f>COUNTIFS(Başvuru!$G:$G, "Doktora Tezi", Başvuru!$L:$L, W$2, Başvuru!$J:$J, $B5) + COUNTIFS(Başvuru!$G:$G, "Doktora Tezi", Başvuru!$L:$L, W$2, Başvuru!$K:$K, $B5)</f>
        <v>0</v>
      </c>
      <c r="X5" s="124">
        <f>COUNTIFS(Başvuru!$G:$G, "Doktora Tezi", Başvuru!$L:$L, X$2, Başvuru!$J:$J, $B5) + COUNTIFS(Başvuru!$G:$G, "Doktora Tezi", Başvuru!$L:$L, X$2, Başvuru!$K:$K, $B5)</f>
        <v>0</v>
      </c>
      <c r="Y5" s="124">
        <f>COUNTIFS(Başvuru!$G:$G, "Doktora Tezi", Başvuru!$L:$L, Y$2, Başvuru!$J:$J, $B5) + COUNTIFS(Başvuru!$G:$G, "Doktora Tezi", Başvuru!$L:$L, Y$2, Başvuru!$K:$K, $B5)</f>
        <v>0</v>
      </c>
      <c r="Z5" s="124">
        <f>COUNTIFS(Başvuru!$G:$G, "Doktora Tezi", Başvuru!$L:$L, Z$2, Başvuru!$J:$J, $B5) + COUNTIFS(Başvuru!$G:$G, "Doktora Tezi", Başvuru!$L:$L, Z$2, Başvuru!$K:$K, $B5)</f>
        <v>0</v>
      </c>
      <c r="AA5" s="124">
        <f t="shared" si="2"/>
        <v>2</v>
      </c>
      <c r="AB5" s="124">
        <f>COUNTIFS(Başvuru!$G:$G, "Uzmanlık Tezi", Başvuru!$L:$L, AB$2, Başvuru!$J:$J, $B5) + COUNTIFS(Başvuru!$G:$G, "Uzmanlık Tezi", Başvuru!$L:$L, AB$2, Başvuru!$K:$K, $B5)</f>
        <v>5</v>
      </c>
      <c r="AC5" s="124">
        <f>COUNTIFS(Başvuru!$G:$G, "Uzmanlık Tezi", Başvuru!$L:$L, AC$2, Başvuru!$J:$J, $B5) + COUNTIFS(Başvuru!$G:$G, "Uzmanlık Tezi", Başvuru!$L:$L, AC$2, Başvuru!$K:$K, $B5)</f>
        <v>5</v>
      </c>
      <c r="AD5" s="124">
        <f>COUNTIFS(Başvuru!$G:$G, "Uzmanlık Tezi", Başvuru!$L:$L, AD$2, Başvuru!$J:$J, $B5) + COUNTIFS(Başvuru!$G:$G, "Uzmanlık Tezi", Başvuru!$L:$L, AD$2, Başvuru!$K:$K, $B5)</f>
        <v>0</v>
      </c>
      <c r="AE5" s="124">
        <f>COUNTIFS(Başvuru!$G:$G, "Uzmanlık Tezi", Başvuru!$L:$L, AE$2, Başvuru!$J:$J, $B5) + COUNTIFS(Başvuru!$G:$G, "Uzmanlık Tezi", Başvuru!$L:$L, AE$2, Başvuru!$K:$K, $B5)</f>
        <v>1</v>
      </c>
      <c r="AF5" s="124">
        <f>COUNTIFS(Başvuru!$G:$G, "Uzmanlık Tezi", Başvuru!$L:$L, AF$2, Başvuru!$J:$J, $B5) + COUNTIFS(Başvuru!$G:$G, "Uzmanlık Tezi", Başvuru!$L:$L, AF$2, Başvuru!$K:$K, $B5)</f>
        <v>1</v>
      </c>
      <c r="AG5" s="124">
        <f>COUNTIFS(Başvuru!$G:$G, "Uzmanlık Tezi", Başvuru!$L:$L, AG$2, Başvuru!$J:$J, $B5) + COUNTIFS(Başvuru!$G:$G, "Uzmanlık Tezi", Başvuru!$L:$L, AG$2, Başvuru!$K:$K, $B5)</f>
        <v>1</v>
      </c>
      <c r="AH5" s="124">
        <f>COUNTIFS(Başvuru!$G:$G, "Uzmanlık Tezi", Başvuru!$L:$L, AH$2, Başvuru!$J:$J, $B5) + COUNTIFS(Başvuru!$G:$G, "Uzmanlık Tezi", Başvuru!$L:$L, AH$2, Başvuru!$K:$K, $B5)</f>
        <v>0</v>
      </c>
      <c r="AI5" s="124">
        <f t="shared" si="3"/>
        <v>13</v>
      </c>
      <c r="AJ5" s="126">
        <f t="shared" si="4"/>
        <v>30</v>
      </c>
      <c r="AK5" s="126">
        <f t="shared" si="5"/>
        <v>33</v>
      </c>
      <c r="AL5" s="126">
        <f t="shared" si="6"/>
        <v>0</v>
      </c>
      <c r="AM5" s="126">
        <f t="shared" si="7"/>
        <v>4</v>
      </c>
      <c r="AN5" s="126">
        <f t="shared" si="8"/>
        <v>6</v>
      </c>
      <c r="AO5" s="126">
        <f t="shared" si="9"/>
        <v>1</v>
      </c>
      <c r="AP5" s="126">
        <f t="shared" si="10"/>
        <v>0</v>
      </c>
      <c r="AQ5" s="126">
        <f t="shared" si="11"/>
        <v>74</v>
      </c>
    </row>
    <row r="6" spans="1:43" s="121" customFormat="1" ht="30" customHeight="1" x14ac:dyDescent="0.25">
      <c r="A6" s="122" t="s">
        <v>85</v>
      </c>
      <c r="B6" s="123" t="s">
        <v>110</v>
      </c>
      <c r="C6" s="124">
        <f>COUNTIF(Başvuru!$J:$K, $B6)</f>
        <v>90</v>
      </c>
      <c r="D6" s="124">
        <f>COUNTIFS(Başvuru!$G:$G, "Bireysel Araştırma", Başvuru!$L:$L, D$2, Başvuru!$J:$J, $B6) + COUNTIFS(Başvuru!$G:$G, "Bireysel Araştırma", Başvuru!$L:$L, D$2, Başvuru!$K:$K, $B6)</f>
        <v>36</v>
      </c>
      <c r="E6" s="124">
        <f>COUNTIFS(Başvuru!$G:$G, "Bireysel Araştırma", Başvuru!$L:$L, E$2, Başvuru!$J:$J, $B6) + COUNTIFS(Başvuru!$G:$G, "Bireysel Araştırma", Başvuru!$L:$L, E$2, Başvuru!$K:$K, $B6)</f>
        <v>22</v>
      </c>
      <c r="F6" s="124">
        <f>COUNTIFS(Başvuru!$G:$G, "Bireysel Araştırma", Başvuru!$L:$L, F$2, Başvuru!$J:$J, $B6) + COUNTIFS(Başvuru!$G:$G, "Bireysel Araştırma", Başvuru!$L:$L, F$2, Başvuru!$K:$K, $B6)</f>
        <v>2</v>
      </c>
      <c r="G6" s="124">
        <f>COUNTIFS(Başvuru!$G:$G, "Bireysel Araştırma", Başvuru!$L:$L, G$2, Başvuru!$J:$J, $B6) + COUNTIFS(Başvuru!$G:$G, "Bireysel Araştırma", Başvuru!$L:$L, G$2, Başvuru!$K:$K, $B6)</f>
        <v>3</v>
      </c>
      <c r="H6" s="124">
        <f>COUNTIFS(Başvuru!$G:$G, "Bireysel Araştırma", Başvuru!$L:$L, H$2, Başvuru!$J:$J, $B6) + COUNTIFS(Başvuru!$G:$G, "Bireysel Araştırma", Başvuru!$L:$L, H$2, Başvuru!$K:$K, $B6)</f>
        <v>0</v>
      </c>
      <c r="I6" s="124">
        <f>COUNTIFS(Başvuru!$G:$G, "Bireysel Araştırma", Başvuru!$L:$L, I$2, Başvuru!$J:$J, $B6) + COUNTIFS(Başvuru!$G:$G, "Bireysel Araştırma", Başvuru!$L:$L, I$2, Başvuru!$K:$K, $B6)</f>
        <v>0</v>
      </c>
      <c r="J6" s="124">
        <f>COUNTIFS(Başvuru!$G:$G, "Bireysel Araştırma", Başvuru!$L:$L, J$2, Başvuru!$J:$J, $B6) + COUNTIFS(Başvuru!$G:$G, "Bireysel Araştırma", Başvuru!$L:$L, J$2, Başvuru!$K:$K, $B6)</f>
        <v>0</v>
      </c>
      <c r="K6" s="124">
        <f t="shared" si="0"/>
        <v>63</v>
      </c>
      <c r="L6" s="124">
        <f>COUNTIFS(Başvuru!$G:$G, "Yüksek Lisans Tezi", Başvuru!$L:$L, L$2, Başvuru!$J:$J, $B6) + COUNTIFS(Başvuru!$G:$G, "Yüksek Lisans Tezi", Başvuru!$L:$L, L$2, Başvuru!$K:$K, $B6)</f>
        <v>1</v>
      </c>
      <c r="M6" s="124">
        <f>COUNTIFS(Başvuru!$G:$G, "Yüksek Lisans Tezi", Başvuru!$L:$L, M$2, Başvuru!$J:$J, $B6) + COUNTIFS(Başvuru!$G:$G, "Yüksek Lisans Tezi", Başvuru!$L:$L, M$2, Başvuru!$K:$K, $B6)</f>
        <v>1</v>
      </c>
      <c r="N6" s="124">
        <f>COUNTIFS(Başvuru!$G:$G, "Yüksek Lisans Tezi", Başvuru!$L:$L, N$2, Başvuru!$J:$J, $B6) + COUNTIFS(Başvuru!$G:$G, "Yüksek Lisans Tezi", Başvuru!$L:$L, N$2, Başvuru!$K:$K, $B6)</f>
        <v>0</v>
      </c>
      <c r="O6" s="124">
        <f>COUNTIFS(Başvuru!$G:$G, "Yüksek Lisans Tezi", Başvuru!$L:$L, O$2, Başvuru!$J:$J, $B6) + COUNTIFS(Başvuru!$G:$G, "Yüksek Lisans Tezi", Başvuru!$L:$L, O$2, Başvuru!$K:$K, $B6)</f>
        <v>0</v>
      </c>
      <c r="P6" s="124">
        <f>COUNTIFS(Başvuru!$G:$G, "Yüksek Lisans Tezi", Başvuru!$L:$L, P$2, Başvuru!$J:$J, $B6) + COUNTIFS(Başvuru!$G:$G, "Yüksek Lisans Tezi", Başvuru!$L:$L, P$2, Başvuru!$K:$K, $B6)</f>
        <v>0</v>
      </c>
      <c r="Q6" s="124">
        <f>COUNTIFS(Başvuru!$G:$G, "Yüksek Lisans Tezi", Başvuru!$L:$L, Q$2, Başvuru!$J:$J, $B6) + COUNTIFS(Başvuru!$G:$G, "Yüksek Lisans Tezi", Başvuru!$L:$L, Q$2, Başvuru!$K:$K, $B6)</f>
        <v>0</v>
      </c>
      <c r="R6" s="124">
        <f>COUNTIFS(Başvuru!$G:$G, "Yüksek Lisans Tezi", Başvuru!$L:$L, R$2, Başvuru!$J:$J, $B6) + COUNTIFS(Başvuru!$G:$G, "Yüksek Lisans Tezi", Başvuru!$L:$L, R$2, Başvuru!$K:$K, $B6)</f>
        <v>0</v>
      </c>
      <c r="S6" s="124">
        <f t="shared" si="1"/>
        <v>2</v>
      </c>
      <c r="T6" s="124">
        <f>COUNTIFS(Başvuru!$G:$G, "Doktora Tezi", Başvuru!$L:$L, T$2, Başvuru!$J:$J, $B6) + COUNTIFS(Başvuru!$G:$G, "Doktora Tezi", Başvuru!$L:$L, T$2, Başvuru!$K:$K, $B6)</f>
        <v>1</v>
      </c>
      <c r="U6" s="124">
        <f>COUNTIFS(Başvuru!$G:$G, "Doktora Tezi", Başvuru!$L:$L, U$2, Başvuru!$J:$J, $B6) + COUNTIFS(Başvuru!$G:$G, "Doktora Tezi", Başvuru!$L:$L, U$2, Başvuru!$K:$K, $B6)</f>
        <v>1</v>
      </c>
      <c r="V6" s="124">
        <f>COUNTIFS(Başvuru!$G:$G, "Doktora Tezi", Başvuru!$L:$L, V$2, Başvuru!$J:$J, $B6) + COUNTIFS(Başvuru!$G:$G, "Doktora Tezi", Başvuru!$L:$L, V$2, Başvuru!$K:$K, $B6)</f>
        <v>0</v>
      </c>
      <c r="W6" s="124">
        <f>COUNTIFS(Başvuru!$G:$G, "Doktora Tezi", Başvuru!$L:$L, W$2, Başvuru!$J:$J, $B6) + COUNTIFS(Başvuru!$G:$G, "Doktora Tezi", Başvuru!$L:$L, W$2, Başvuru!$K:$K, $B6)</f>
        <v>0</v>
      </c>
      <c r="X6" s="124">
        <f>COUNTIFS(Başvuru!$G:$G, "Doktora Tezi", Başvuru!$L:$L, X$2, Başvuru!$J:$J, $B6) + COUNTIFS(Başvuru!$G:$G, "Doktora Tezi", Başvuru!$L:$L, X$2, Başvuru!$K:$K, $B6)</f>
        <v>0</v>
      </c>
      <c r="Y6" s="124">
        <f>COUNTIFS(Başvuru!$G:$G, "Doktora Tezi", Başvuru!$L:$L, Y$2, Başvuru!$J:$J, $B6) + COUNTIFS(Başvuru!$G:$G, "Doktora Tezi", Başvuru!$L:$L, Y$2, Başvuru!$K:$K, $B6)</f>
        <v>0</v>
      </c>
      <c r="Z6" s="124">
        <f>COUNTIFS(Başvuru!$G:$G, "Doktora Tezi", Başvuru!$L:$L, Z$2, Başvuru!$J:$J, $B6) + COUNTIFS(Başvuru!$G:$G, "Doktora Tezi", Başvuru!$L:$L, Z$2, Başvuru!$K:$K, $B6)</f>
        <v>0</v>
      </c>
      <c r="AA6" s="124">
        <f t="shared" si="2"/>
        <v>2</v>
      </c>
      <c r="AB6" s="124">
        <f>COUNTIFS(Başvuru!$G:$G, "Uzmanlık Tezi", Başvuru!$L:$L, AB$2, Başvuru!$J:$J, $B6) + COUNTIFS(Başvuru!$G:$G, "Uzmanlık Tezi", Başvuru!$L:$L, AB$2, Başvuru!$K:$K, $B6)</f>
        <v>5</v>
      </c>
      <c r="AC6" s="124">
        <f>COUNTIFS(Başvuru!$G:$G, "Uzmanlık Tezi", Başvuru!$L:$L, AC$2, Başvuru!$J:$J, $B6) + COUNTIFS(Başvuru!$G:$G, "Uzmanlık Tezi", Başvuru!$L:$L, AC$2, Başvuru!$K:$K, $B6)</f>
        <v>7</v>
      </c>
      <c r="AD6" s="124">
        <f>COUNTIFS(Başvuru!$G:$G, "Uzmanlık Tezi", Başvuru!$L:$L, AD$2, Başvuru!$J:$J, $B6) + COUNTIFS(Başvuru!$G:$G, "Uzmanlık Tezi", Başvuru!$L:$L, AD$2, Başvuru!$K:$K, $B6)</f>
        <v>0</v>
      </c>
      <c r="AE6" s="124">
        <f>COUNTIFS(Başvuru!$G:$G, "Uzmanlık Tezi", Başvuru!$L:$L, AE$2, Başvuru!$J:$J, $B6) + COUNTIFS(Başvuru!$G:$G, "Uzmanlık Tezi", Başvuru!$L:$L, AE$2, Başvuru!$K:$K, $B6)</f>
        <v>0</v>
      </c>
      <c r="AF6" s="124">
        <f>COUNTIFS(Başvuru!$G:$G, "Uzmanlık Tezi", Başvuru!$L:$L, AF$2, Başvuru!$J:$J, $B6) + COUNTIFS(Başvuru!$G:$G, "Uzmanlık Tezi", Başvuru!$L:$L, AF$2, Başvuru!$K:$K, $B6)</f>
        <v>0</v>
      </c>
      <c r="AG6" s="124">
        <f>COUNTIFS(Başvuru!$G:$G, "Uzmanlık Tezi", Başvuru!$L:$L, AG$2, Başvuru!$J:$J, $B6) + COUNTIFS(Başvuru!$G:$G, "Uzmanlık Tezi", Başvuru!$L:$L, AG$2, Başvuru!$K:$K, $B6)</f>
        <v>0</v>
      </c>
      <c r="AH6" s="124">
        <f>COUNTIFS(Başvuru!$G:$G, "Uzmanlık Tezi", Başvuru!$L:$L, AH$2, Başvuru!$J:$J, $B6) + COUNTIFS(Başvuru!$G:$G, "Uzmanlık Tezi", Başvuru!$L:$L, AH$2, Başvuru!$K:$K, $B6)</f>
        <v>0</v>
      </c>
      <c r="AI6" s="124">
        <f t="shared" si="3"/>
        <v>12</v>
      </c>
      <c r="AJ6" s="126">
        <f t="shared" si="4"/>
        <v>43</v>
      </c>
      <c r="AK6" s="126">
        <f t="shared" si="5"/>
        <v>31</v>
      </c>
      <c r="AL6" s="126">
        <f t="shared" si="6"/>
        <v>2</v>
      </c>
      <c r="AM6" s="126">
        <f t="shared" si="7"/>
        <v>3</v>
      </c>
      <c r="AN6" s="126">
        <f t="shared" si="8"/>
        <v>0</v>
      </c>
      <c r="AO6" s="126">
        <f t="shared" si="9"/>
        <v>0</v>
      </c>
      <c r="AP6" s="126">
        <f t="shared" si="10"/>
        <v>0</v>
      </c>
      <c r="AQ6" s="126">
        <f t="shared" si="11"/>
        <v>79</v>
      </c>
    </row>
    <row r="7" spans="1:43" s="121" customFormat="1" ht="30" customHeight="1" x14ac:dyDescent="0.25">
      <c r="A7" s="122" t="s">
        <v>95</v>
      </c>
      <c r="B7" s="123" t="s">
        <v>101</v>
      </c>
      <c r="C7" s="124">
        <f>COUNTIF(Başvuru!$J:$K, $B7)</f>
        <v>77</v>
      </c>
      <c r="D7" s="124">
        <f>COUNTIFS(Başvuru!$G:$G, "Bireysel Araştırma", Başvuru!$L:$L, D$2, Başvuru!$J:$J, $B7) + COUNTIFS(Başvuru!$G:$G, "Bireysel Araştırma", Başvuru!$L:$L, D$2, Başvuru!$K:$K, $B7)</f>
        <v>26</v>
      </c>
      <c r="E7" s="124">
        <f>COUNTIFS(Başvuru!$G:$G, "Bireysel Araştırma", Başvuru!$L:$L, E$2, Başvuru!$J:$J, $B7) + COUNTIFS(Başvuru!$G:$G, "Bireysel Araştırma", Başvuru!$L:$L, E$2, Başvuru!$K:$K, $B7)</f>
        <v>13</v>
      </c>
      <c r="F7" s="124">
        <f>COUNTIFS(Başvuru!$G:$G, "Bireysel Araştırma", Başvuru!$L:$L, F$2, Başvuru!$J:$J, $B7) + COUNTIFS(Başvuru!$G:$G, "Bireysel Araştırma", Başvuru!$L:$L, F$2, Başvuru!$K:$K, $B7)</f>
        <v>0</v>
      </c>
      <c r="G7" s="124">
        <f>COUNTIFS(Başvuru!$G:$G, "Bireysel Araştırma", Başvuru!$L:$L, G$2, Başvuru!$J:$J, $B7) + COUNTIFS(Başvuru!$G:$G, "Bireysel Araştırma", Başvuru!$L:$L, G$2, Başvuru!$K:$K, $B7)</f>
        <v>4</v>
      </c>
      <c r="H7" s="124">
        <f>COUNTIFS(Başvuru!$G:$G, "Bireysel Araştırma", Başvuru!$L:$L, H$2, Başvuru!$J:$J, $B7) + COUNTIFS(Başvuru!$G:$G, "Bireysel Araştırma", Başvuru!$L:$L, H$2, Başvuru!$K:$K, $B7)</f>
        <v>1</v>
      </c>
      <c r="I7" s="124">
        <f>COUNTIFS(Başvuru!$G:$G, "Bireysel Araştırma", Başvuru!$L:$L, I$2, Başvuru!$J:$J, $B7) + COUNTIFS(Başvuru!$G:$G, "Bireysel Araştırma", Başvuru!$L:$L, I$2, Başvuru!$K:$K, $B7)</f>
        <v>4</v>
      </c>
      <c r="J7" s="124">
        <f>COUNTIFS(Başvuru!$G:$G, "Bireysel Araştırma", Başvuru!$L:$L, J$2, Başvuru!$J:$J, $B7) + COUNTIFS(Başvuru!$G:$G, "Bireysel Araştırma", Başvuru!$L:$L, J$2, Başvuru!$K:$K, $B7)</f>
        <v>0</v>
      </c>
      <c r="K7" s="124">
        <f t="shared" si="0"/>
        <v>48</v>
      </c>
      <c r="L7" s="124">
        <f>COUNTIFS(Başvuru!$G:$G, "Yüksek Lisans Tezi", Başvuru!$L:$L, L$2, Başvuru!$J:$J, $B7) + COUNTIFS(Başvuru!$G:$G, "Yüksek Lisans Tezi", Başvuru!$L:$L, L$2, Başvuru!$K:$K, $B7)</f>
        <v>0</v>
      </c>
      <c r="M7" s="124">
        <f>COUNTIFS(Başvuru!$G:$G, "Yüksek Lisans Tezi", Başvuru!$L:$L, M$2, Başvuru!$J:$J, $B7) + COUNTIFS(Başvuru!$G:$G, "Yüksek Lisans Tezi", Başvuru!$L:$L, M$2, Başvuru!$K:$K, $B7)</f>
        <v>0</v>
      </c>
      <c r="N7" s="124">
        <f>COUNTIFS(Başvuru!$G:$G, "Yüksek Lisans Tezi", Başvuru!$L:$L, N$2, Başvuru!$J:$J, $B7) + COUNTIFS(Başvuru!$G:$G, "Yüksek Lisans Tezi", Başvuru!$L:$L, N$2, Başvuru!$K:$K, $B7)</f>
        <v>0</v>
      </c>
      <c r="O7" s="124">
        <f>COUNTIFS(Başvuru!$G:$G, "Yüksek Lisans Tezi", Başvuru!$L:$L, O$2, Başvuru!$J:$J, $B7) + COUNTIFS(Başvuru!$G:$G, "Yüksek Lisans Tezi", Başvuru!$L:$L, O$2, Başvuru!$K:$K, $B7)</f>
        <v>0</v>
      </c>
      <c r="P7" s="124">
        <f>COUNTIFS(Başvuru!$G:$G, "Yüksek Lisans Tezi", Başvuru!$L:$L, P$2, Başvuru!$J:$J, $B7) + COUNTIFS(Başvuru!$G:$G, "Yüksek Lisans Tezi", Başvuru!$L:$L, P$2, Başvuru!$K:$K, $B7)</f>
        <v>0</v>
      </c>
      <c r="Q7" s="124">
        <f>COUNTIFS(Başvuru!$G:$G, "Yüksek Lisans Tezi", Başvuru!$L:$L, Q$2, Başvuru!$J:$J, $B7) + COUNTIFS(Başvuru!$G:$G, "Yüksek Lisans Tezi", Başvuru!$L:$L, Q$2, Başvuru!$K:$K, $B7)</f>
        <v>0</v>
      </c>
      <c r="R7" s="124">
        <f>COUNTIFS(Başvuru!$G:$G, "Yüksek Lisans Tezi", Başvuru!$L:$L, R$2, Başvuru!$J:$J, $B7) + COUNTIFS(Başvuru!$G:$G, "Yüksek Lisans Tezi", Başvuru!$L:$L, R$2, Başvuru!$K:$K, $B7)</f>
        <v>0</v>
      </c>
      <c r="S7" s="124">
        <f t="shared" si="1"/>
        <v>0</v>
      </c>
      <c r="T7" s="124">
        <f>COUNTIFS(Başvuru!$G:$G, "Doktora Tezi", Başvuru!$L:$L, T$2, Başvuru!$J:$J, $B7) + COUNTIFS(Başvuru!$G:$G, "Doktora Tezi", Başvuru!$L:$L, T$2, Başvuru!$K:$K, $B7)</f>
        <v>1</v>
      </c>
      <c r="U7" s="124">
        <f>COUNTIFS(Başvuru!$G:$G, "Doktora Tezi", Başvuru!$L:$L, U$2, Başvuru!$J:$J, $B7) + COUNTIFS(Başvuru!$G:$G, "Doktora Tezi", Başvuru!$L:$L, U$2, Başvuru!$K:$K, $B7)</f>
        <v>1</v>
      </c>
      <c r="V7" s="124">
        <f>COUNTIFS(Başvuru!$G:$G, "Doktora Tezi", Başvuru!$L:$L, V$2, Başvuru!$J:$J, $B7) + COUNTIFS(Başvuru!$G:$G, "Doktora Tezi", Başvuru!$L:$L, V$2, Başvuru!$K:$K, $B7)</f>
        <v>0</v>
      </c>
      <c r="W7" s="124">
        <f>COUNTIFS(Başvuru!$G:$G, "Doktora Tezi", Başvuru!$L:$L, W$2, Başvuru!$J:$J, $B7) + COUNTIFS(Başvuru!$G:$G, "Doktora Tezi", Başvuru!$L:$L, W$2, Başvuru!$K:$K, $B7)</f>
        <v>1</v>
      </c>
      <c r="X7" s="124">
        <f>COUNTIFS(Başvuru!$G:$G, "Doktora Tezi", Başvuru!$L:$L, X$2, Başvuru!$J:$J, $B7) + COUNTIFS(Başvuru!$G:$G, "Doktora Tezi", Başvuru!$L:$L, X$2, Başvuru!$K:$K, $B7)</f>
        <v>0</v>
      </c>
      <c r="Y7" s="124">
        <f>COUNTIFS(Başvuru!$G:$G, "Doktora Tezi", Başvuru!$L:$L, Y$2, Başvuru!$J:$J, $B7) + COUNTIFS(Başvuru!$G:$G, "Doktora Tezi", Başvuru!$L:$L, Y$2, Başvuru!$K:$K, $B7)</f>
        <v>0</v>
      </c>
      <c r="Z7" s="124">
        <f>COUNTIFS(Başvuru!$G:$G, "Doktora Tezi", Başvuru!$L:$L, Z$2, Başvuru!$J:$J, $B7) + COUNTIFS(Başvuru!$G:$G, "Doktora Tezi", Başvuru!$L:$L, Z$2, Başvuru!$K:$K, $B7)</f>
        <v>0</v>
      </c>
      <c r="AA7" s="124">
        <f t="shared" si="2"/>
        <v>3</v>
      </c>
      <c r="AB7" s="124">
        <f>COUNTIFS(Başvuru!$G:$G, "Uzmanlık Tezi", Başvuru!$L:$L, AB$2, Başvuru!$J:$J, $B7) + COUNTIFS(Başvuru!$G:$G, "Uzmanlık Tezi", Başvuru!$L:$L, AB$2, Başvuru!$K:$K, $B7)</f>
        <v>8</v>
      </c>
      <c r="AC7" s="124">
        <f>COUNTIFS(Başvuru!$G:$G, "Uzmanlık Tezi", Başvuru!$L:$L, AC$2, Başvuru!$J:$J, $B7) + COUNTIFS(Başvuru!$G:$G, "Uzmanlık Tezi", Başvuru!$L:$L, AC$2, Başvuru!$K:$K, $B7)</f>
        <v>9</v>
      </c>
      <c r="AD7" s="124">
        <f>COUNTIFS(Başvuru!$G:$G, "Uzmanlık Tezi", Başvuru!$L:$L, AD$2, Başvuru!$J:$J, $B7) + COUNTIFS(Başvuru!$G:$G, "Uzmanlık Tezi", Başvuru!$L:$L, AD$2, Başvuru!$K:$K, $B7)</f>
        <v>0</v>
      </c>
      <c r="AE7" s="124">
        <f>COUNTIFS(Başvuru!$G:$G, "Uzmanlık Tezi", Başvuru!$L:$L, AE$2, Başvuru!$J:$J, $B7) + COUNTIFS(Başvuru!$G:$G, "Uzmanlık Tezi", Başvuru!$L:$L, AE$2, Başvuru!$K:$K, $B7)</f>
        <v>1</v>
      </c>
      <c r="AF7" s="124">
        <f>COUNTIFS(Başvuru!$G:$G, "Uzmanlık Tezi", Başvuru!$L:$L, AF$2, Başvuru!$J:$J, $B7) + COUNTIFS(Başvuru!$G:$G, "Uzmanlık Tezi", Başvuru!$L:$L, AF$2, Başvuru!$K:$K, $B7)</f>
        <v>0</v>
      </c>
      <c r="AG7" s="124">
        <f>COUNTIFS(Başvuru!$G:$G, "Uzmanlık Tezi", Başvuru!$L:$L, AG$2, Başvuru!$J:$J, $B7) + COUNTIFS(Başvuru!$G:$G, "Uzmanlık Tezi", Başvuru!$L:$L, AG$2, Başvuru!$K:$K, $B7)</f>
        <v>0</v>
      </c>
      <c r="AH7" s="124">
        <f>COUNTIFS(Başvuru!$G:$G, "Uzmanlık Tezi", Başvuru!$L:$L, AH$2, Başvuru!$J:$J, $B7) + COUNTIFS(Başvuru!$G:$G, "Uzmanlık Tezi", Başvuru!$L:$L, AH$2, Başvuru!$K:$K, $B7)</f>
        <v>0</v>
      </c>
      <c r="AI7" s="124">
        <f t="shared" si="3"/>
        <v>18</v>
      </c>
      <c r="AJ7" s="126">
        <f t="shared" si="4"/>
        <v>35</v>
      </c>
      <c r="AK7" s="126">
        <f t="shared" si="5"/>
        <v>23</v>
      </c>
      <c r="AL7" s="126">
        <f t="shared" si="6"/>
        <v>0</v>
      </c>
      <c r="AM7" s="126">
        <f t="shared" si="7"/>
        <v>6</v>
      </c>
      <c r="AN7" s="126">
        <f t="shared" si="8"/>
        <v>1</v>
      </c>
      <c r="AO7" s="126">
        <f t="shared" si="9"/>
        <v>4</v>
      </c>
      <c r="AP7" s="126">
        <f t="shared" si="10"/>
        <v>0</v>
      </c>
      <c r="AQ7" s="126">
        <f t="shared" si="11"/>
        <v>69</v>
      </c>
    </row>
    <row r="8" spans="1:43" s="121" customFormat="1" ht="30" customHeight="1" x14ac:dyDescent="0.25">
      <c r="A8" s="122" t="s">
        <v>104</v>
      </c>
      <c r="B8" s="123" t="s">
        <v>125</v>
      </c>
      <c r="C8" s="124">
        <f>COUNTIF(Başvuru!$J:$K, $B8)</f>
        <v>86</v>
      </c>
      <c r="D8" s="124">
        <f>COUNTIFS(Başvuru!$G:$G, "Bireysel Araştırma", Başvuru!$L:$L, D$2, Başvuru!$J:$J, $B8) + COUNTIFS(Başvuru!$G:$G, "Bireysel Araştırma", Başvuru!$L:$L, D$2, Başvuru!$K:$K, $B8)</f>
        <v>37</v>
      </c>
      <c r="E8" s="124">
        <f>COUNTIFS(Başvuru!$G:$G, "Bireysel Araştırma", Başvuru!$L:$L, E$2, Başvuru!$J:$J, $B8) + COUNTIFS(Başvuru!$G:$G, "Bireysel Araştırma", Başvuru!$L:$L, E$2, Başvuru!$K:$K, $B8)</f>
        <v>15</v>
      </c>
      <c r="F8" s="124">
        <f>COUNTIFS(Başvuru!$G:$G, "Bireysel Araştırma", Başvuru!$L:$L, F$2, Başvuru!$J:$J, $B8) + COUNTIFS(Başvuru!$G:$G, "Bireysel Araştırma", Başvuru!$L:$L, F$2, Başvuru!$K:$K, $B8)</f>
        <v>0</v>
      </c>
      <c r="G8" s="124">
        <f>COUNTIFS(Başvuru!$G:$G, "Bireysel Araştırma", Başvuru!$L:$L, G$2, Başvuru!$J:$J, $B8) + COUNTIFS(Başvuru!$G:$G, "Bireysel Araştırma", Başvuru!$L:$L, G$2, Başvuru!$K:$K, $B8)</f>
        <v>2</v>
      </c>
      <c r="H8" s="124">
        <f>COUNTIFS(Başvuru!$G:$G, "Bireysel Araştırma", Başvuru!$L:$L, H$2, Başvuru!$J:$J, $B8) + COUNTIFS(Başvuru!$G:$G, "Bireysel Araştırma", Başvuru!$L:$L, H$2, Başvuru!$K:$K, $B8)</f>
        <v>2</v>
      </c>
      <c r="I8" s="124">
        <f>COUNTIFS(Başvuru!$G:$G, "Bireysel Araştırma", Başvuru!$L:$L, I$2, Başvuru!$J:$J, $B8) + COUNTIFS(Başvuru!$G:$G, "Bireysel Araştırma", Başvuru!$L:$L, I$2, Başvuru!$K:$K, $B8)</f>
        <v>1</v>
      </c>
      <c r="J8" s="124">
        <f>COUNTIFS(Başvuru!$G:$G, "Bireysel Araştırma", Başvuru!$L:$L, J$2, Başvuru!$J:$J, $B8) + COUNTIFS(Başvuru!$G:$G, "Bireysel Araştırma", Başvuru!$L:$L, J$2, Başvuru!$K:$K, $B8)</f>
        <v>0</v>
      </c>
      <c r="K8" s="124">
        <f t="shared" si="0"/>
        <v>57</v>
      </c>
      <c r="L8" s="124">
        <f>COUNTIFS(Başvuru!$G:$G, "Yüksek Lisans Tezi", Başvuru!$L:$L, L$2, Başvuru!$J:$J, $B8) + COUNTIFS(Başvuru!$G:$G, "Yüksek Lisans Tezi", Başvuru!$L:$L, L$2, Başvuru!$K:$K, $B8)</f>
        <v>0</v>
      </c>
      <c r="M8" s="124">
        <f>COUNTIFS(Başvuru!$G:$G, "Yüksek Lisans Tezi", Başvuru!$L:$L, M$2, Başvuru!$J:$J, $B8) + COUNTIFS(Başvuru!$G:$G, "Yüksek Lisans Tezi", Başvuru!$L:$L, M$2, Başvuru!$K:$K, $B8)</f>
        <v>0</v>
      </c>
      <c r="N8" s="124">
        <f>COUNTIFS(Başvuru!$G:$G, "Yüksek Lisans Tezi", Başvuru!$L:$L, N$2, Başvuru!$J:$J, $B8) + COUNTIFS(Başvuru!$G:$G, "Yüksek Lisans Tezi", Başvuru!$L:$L, N$2, Başvuru!$K:$K, $B8)</f>
        <v>0</v>
      </c>
      <c r="O8" s="124">
        <f>COUNTIFS(Başvuru!$G:$G, "Yüksek Lisans Tezi", Başvuru!$L:$L, O$2, Başvuru!$J:$J, $B8) + COUNTIFS(Başvuru!$G:$G, "Yüksek Lisans Tezi", Başvuru!$L:$L, O$2, Başvuru!$K:$K, $B8)</f>
        <v>0</v>
      </c>
      <c r="P8" s="124">
        <f>COUNTIFS(Başvuru!$G:$G, "Yüksek Lisans Tezi", Başvuru!$L:$L, P$2, Başvuru!$J:$J, $B8) + COUNTIFS(Başvuru!$G:$G, "Yüksek Lisans Tezi", Başvuru!$L:$L, P$2, Başvuru!$K:$K, $B8)</f>
        <v>0</v>
      </c>
      <c r="Q8" s="124">
        <f>COUNTIFS(Başvuru!$G:$G, "Yüksek Lisans Tezi", Başvuru!$L:$L, Q$2, Başvuru!$J:$J, $B8) + COUNTIFS(Başvuru!$G:$G, "Yüksek Lisans Tezi", Başvuru!$L:$L, Q$2, Başvuru!$K:$K, $B8)</f>
        <v>0</v>
      </c>
      <c r="R8" s="124">
        <f>COUNTIFS(Başvuru!$G:$G, "Yüksek Lisans Tezi", Başvuru!$L:$L, R$2, Başvuru!$J:$J, $B8) + COUNTIFS(Başvuru!$G:$G, "Yüksek Lisans Tezi", Başvuru!$L:$L, R$2, Başvuru!$K:$K, $B8)</f>
        <v>0</v>
      </c>
      <c r="S8" s="124">
        <f t="shared" si="1"/>
        <v>0</v>
      </c>
      <c r="T8" s="124">
        <f>COUNTIFS(Başvuru!$G:$G, "Doktora Tezi", Başvuru!$L:$L, T$2, Başvuru!$J:$J, $B8) + COUNTIFS(Başvuru!$G:$G, "Doktora Tezi", Başvuru!$L:$L, T$2, Başvuru!$K:$K, $B8)</f>
        <v>0</v>
      </c>
      <c r="U8" s="124">
        <f>COUNTIFS(Başvuru!$G:$G, "Doktora Tezi", Başvuru!$L:$L, U$2, Başvuru!$J:$J, $B8) + COUNTIFS(Başvuru!$G:$G, "Doktora Tezi", Başvuru!$L:$L, U$2, Başvuru!$K:$K, $B8)</f>
        <v>2</v>
      </c>
      <c r="V8" s="124">
        <f>COUNTIFS(Başvuru!$G:$G, "Doktora Tezi", Başvuru!$L:$L, V$2, Başvuru!$J:$J, $B8) + COUNTIFS(Başvuru!$G:$G, "Doktora Tezi", Başvuru!$L:$L, V$2, Başvuru!$K:$K, $B8)</f>
        <v>0</v>
      </c>
      <c r="W8" s="124">
        <f>COUNTIFS(Başvuru!$G:$G, "Doktora Tezi", Başvuru!$L:$L, W$2, Başvuru!$J:$J, $B8) + COUNTIFS(Başvuru!$G:$G, "Doktora Tezi", Başvuru!$L:$L, W$2, Başvuru!$K:$K, $B8)</f>
        <v>0</v>
      </c>
      <c r="X8" s="124">
        <f>COUNTIFS(Başvuru!$G:$G, "Doktora Tezi", Başvuru!$L:$L, X$2, Başvuru!$J:$J, $B8) + COUNTIFS(Başvuru!$G:$G, "Doktora Tezi", Başvuru!$L:$L, X$2, Başvuru!$K:$K, $B8)</f>
        <v>0</v>
      </c>
      <c r="Y8" s="124">
        <f>COUNTIFS(Başvuru!$G:$G, "Doktora Tezi", Başvuru!$L:$L, Y$2, Başvuru!$J:$J, $B8) + COUNTIFS(Başvuru!$G:$G, "Doktora Tezi", Başvuru!$L:$L, Y$2, Başvuru!$K:$K, $B8)</f>
        <v>0</v>
      </c>
      <c r="Z8" s="124">
        <f>COUNTIFS(Başvuru!$G:$G, "Doktora Tezi", Başvuru!$L:$L, Z$2, Başvuru!$J:$J, $B8) + COUNTIFS(Başvuru!$G:$G, "Doktora Tezi", Başvuru!$L:$L, Z$2, Başvuru!$K:$K, $B8)</f>
        <v>0</v>
      </c>
      <c r="AA8" s="124">
        <f t="shared" si="2"/>
        <v>2</v>
      </c>
      <c r="AB8" s="124">
        <f>COUNTIFS(Başvuru!$G:$G, "Uzmanlık Tezi", Başvuru!$L:$L, AB$2, Başvuru!$J:$J, $B8) + COUNTIFS(Başvuru!$G:$G, "Uzmanlık Tezi", Başvuru!$L:$L, AB$2, Başvuru!$K:$K, $B8)</f>
        <v>10</v>
      </c>
      <c r="AC8" s="124">
        <f>COUNTIFS(Başvuru!$G:$G, "Uzmanlık Tezi", Başvuru!$L:$L, AC$2, Başvuru!$J:$J, $B8) + COUNTIFS(Başvuru!$G:$G, "Uzmanlık Tezi", Başvuru!$L:$L, AC$2, Başvuru!$K:$K, $B8)</f>
        <v>6</v>
      </c>
      <c r="AD8" s="124">
        <f>COUNTIFS(Başvuru!$G:$G, "Uzmanlık Tezi", Başvuru!$L:$L, AD$2, Başvuru!$J:$J, $B8) + COUNTIFS(Başvuru!$G:$G, "Uzmanlık Tezi", Başvuru!$L:$L, AD$2, Başvuru!$K:$K, $B8)</f>
        <v>1</v>
      </c>
      <c r="AE8" s="124">
        <f>COUNTIFS(Başvuru!$G:$G, "Uzmanlık Tezi", Başvuru!$L:$L, AE$2, Başvuru!$J:$J, $B8) + COUNTIFS(Başvuru!$G:$G, "Uzmanlık Tezi", Başvuru!$L:$L, AE$2, Başvuru!$K:$K, $B8)</f>
        <v>0</v>
      </c>
      <c r="AF8" s="124">
        <f>COUNTIFS(Başvuru!$G:$G, "Uzmanlık Tezi", Başvuru!$L:$L, AF$2, Başvuru!$J:$J, $B8) + COUNTIFS(Başvuru!$G:$G, "Uzmanlık Tezi", Başvuru!$L:$L, AF$2, Başvuru!$K:$K, $B8)</f>
        <v>0</v>
      </c>
      <c r="AG8" s="124">
        <f>COUNTIFS(Başvuru!$G:$G, "Uzmanlık Tezi", Başvuru!$L:$L, AG$2, Başvuru!$J:$J, $B8) + COUNTIFS(Başvuru!$G:$G, "Uzmanlık Tezi", Başvuru!$L:$L, AG$2, Başvuru!$K:$K, $B8)</f>
        <v>0</v>
      </c>
      <c r="AH8" s="124">
        <f>COUNTIFS(Başvuru!$G:$G, "Uzmanlık Tezi", Başvuru!$L:$L, AH$2, Başvuru!$J:$J, $B8) + COUNTIFS(Başvuru!$G:$G, "Uzmanlık Tezi", Başvuru!$L:$L, AH$2, Başvuru!$K:$K, $B8)</f>
        <v>0</v>
      </c>
      <c r="AI8" s="124">
        <f t="shared" si="3"/>
        <v>17</v>
      </c>
      <c r="AJ8" s="126">
        <f t="shared" si="4"/>
        <v>47</v>
      </c>
      <c r="AK8" s="126">
        <f t="shared" si="5"/>
        <v>23</v>
      </c>
      <c r="AL8" s="126">
        <f t="shared" si="6"/>
        <v>1</v>
      </c>
      <c r="AM8" s="126">
        <f t="shared" si="7"/>
        <v>2</v>
      </c>
      <c r="AN8" s="126">
        <f t="shared" si="8"/>
        <v>2</v>
      </c>
      <c r="AO8" s="126">
        <f t="shared" si="9"/>
        <v>1</v>
      </c>
      <c r="AP8" s="126">
        <f t="shared" si="10"/>
        <v>0</v>
      </c>
      <c r="AQ8" s="126">
        <f t="shared" si="11"/>
        <v>76</v>
      </c>
    </row>
    <row r="9" spans="1:43" s="121" customFormat="1" ht="30" customHeight="1" x14ac:dyDescent="0.25">
      <c r="A9" s="122" t="s">
        <v>112</v>
      </c>
      <c r="B9" s="123" t="s">
        <v>74</v>
      </c>
      <c r="C9" s="124">
        <f>COUNTIF(Başvuru!$J:$K, $B9)</f>
        <v>101</v>
      </c>
      <c r="D9" s="124">
        <f>COUNTIFS(Başvuru!$G:$G, "Bireysel Araştırma", Başvuru!$L:$L, D$2, Başvuru!$J:$J, $B9) + COUNTIFS(Başvuru!$G:$G, "Bireysel Araştırma", Başvuru!$L:$L, D$2, Başvuru!$K:$K, $B9)</f>
        <v>39</v>
      </c>
      <c r="E9" s="124">
        <f>COUNTIFS(Başvuru!$G:$G, "Bireysel Araştırma", Başvuru!$L:$L, E$2, Başvuru!$J:$J, $B9) + COUNTIFS(Başvuru!$G:$G, "Bireysel Araştırma", Başvuru!$L:$L, E$2, Başvuru!$K:$K, $B9)</f>
        <v>17</v>
      </c>
      <c r="F9" s="124">
        <f>COUNTIFS(Başvuru!$G:$G, "Bireysel Araştırma", Başvuru!$L:$L, F$2, Başvuru!$J:$J, $B9) + COUNTIFS(Başvuru!$G:$G, "Bireysel Araştırma", Başvuru!$L:$L, F$2, Başvuru!$K:$K, $B9)</f>
        <v>0</v>
      </c>
      <c r="G9" s="124">
        <f>COUNTIFS(Başvuru!$G:$G, "Bireysel Araştırma", Başvuru!$L:$L, G$2, Başvuru!$J:$J, $B9) + COUNTIFS(Başvuru!$G:$G, "Bireysel Araştırma", Başvuru!$L:$L, G$2, Başvuru!$K:$K, $B9)</f>
        <v>5</v>
      </c>
      <c r="H9" s="124">
        <f>COUNTIFS(Başvuru!$G:$G, "Bireysel Araştırma", Başvuru!$L:$L, H$2, Başvuru!$J:$J, $B9) + COUNTIFS(Başvuru!$G:$G, "Bireysel Araştırma", Başvuru!$L:$L, H$2, Başvuru!$K:$K, $B9)</f>
        <v>3</v>
      </c>
      <c r="I9" s="124">
        <f>COUNTIFS(Başvuru!$G:$G, "Bireysel Araştırma", Başvuru!$L:$L, I$2, Başvuru!$J:$J, $B9) + COUNTIFS(Başvuru!$G:$G, "Bireysel Araştırma", Başvuru!$L:$L, I$2, Başvuru!$K:$K, $B9)</f>
        <v>1</v>
      </c>
      <c r="J9" s="124">
        <f>COUNTIFS(Başvuru!$G:$G, "Bireysel Araştırma", Başvuru!$L:$L, J$2, Başvuru!$J:$J, $B9) + COUNTIFS(Başvuru!$G:$G, "Bireysel Araştırma", Başvuru!$L:$L, J$2, Başvuru!$K:$K, $B9)</f>
        <v>0</v>
      </c>
      <c r="K9" s="124">
        <f t="shared" si="0"/>
        <v>65</v>
      </c>
      <c r="L9" s="124">
        <f>COUNTIFS(Başvuru!$G:$G, "Yüksek Lisans Tezi", Başvuru!$L:$L, L$2, Başvuru!$J:$J, $B9) + COUNTIFS(Başvuru!$G:$G, "Yüksek Lisans Tezi", Başvuru!$L:$L, L$2, Başvuru!$K:$K, $B9)</f>
        <v>0</v>
      </c>
      <c r="M9" s="124">
        <f>COUNTIFS(Başvuru!$G:$G, "Yüksek Lisans Tezi", Başvuru!$L:$L, M$2, Başvuru!$J:$J, $B9) + COUNTIFS(Başvuru!$G:$G, "Yüksek Lisans Tezi", Başvuru!$L:$L, M$2, Başvuru!$K:$K, $B9)</f>
        <v>2</v>
      </c>
      <c r="N9" s="124">
        <f>COUNTIFS(Başvuru!$G:$G, "Yüksek Lisans Tezi", Başvuru!$L:$L, N$2, Başvuru!$J:$J, $B9) + COUNTIFS(Başvuru!$G:$G, "Yüksek Lisans Tezi", Başvuru!$L:$L, N$2, Başvuru!$K:$K, $B9)</f>
        <v>0</v>
      </c>
      <c r="O9" s="124">
        <f>COUNTIFS(Başvuru!$G:$G, "Yüksek Lisans Tezi", Başvuru!$L:$L, O$2, Başvuru!$J:$J, $B9) + COUNTIFS(Başvuru!$G:$G, "Yüksek Lisans Tezi", Başvuru!$L:$L, O$2, Başvuru!$K:$K, $B9)</f>
        <v>0</v>
      </c>
      <c r="P9" s="124">
        <f>COUNTIFS(Başvuru!$G:$G, "Yüksek Lisans Tezi", Başvuru!$L:$L, P$2, Başvuru!$J:$J, $B9) + COUNTIFS(Başvuru!$G:$G, "Yüksek Lisans Tezi", Başvuru!$L:$L, P$2, Başvuru!$K:$K, $B9)</f>
        <v>0</v>
      </c>
      <c r="Q9" s="124">
        <f>COUNTIFS(Başvuru!$G:$G, "Yüksek Lisans Tezi", Başvuru!$L:$L, Q$2, Başvuru!$J:$J, $B9) + COUNTIFS(Başvuru!$G:$G, "Yüksek Lisans Tezi", Başvuru!$L:$L, Q$2, Başvuru!$K:$K, $B9)</f>
        <v>0</v>
      </c>
      <c r="R9" s="124">
        <f>COUNTIFS(Başvuru!$G:$G, "Yüksek Lisans Tezi", Başvuru!$L:$L, R$2, Başvuru!$J:$J, $B9) + COUNTIFS(Başvuru!$G:$G, "Yüksek Lisans Tezi", Başvuru!$L:$L, R$2, Başvuru!$K:$K, $B9)</f>
        <v>0</v>
      </c>
      <c r="S9" s="124">
        <f t="shared" si="1"/>
        <v>2</v>
      </c>
      <c r="T9" s="124">
        <f>COUNTIFS(Başvuru!$G:$G, "Doktora Tezi", Başvuru!$L:$L, T$2, Başvuru!$J:$J, $B9) + COUNTIFS(Başvuru!$G:$G, "Doktora Tezi", Başvuru!$L:$L, T$2, Başvuru!$K:$K, $B9)</f>
        <v>1</v>
      </c>
      <c r="U9" s="124">
        <f>COUNTIFS(Başvuru!$G:$G, "Doktora Tezi", Başvuru!$L:$L, U$2, Başvuru!$J:$J, $B9) + COUNTIFS(Başvuru!$G:$G, "Doktora Tezi", Başvuru!$L:$L, U$2, Başvuru!$K:$K, $B9)</f>
        <v>3</v>
      </c>
      <c r="V9" s="124">
        <f>COUNTIFS(Başvuru!$G:$G, "Doktora Tezi", Başvuru!$L:$L, V$2, Başvuru!$J:$J, $B9) + COUNTIFS(Başvuru!$G:$G, "Doktora Tezi", Başvuru!$L:$L, V$2, Başvuru!$K:$K, $B9)</f>
        <v>0</v>
      </c>
      <c r="W9" s="124">
        <f>COUNTIFS(Başvuru!$G:$G, "Doktora Tezi", Başvuru!$L:$L, W$2, Başvuru!$J:$J, $B9) + COUNTIFS(Başvuru!$G:$G, "Doktora Tezi", Başvuru!$L:$L, W$2, Başvuru!$K:$K, $B9)</f>
        <v>2</v>
      </c>
      <c r="X9" s="124">
        <f>COUNTIFS(Başvuru!$G:$G, "Doktora Tezi", Başvuru!$L:$L, X$2, Başvuru!$J:$J, $B9) + COUNTIFS(Başvuru!$G:$G, "Doktora Tezi", Başvuru!$L:$L, X$2, Başvuru!$K:$K, $B9)</f>
        <v>0</v>
      </c>
      <c r="Y9" s="124">
        <f>COUNTIFS(Başvuru!$G:$G, "Doktora Tezi", Başvuru!$L:$L, Y$2, Başvuru!$J:$J, $B9) + COUNTIFS(Başvuru!$G:$G, "Doktora Tezi", Başvuru!$L:$L, Y$2, Başvuru!$K:$K, $B9)</f>
        <v>0</v>
      </c>
      <c r="Z9" s="124">
        <f>COUNTIFS(Başvuru!$G:$G, "Doktora Tezi", Başvuru!$L:$L, Z$2, Başvuru!$J:$J, $B9) + COUNTIFS(Başvuru!$G:$G, "Doktora Tezi", Başvuru!$L:$L, Z$2, Başvuru!$K:$K, $B9)</f>
        <v>0</v>
      </c>
      <c r="AA9" s="124">
        <f t="shared" si="2"/>
        <v>6</v>
      </c>
      <c r="AB9" s="124">
        <f>COUNTIFS(Başvuru!$G:$G, "Uzmanlık Tezi", Başvuru!$L:$L, AB$2, Başvuru!$J:$J, $B9) + COUNTIFS(Başvuru!$G:$G, "Uzmanlık Tezi", Başvuru!$L:$L, AB$2, Başvuru!$K:$K, $B9)</f>
        <v>10</v>
      </c>
      <c r="AC9" s="124">
        <f>COUNTIFS(Başvuru!$G:$G, "Uzmanlık Tezi", Başvuru!$L:$L, AC$2, Başvuru!$J:$J, $B9) + COUNTIFS(Başvuru!$G:$G, "Uzmanlık Tezi", Başvuru!$L:$L, AC$2, Başvuru!$K:$K, $B9)</f>
        <v>8</v>
      </c>
      <c r="AD9" s="124">
        <f>COUNTIFS(Başvuru!$G:$G, "Uzmanlık Tezi", Başvuru!$L:$L, AD$2, Başvuru!$J:$J, $B9) + COUNTIFS(Başvuru!$G:$G, "Uzmanlık Tezi", Başvuru!$L:$L, AD$2, Başvuru!$K:$K, $B9)</f>
        <v>0</v>
      </c>
      <c r="AE9" s="124">
        <f>COUNTIFS(Başvuru!$G:$G, "Uzmanlık Tezi", Başvuru!$L:$L, AE$2, Başvuru!$J:$J, $B9) + COUNTIFS(Başvuru!$G:$G, "Uzmanlık Tezi", Başvuru!$L:$L, AE$2, Başvuru!$K:$K, $B9)</f>
        <v>1</v>
      </c>
      <c r="AF9" s="124">
        <f>COUNTIFS(Başvuru!$G:$G, "Uzmanlık Tezi", Başvuru!$L:$L, AF$2, Başvuru!$J:$J, $B9) + COUNTIFS(Başvuru!$G:$G, "Uzmanlık Tezi", Başvuru!$L:$L, AF$2, Başvuru!$K:$K, $B9)</f>
        <v>0</v>
      </c>
      <c r="AG9" s="124">
        <f>COUNTIFS(Başvuru!$G:$G, "Uzmanlık Tezi", Başvuru!$L:$L, AG$2, Başvuru!$J:$J, $B9) + COUNTIFS(Başvuru!$G:$G, "Uzmanlık Tezi", Başvuru!$L:$L, AG$2, Başvuru!$K:$K, $B9)</f>
        <v>0</v>
      </c>
      <c r="AH9" s="124">
        <f>COUNTIFS(Başvuru!$G:$G, "Uzmanlık Tezi", Başvuru!$L:$L, AH$2, Başvuru!$J:$J, $B9) + COUNTIFS(Başvuru!$G:$G, "Uzmanlık Tezi", Başvuru!$L:$L, AH$2, Başvuru!$K:$K, $B9)</f>
        <v>0</v>
      </c>
      <c r="AI9" s="124">
        <f t="shared" si="3"/>
        <v>19</v>
      </c>
      <c r="AJ9" s="126">
        <f t="shared" si="4"/>
        <v>50</v>
      </c>
      <c r="AK9" s="126">
        <f t="shared" si="5"/>
        <v>30</v>
      </c>
      <c r="AL9" s="126">
        <f t="shared" si="6"/>
        <v>0</v>
      </c>
      <c r="AM9" s="126">
        <f t="shared" si="7"/>
        <v>8</v>
      </c>
      <c r="AN9" s="126">
        <f t="shared" si="8"/>
        <v>3</v>
      </c>
      <c r="AO9" s="126">
        <f t="shared" si="9"/>
        <v>1</v>
      </c>
      <c r="AP9" s="126">
        <f t="shared" si="10"/>
        <v>0</v>
      </c>
      <c r="AQ9" s="126">
        <f t="shared" si="11"/>
        <v>92</v>
      </c>
    </row>
    <row r="10" spans="1:43" s="121" customFormat="1" ht="30" customHeight="1" x14ac:dyDescent="0.25">
      <c r="A10" s="122" t="s">
        <v>120</v>
      </c>
      <c r="B10" s="123" t="s">
        <v>65</v>
      </c>
      <c r="C10" s="124">
        <f>COUNTIF(Başvuru!$J:$K, $B10)</f>
        <v>85</v>
      </c>
      <c r="D10" s="124">
        <f>COUNTIFS(Başvuru!$G:$G, "Bireysel Araştırma", Başvuru!$L:$L, D$2, Başvuru!$J:$J, $B10) + COUNTIFS(Başvuru!$G:$G, "Bireysel Araştırma", Başvuru!$L:$L, D$2, Başvuru!$K:$K, $B10)</f>
        <v>33</v>
      </c>
      <c r="E10" s="124">
        <f>COUNTIFS(Başvuru!$G:$G, "Bireysel Araştırma", Başvuru!$L:$L, E$2, Başvuru!$J:$J, $B10) + COUNTIFS(Başvuru!$G:$G, "Bireysel Araştırma", Başvuru!$L:$L, E$2, Başvuru!$K:$K, $B10)</f>
        <v>19</v>
      </c>
      <c r="F10" s="124">
        <f>COUNTIFS(Başvuru!$G:$G, "Bireysel Araştırma", Başvuru!$L:$L, F$2, Başvuru!$J:$J, $B10) + COUNTIFS(Başvuru!$G:$G, "Bireysel Araştırma", Başvuru!$L:$L, F$2, Başvuru!$K:$K, $B10)</f>
        <v>1</v>
      </c>
      <c r="G10" s="124">
        <f>COUNTIFS(Başvuru!$G:$G, "Bireysel Araştırma", Başvuru!$L:$L, G$2, Başvuru!$J:$J, $B10) + COUNTIFS(Başvuru!$G:$G, "Bireysel Araştırma", Başvuru!$L:$L, G$2, Başvuru!$K:$K, $B10)</f>
        <v>2</v>
      </c>
      <c r="H10" s="124">
        <f>COUNTIFS(Başvuru!$G:$G, "Bireysel Araştırma", Başvuru!$L:$L, H$2, Başvuru!$J:$J, $B10) + COUNTIFS(Başvuru!$G:$G, "Bireysel Araştırma", Başvuru!$L:$L, H$2, Başvuru!$K:$K, $B10)</f>
        <v>1</v>
      </c>
      <c r="I10" s="124">
        <f>COUNTIFS(Başvuru!$G:$G, "Bireysel Araştırma", Başvuru!$L:$L, I$2, Başvuru!$J:$J, $B10) + COUNTIFS(Başvuru!$G:$G, "Bireysel Araştırma", Başvuru!$L:$L, I$2, Başvuru!$K:$K, $B10)</f>
        <v>0</v>
      </c>
      <c r="J10" s="124">
        <f>COUNTIFS(Başvuru!$G:$G, "Bireysel Araştırma", Başvuru!$L:$L, J$2, Başvuru!$J:$J, $B10) + COUNTIFS(Başvuru!$G:$G, "Bireysel Araştırma", Başvuru!$L:$L, J$2, Başvuru!$K:$K, $B10)</f>
        <v>0</v>
      </c>
      <c r="K10" s="124">
        <f t="shared" si="0"/>
        <v>56</v>
      </c>
      <c r="L10" s="124">
        <f>COUNTIFS(Başvuru!$G:$G, "Yüksek Lisans Tezi", Başvuru!$L:$L, L$2, Başvuru!$J:$J, $B10) + COUNTIFS(Başvuru!$G:$G, "Yüksek Lisans Tezi", Başvuru!$L:$L, L$2, Başvuru!$K:$K, $B10)</f>
        <v>1</v>
      </c>
      <c r="M10" s="124">
        <f>COUNTIFS(Başvuru!$G:$G, "Yüksek Lisans Tezi", Başvuru!$L:$L, M$2, Başvuru!$J:$J, $B10) + COUNTIFS(Başvuru!$G:$G, "Yüksek Lisans Tezi", Başvuru!$L:$L, M$2, Başvuru!$K:$K, $B10)</f>
        <v>2</v>
      </c>
      <c r="N10" s="124">
        <f>COUNTIFS(Başvuru!$G:$G, "Yüksek Lisans Tezi", Başvuru!$L:$L, N$2, Başvuru!$J:$J, $B10) + COUNTIFS(Başvuru!$G:$G, "Yüksek Lisans Tezi", Başvuru!$L:$L, N$2, Başvuru!$K:$K, $B10)</f>
        <v>0</v>
      </c>
      <c r="O10" s="124">
        <f>COUNTIFS(Başvuru!$G:$G, "Yüksek Lisans Tezi", Başvuru!$L:$L, O$2, Başvuru!$J:$J, $B10) + COUNTIFS(Başvuru!$G:$G, "Yüksek Lisans Tezi", Başvuru!$L:$L, O$2, Başvuru!$K:$K, $B10)</f>
        <v>0</v>
      </c>
      <c r="P10" s="124">
        <f>COUNTIFS(Başvuru!$G:$G, "Yüksek Lisans Tezi", Başvuru!$L:$L, P$2, Başvuru!$J:$J, $B10) + COUNTIFS(Başvuru!$G:$G, "Yüksek Lisans Tezi", Başvuru!$L:$L, P$2, Başvuru!$K:$K, $B10)</f>
        <v>1</v>
      </c>
      <c r="Q10" s="124">
        <f>COUNTIFS(Başvuru!$G:$G, "Yüksek Lisans Tezi", Başvuru!$L:$L, Q$2, Başvuru!$J:$J, $B10) + COUNTIFS(Başvuru!$G:$G, "Yüksek Lisans Tezi", Başvuru!$L:$L, Q$2, Başvuru!$K:$K, $B10)</f>
        <v>0</v>
      </c>
      <c r="R10" s="124">
        <f>COUNTIFS(Başvuru!$G:$G, "Yüksek Lisans Tezi", Başvuru!$L:$L, R$2, Başvuru!$J:$J, $B10) + COUNTIFS(Başvuru!$G:$G, "Yüksek Lisans Tezi", Başvuru!$L:$L, R$2, Başvuru!$K:$K, $B10)</f>
        <v>0</v>
      </c>
      <c r="S10" s="124">
        <f t="shared" si="1"/>
        <v>4</v>
      </c>
      <c r="T10" s="124">
        <f>COUNTIFS(Başvuru!$G:$G, "Doktora Tezi", Başvuru!$L:$L, T$2, Başvuru!$J:$J, $B10) + COUNTIFS(Başvuru!$G:$G, "Doktora Tezi", Başvuru!$L:$L, T$2, Başvuru!$K:$K, $B10)</f>
        <v>2</v>
      </c>
      <c r="U10" s="124">
        <f>COUNTIFS(Başvuru!$G:$G, "Doktora Tezi", Başvuru!$L:$L, U$2, Başvuru!$J:$J, $B10) + COUNTIFS(Başvuru!$G:$G, "Doktora Tezi", Başvuru!$L:$L, U$2, Başvuru!$K:$K, $B10)</f>
        <v>1</v>
      </c>
      <c r="V10" s="124">
        <f>COUNTIFS(Başvuru!$G:$G, "Doktora Tezi", Başvuru!$L:$L, V$2, Başvuru!$J:$J, $B10) + COUNTIFS(Başvuru!$G:$G, "Doktora Tezi", Başvuru!$L:$L, V$2, Başvuru!$K:$K, $B10)</f>
        <v>0</v>
      </c>
      <c r="W10" s="124">
        <f>COUNTIFS(Başvuru!$G:$G, "Doktora Tezi", Başvuru!$L:$L, W$2, Başvuru!$J:$J, $B10) + COUNTIFS(Başvuru!$G:$G, "Doktora Tezi", Başvuru!$L:$L, W$2, Başvuru!$K:$K, $B10)</f>
        <v>0</v>
      </c>
      <c r="X10" s="124">
        <f>COUNTIFS(Başvuru!$G:$G, "Doktora Tezi", Başvuru!$L:$L, X$2, Başvuru!$J:$J, $B10) + COUNTIFS(Başvuru!$G:$G, "Doktora Tezi", Başvuru!$L:$L, X$2, Başvuru!$K:$K, $B10)</f>
        <v>0</v>
      </c>
      <c r="Y10" s="124">
        <f>COUNTIFS(Başvuru!$G:$G, "Doktora Tezi", Başvuru!$L:$L, Y$2, Başvuru!$J:$J, $B10) + COUNTIFS(Başvuru!$G:$G, "Doktora Tezi", Başvuru!$L:$L, Y$2, Başvuru!$K:$K, $B10)</f>
        <v>0</v>
      </c>
      <c r="Z10" s="124">
        <f>COUNTIFS(Başvuru!$G:$G, "Doktora Tezi", Başvuru!$L:$L, Z$2, Başvuru!$J:$J, $B10) + COUNTIFS(Başvuru!$G:$G, "Doktora Tezi", Başvuru!$L:$L, Z$2, Başvuru!$K:$K, $B10)</f>
        <v>0</v>
      </c>
      <c r="AA10" s="124">
        <f t="shared" si="2"/>
        <v>3</v>
      </c>
      <c r="AB10" s="124">
        <f>COUNTIFS(Başvuru!$G:$G, "Uzmanlık Tezi", Başvuru!$L:$L, AB$2, Başvuru!$J:$J, $B10) + COUNTIFS(Başvuru!$G:$G, "Uzmanlık Tezi", Başvuru!$L:$L, AB$2, Başvuru!$K:$K, $B10)</f>
        <v>8</v>
      </c>
      <c r="AC10" s="124">
        <f>COUNTIFS(Başvuru!$G:$G, "Uzmanlık Tezi", Başvuru!$L:$L, AC$2, Başvuru!$J:$J, $B10) + COUNTIFS(Başvuru!$G:$G, "Uzmanlık Tezi", Başvuru!$L:$L, AC$2, Başvuru!$K:$K, $B10)</f>
        <v>3</v>
      </c>
      <c r="AD10" s="124">
        <f>COUNTIFS(Başvuru!$G:$G, "Uzmanlık Tezi", Başvuru!$L:$L, AD$2, Başvuru!$J:$J, $B10) + COUNTIFS(Başvuru!$G:$G, "Uzmanlık Tezi", Başvuru!$L:$L, AD$2, Başvuru!$K:$K, $B10)</f>
        <v>1</v>
      </c>
      <c r="AE10" s="124">
        <f>COUNTIFS(Başvuru!$G:$G, "Uzmanlık Tezi", Başvuru!$L:$L, AE$2, Başvuru!$J:$J, $B10) + COUNTIFS(Başvuru!$G:$G, "Uzmanlık Tezi", Başvuru!$L:$L, AE$2, Başvuru!$K:$K, $B10)</f>
        <v>0</v>
      </c>
      <c r="AF10" s="124">
        <f>COUNTIFS(Başvuru!$G:$G, "Uzmanlık Tezi", Başvuru!$L:$L, AF$2, Başvuru!$J:$J, $B10) + COUNTIFS(Başvuru!$G:$G, "Uzmanlık Tezi", Başvuru!$L:$L, AF$2, Başvuru!$K:$K, $B10)</f>
        <v>0</v>
      </c>
      <c r="AG10" s="124">
        <f>COUNTIFS(Başvuru!$G:$G, "Uzmanlık Tezi", Başvuru!$L:$L, AG$2, Başvuru!$J:$J, $B10) + COUNTIFS(Başvuru!$G:$G, "Uzmanlık Tezi", Başvuru!$L:$L, AG$2, Başvuru!$K:$K, $B10)</f>
        <v>1</v>
      </c>
      <c r="AH10" s="124">
        <f>COUNTIFS(Başvuru!$G:$G, "Uzmanlık Tezi", Başvuru!$L:$L, AH$2, Başvuru!$J:$J, $B10) + COUNTIFS(Başvuru!$G:$G, "Uzmanlık Tezi", Başvuru!$L:$L, AH$2, Başvuru!$K:$K, $B10)</f>
        <v>0</v>
      </c>
      <c r="AI10" s="124">
        <f t="shared" si="3"/>
        <v>13</v>
      </c>
      <c r="AJ10" s="126">
        <f t="shared" si="4"/>
        <v>44</v>
      </c>
      <c r="AK10" s="126">
        <f t="shared" si="5"/>
        <v>25</v>
      </c>
      <c r="AL10" s="126">
        <f t="shared" si="6"/>
        <v>2</v>
      </c>
      <c r="AM10" s="126">
        <f t="shared" si="7"/>
        <v>2</v>
      </c>
      <c r="AN10" s="126">
        <f t="shared" si="8"/>
        <v>2</v>
      </c>
      <c r="AO10" s="126">
        <f t="shared" si="9"/>
        <v>1</v>
      </c>
      <c r="AP10" s="126">
        <f t="shared" si="10"/>
        <v>0</v>
      </c>
      <c r="AQ10" s="126">
        <f t="shared" si="11"/>
        <v>76</v>
      </c>
    </row>
    <row r="11" spans="1:43" s="121" customFormat="1" ht="30" customHeight="1" x14ac:dyDescent="0.25">
      <c r="A11" s="122" t="s">
        <v>127</v>
      </c>
      <c r="B11" s="123" t="s">
        <v>91</v>
      </c>
      <c r="C11" s="124">
        <f>COUNTIF(Başvuru!$J:$K, $B11)</f>
        <v>81</v>
      </c>
      <c r="D11" s="124">
        <f>COUNTIFS(Başvuru!$G:$G, "Bireysel Araştırma", Başvuru!$L:$L, D$2, Başvuru!$J:$J, $B11) + COUNTIFS(Başvuru!$G:$G, "Bireysel Araştırma", Başvuru!$L:$L, D$2, Başvuru!$K:$K, $B11)</f>
        <v>28</v>
      </c>
      <c r="E11" s="124">
        <f>COUNTIFS(Başvuru!$G:$G, "Bireysel Araştırma", Başvuru!$L:$L, E$2, Başvuru!$J:$J, $B11) + COUNTIFS(Başvuru!$G:$G, "Bireysel Araştırma", Başvuru!$L:$L, E$2, Başvuru!$K:$K, $B11)</f>
        <v>15</v>
      </c>
      <c r="F11" s="124">
        <f>COUNTIFS(Başvuru!$G:$G, "Bireysel Araştırma", Başvuru!$L:$L, F$2, Başvuru!$J:$J, $B11) + COUNTIFS(Başvuru!$G:$G, "Bireysel Araştırma", Başvuru!$L:$L, F$2, Başvuru!$K:$K, $B11)</f>
        <v>1</v>
      </c>
      <c r="G11" s="124">
        <f>COUNTIFS(Başvuru!$G:$G, "Bireysel Araştırma", Başvuru!$L:$L, G$2, Başvuru!$J:$J, $B11) + COUNTIFS(Başvuru!$G:$G, "Bireysel Araştırma", Başvuru!$L:$L, G$2, Başvuru!$K:$K, $B11)</f>
        <v>3</v>
      </c>
      <c r="H11" s="124">
        <f>COUNTIFS(Başvuru!$G:$G, "Bireysel Araştırma", Başvuru!$L:$L, H$2, Başvuru!$J:$J, $B11) + COUNTIFS(Başvuru!$G:$G, "Bireysel Araştırma", Başvuru!$L:$L, H$2, Başvuru!$K:$K, $B11)</f>
        <v>6</v>
      </c>
      <c r="I11" s="124">
        <f>COUNTIFS(Başvuru!$G:$G, "Bireysel Araştırma", Başvuru!$L:$L, I$2, Başvuru!$J:$J, $B11) + COUNTIFS(Başvuru!$G:$G, "Bireysel Araştırma", Başvuru!$L:$L, I$2, Başvuru!$K:$K, $B11)</f>
        <v>0</v>
      </c>
      <c r="J11" s="124">
        <f>COUNTIFS(Başvuru!$G:$G, "Bireysel Araştırma", Başvuru!$L:$L, J$2, Başvuru!$J:$J, $B11) + COUNTIFS(Başvuru!$G:$G, "Bireysel Araştırma", Başvuru!$L:$L, J$2, Başvuru!$K:$K, $B11)</f>
        <v>0</v>
      </c>
      <c r="K11" s="124">
        <f t="shared" si="0"/>
        <v>53</v>
      </c>
      <c r="L11" s="124">
        <f>COUNTIFS(Başvuru!$G:$G, "Yüksek Lisans Tezi", Başvuru!$L:$L, L$2, Başvuru!$J:$J, $B11) + COUNTIFS(Başvuru!$G:$G, "Yüksek Lisans Tezi", Başvuru!$L:$L, L$2, Başvuru!$K:$K, $B11)</f>
        <v>0</v>
      </c>
      <c r="M11" s="124">
        <f>COUNTIFS(Başvuru!$G:$G, "Yüksek Lisans Tezi", Başvuru!$L:$L, M$2, Başvuru!$J:$J, $B11) + COUNTIFS(Başvuru!$G:$G, "Yüksek Lisans Tezi", Başvuru!$L:$L, M$2, Başvuru!$K:$K, $B11)</f>
        <v>2</v>
      </c>
      <c r="N11" s="124">
        <f>COUNTIFS(Başvuru!$G:$G, "Yüksek Lisans Tezi", Başvuru!$L:$L, N$2, Başvuru!$J:$J, $B11) + COUNTIFS(Başvuru!$G:$G, "Yüksek Lisans Tezi", Başvuru!$L:$L, N$2, Başvuru!$K:$K, $B11)</f>
        <v>0</v>
      </c>
      <c r="O11" s="124">
        <f>COUNTIFS(Başvuru!$G:$G, "Yüksek Lisans Tezi", Başvuru!$L:$L, O$2, Başvuru!$J:$J, $B11) + COUNTIFS(Başvuru!$G:$G, "Yüksek Lisans Tezi", Başvuru!$L:$L, O$2, Başvuru!$K:$K, $B11)</f>
        <v>0</v>
      </c>
      <c r="P11" s="124">
        <f>COUNTIFS(Başvuru!$G:$G, "Yüksek Lisans Tezi", Başvuru!$L:$L, P$2, Başvuru!$J:$J, $B11) + COUNTIFS(Başvuru!$G:$G, "Yüksek Lisans Tezi", Başvuru!$L:$L, P$2, Başvuru!$K:$K, $B11)</f>
        <v>1</v>
      </c>
      <c r="Q11" s="124">
        <f>COUNTIFS(Başvuru!$G:$G, "Yüksek Lisans Tezi", Başvuru!$L:$L, Q$2, Başvuru!$J:$J, $B11) + COUNTIFS(Başvuru!$G:$G, "Yüksek Lisans Tezi", Başvuru!$L:$L, Q$2, Başvuru!$K:$K, $B11)</f>
        <v>0</v>
      </c>
      <c r="R11" s="124">
        <f>COUNTIFS(Başvuru!$G:$G, "Yüksek Lisans Tezi", Başvuru!$L:$L, R$2, Başvuru!$J:$J, $B11) + COUNTIFS(Başvuru!$G:$G, "Yüksek Lisans Tezi", Başvuru!$L:$L, R$2, Başvuru!$K:$K, $B11)</f>
        <v>0</v>
      </c>
      <c r="S11" s="124">
        <f t="shared" si="1"/>
        <v>3</v>
      </c>
      <c r="T11" s="124">
        <f>COUNTIFS(Başvuru!$G:$G, "Doktora Tezi", Başvuru!$L:$L, T$2, Başvuru!$J:$J, $B11) + COUNTIFS(Başvuru!$G:$G, "Doktora Tezi", Başvuru!$L:$L, T$2, Başvuru!$K:$K, $B11)</f>
        <v>3</v>
      </c>
      <c r="U11" s="124">
        <f>COUNTIFS(Başvuru!$G:$G, "Doktora Tezi", Başvuru!$L:$L, U$2, Başvuru!$J:$J, $B11) + COUNTIFS(Başvuru!$G:$G, "Doktora Tezi", Başvuru!$L:$L, U$2, Başvuru!$K:$K, $B11)</f>
        <v>5</v>
      </c>
      <c r="V11" s="124">
        <f>COUNTIFS(Başvuru!$G:$G, "Doktora Tezi", Başvuru!$L:$L, V$2, Başvuru!$J:$J, $B11) + COUNTIFS(Başvuru!$G:$G, "Doktora Tezi", Başvuru!$L:$L, V$2, Başvuru!$K:$K, $B11)</f>
        <v>0</v>
      </c>
      <c r="W11" s="124">
        <f>COUNTIFS(Başvuru!$G:$G, "Doktora Tezi", Başvuru!$L:$L, W$2, Başvuru!$J:$J, $B11) + COUNTIFS(Başvuru!$G:$G, "Doktora Tezi", Başvuru!$L:$L, W$2, Başvuru!$K:$K, $B11)</f>
        <v>1</v>
      </c>
      <c r="X11" s="124">
        <f>COUNTIFS(Başvuru!$G:$G, "Doktora Tezi", Başvuru!$L:$L, X$2, Başvuru!$J:$J, $B11) + COUNTIFS(Başvuru!$G:$G, "Doktora Tezi", Başvuru!$L:$L, X$2, Başvuru!$K:$K, $B11)</f>
        <v>0</v>
      </c>
      <c r="Y11" s="124">
        <f>COUNTIFS(Başvuru!$G:$G, "Doktora Tezi", Başvuru!$L:$L, Y$2, Başvuru!$J:$J, $B11) + COUNTIFS(Başvuru!$G:$G, "Doktora Tezi", Başvuru!$L:$L, Y$2, Başvuru!$K:$K, $B11)</f>
        <v>0</v>
      </c>
      <c r="Z11" s="124">
        <f>COUNTIFS(Başvuru!$G:$G, "Doktora Tezi", Başvuru!$L:$L, Z$2, Başvuru!$J:$J, $B11) + COUNTIFS(Başvuru!$G:$G, "Doktora Tezi", Başvuru!$L:$L, Z$2, Başvuru!$K:$K, $B11)</f>
        <v>0</v>
      </c>
      <c r="AA11" s="124">
        <f t="shared" si="2"/>
        <v>9</v>
      </c>
      <c r="AB11" s="124">
        <f>COUNTIFS(Başvuru!$G:$G, "Uzmanlık Tezi", Başvuru!$L:$L, AB$2, Başvuru!$J:$J, $B11) + COUNTIFS(Başvuru!$G:$G, "Uzmanlık Tezi", Başvuru!$L:$L, AB$2, Başvuru!$K:$K, $B11)</f>
        <v>11</v>
      </c>
      <c r="AC11" s="124">
        <f>COUNTIFS(Başvuru!$G:$G, "Uzmanlık Tezi", Başvuru!$L:$L, AC$2, Başvuru!$J:$J, $B11) + COUNTIFS(Başvuru!$G:$G, "Uzmanlık Tezi", Başvuru!$L:$L, AC$2, Başvuru!$K:$K, $B11)</f>
        <v>3</v>
      </c>
      <c r="AD11" s="124">
        <f>COUNTIFS(Başvuru!$G:$G, "Uzmanlık Tezi", Başvuru!$L:$L, AD$2, Başvuru!$J:$J, $B11) + COUNTIFS(Başvuru!$G:$G, "Uzmanlık Tezi", Başvuru!$L:$L, AD$2, Başvuru!$K:$K, $B11)</f>
        <v>0</v>
      </c>
      <c r="AE11" s="124">
        <f>COUNTIFS(Başvuru!$G:$G, "Uzmanlık Tezi", Başvuru!$L:$L, AE$2, Başvuru!$J:$J, $B11) + COUNTIFS(Başvuru!$G:$G, "Uzmanlık Tezi", Başvuru!$L:$L, AE$2, Başvuru!$K:$K, $B11)</f>
        <v>0</v>
      </c>
      <c r="AF11" s="124">
        <f>COUNTIFS(Başvuru!$G:$G, "Uzmanlık Tezi", Başvuru!$L:$L, AF$2, Başvuru!$J:$J, $B11) + COUNTIFS(Başvuru!$G:$G, "Uzmanlık Tezi", Başvuru!$L:$L, AF$2, Başvuru!$K:$K, $B11)</f>
        <v>0</v>
      </c>
      <c r="AG11" s="124">
        <f>COUNTIFS(Başvuru!$G:$G, "Uzmanlık Tezi", Başvuru!$L:$L, AG$2, Başvuru!$J:$J, $B11) + COUNTIFS(Başvuru!$G:$G, "Uzmanlık Tezi", Başvuru!$L:$L, AG$2, Başvuru!$K:$K, $B11)</f>
        <v>0</v>
      </c>
      <c r="AH11" s="124">
        <f>COUNTIFS(Başvuru!$G:$G, "Uzmanlık Tezi", Başvuru!$L:$L, AH$2, Başvuru!$J:$J, $B11) + COUNTIFS(Başvuru!$G:$G, "Uzmanlık Tezi", Başvuru!$L:$L, AH$2, Başvuru!$K:$K, $B11)</f>
        <v>0</v>
      </c>
      <c r="AI11" s="124">
        <f t="shared" si="3"/>
        <v>14</v>
      </c>
      <c r="AJ11" s="126">
        <f t="shared" si="4"/>
        <v>42</v>
      </c>
      <c r="AK11" s="126">
        <f t="shared" si="5"/>
        <v>25</v>
      </c>
      <c r="AL11" s="126">
        <f t="shared" si="6"/>
        <v>1</v>
      </c>
      <c r="AM11" s="126">
        <f t="shared" si="7"/>
        <v>4</v>
      </c>
      <c r="AN11" s="126">
        <f t="shared" si="8"/>
        <v>7</v>
      </c>
      <c r="AO11" s="126">
        <f t="shared" si="9"/>
        <v>0</v>
      </c>
      <c r="AP11" s="126">
        <f t="shared" si="10"/>
        <v>0</v>
      </c>
      <c r="AQ11" s="126">
        <f t="shared" si="11"/>
        <v>79</v>
      </c>
    </row>
    <row r="12" spans="1:43" s="121" customFormat="1" ht="30" customHeight="1" x14ac:dyDescent="0.25">
      <c r="A12" s="122" t="s">
        <v>134</v>
      </c>
      <c r="B12" s="123" t="s">
        <v>92</v>
      </c>
      <c r="C12" s="124">
        <f>COUNTIF(Başvuru!$J:$K, $B12)</f>
        <v>98</v>
      </c>
      <c r="D12" s="124">
        <f>COUNTIFS(Başvuru!$G:$G, "Bireysel Araştırma", Başvuru!$L:$L, D$2, Başvuru!$J:$J, $B12) + COUNTIFS(Başvuru!$G:$G, "Bireysel Araştırma", Başvuru!$L:$L, D$2, Başvuru!$K:$K, $B12)</f>
        <v>44</v>
      </c>
      <c r="E12" s="124">
        <f>COUNTIFS(Başvuru!$G:$G, "Bireysel Araştırma", Başvuru!$L:$L, E$2, Başvuru!$J:$J, $B12) + COUNTIFS(Başvuru!$G:$G, "Bireysel Araştırma", Başvuru!$L:$L, E$2, Başvuru!$K:$K, $B12)</f>
        <v>17</v>
      </c>
      <c r="F12" s="124">
        <f>COUNTIFS(Başvuru!$G:$G, "Bireysel Araştırma", Başvuru!$L:$L, F$2, Başvuru!$J:$J, $B12) + COUNTIFS(Başvuru!$G:$G, "Bireysel Araştırma", Başvuru!$L:$L, F$2, Başvuru!$K:$K, $B12)</f>
        <v>0</v>
      </c>
      <c r="G12" s="124">
        <f>COUNTIFS(Başvuru!$G:$G, "Bireysel Araştırma", Başvuru!$L:$L, G$2, Başvuru!$J:$J, $B12) + COUNTIFS(Başvuru!$G:$G, "Bireysel Araştırma", Başvuru!$L:$L, G$2, Başvuru!$K:$K, $B12)</f>
        <v>3</v>
      </c>
      <c r="H12" s="124">
        <f>COUNTIFS(Başvuru!$G:$G, "Bireysel Araştırma", Başvuru!$L:$L, H$2, Başvuru!$J:$J, $B12) + COUNTIFS(Başvuru!$G:$G, "Bireysel Araştırma", Başvuru!$L:$L, H$2, Başvuru!$K:$K, $B12)</f>
        <v>1</v>
      </c>
      <c r="I12" s="124">
        <f>COUNTIFS(Başvuru!$G:$G, "Bireysel Araştırma", Başvuru!$L:$L, I$2, Başvuru!$J:$J, $B12) + COUNTIFS(Başvuru!$G:$G, "Bireysel Araştırma", Başvuru!$L:$L, I$2, Başvuru!$K:$K, $B12)</f>
        <v>1</v>
      </c>
      <c r="J12" s="124">
        <f>COUNTIFS(Başvuru!$G:$G, "Bireysel Araştırma", Başvuru!$L:$L, J$2, Başvuru!$J:$J, $B12) + COUNTIFS(Başvuru!$G:$G, "Bireysel Araştırma", Başvuru!$L:$L, J$2, Başvuru!$K:$K, $B12)</f>
        <v>0</v>
      </c>
      <c r="K12" s="124">
        <f t="shared" si="0"/>
        <v>66</v>
      </c>
      <c r="L12" s="124">
        <f>COUNTIFS(Başvuru!$G:$G, "Yüksek Lisans Tezi", Başvuru!$L:$L, L$2, Başvuru!$J:$J, $B12) + COUNTIFS(Başvuru!$G:$G, "Yüksek Lisans Tezi", Başvuru!$L:$L, L$2, Başvuru!$K:$K, $B12)</f>
        <v>0</v>
      </c>
      <c r="M12" s="124">
        <f>COUNTIFS(Başvuru!$G:$G, "Yüksek Lisans Tezi", Başvuru!$L:$L, M$2, Başvuru!$J:$J, $B12) + COUNTIFS(Başvuru!$G:$G, "Yüksek Lisans Tezi", Başvuru!$L:$L, M$2, Başvuru!$K:$K, $B12)</f>
        <v>0</v>
      </c>
      <c r="N12" s="124">
        <f>COUNTIFS(Başvuru!$G:$G, "Yüksek Lisans Tezi", Başvuru!$L:$L, N$2, Başvuru!$J:$J, $B12) + COUNTIFS(Başvuru!$G:$G, "Yüksek Lisans Tezi", Başvuru!$L:$L, N$2, Başvuru!$K:$K, $B12)</f>
        <v>0</v>
      </c>
      <c r="O12" s="124">
        <f>COUNTIFS(Başvuru!$G:$G, "Yüksek Lisans Tezi", Başvuru!$L:$L, O$2, Başvuru!$J:$J, $B12) + COUNTIFS(Başvuru!$G:$G, "Yüksek Lisans Tezi", Başvuru!$L:$L, O$2, Başvuru!$K:$K, $B12)</f>
        <v>0</v>
      </c>
      <c r="P12" s="124">
        <f>COUNTIFS(Başvuru!$G:$G, "Yüksek Lisans Tezi", Başvuru!$L:$L, P$2, Başvuru!$J:$J, $B12) + COUNTIFS(Başvuru!$G:$G, "Yüksek Lisans Tezi", Başvuru!$L:$L, P$2, Başvuru!$K:$K, $B12)</f>
        <v>0</v>
      </c>
      <c r="Q12" s="124">
        <f>COUNTIFS(Başvuru!$G:$G, "Yüksek Lisans Tezi", Başvuru!$L:$L, Q$2, Başvuru!$J:$J, $B12) + COUNTIFS(Başvuru!$G:$G, "Yüksek Lisans Tezi", Başvuru!$L:$L, Q$2, Başvuru!$K:$K, $B12)</f>
        <v>0</v>
      </c>
      <c r="R12" s="124">
        <f>COUNTIFS(Başvuru!$G:$G, "Yüksek Lisans Tezi", Başvuru!$L:$L, R$2, Başvuru!$J:$J, $B12) + COUNTIFS(Başvuru!$G:$G, "Yüksek Lisans Tezi", Başvuru!$L:$L, R$2, Başvuru!$K:$K, $B12)</f>
        <v>0</v>
      </c>
      <c r="S12" s="124">
        <f t="shared" si="1"/>
        <v>0</v>
      </c>
      <c r="T12" s="124">
        <f>COUNTIFS(Başvuru!$G:$G, "Doktora Tezi", Başvuru!$L:$L, T$2, Başvuru!$J:$J, $B12) + COUNTIFS(Başvuru!$G:$G, "Doktora Tezi", Başvuru!$L:$L, T$2, Başvuru!$K:$K, $B12)</f>
        <v>6</v>
      </c>
      <c r="U12" s="124">
        <f>COUNTIFS(Başvuru!$G:$G, "Doktora Tezi", Başvuru!$L:$L, U$2, Başvuru!$J:$J, $B12) + COUNTIFS(Başvuru!$G:$G, "Doktora Tezi", Başvuru!$L:$L, U$2, Başvuru!$K:$K, $B12)</f>
        <v>3</v>
      </c>
      <c r="V12" s="124">
        <f>COUNTIFS(Başvuru!$G:$G, "Doktora Tezi", Başvuru!$L:$L, V$2, Başvuru!$J:$J, $B12) + COUNTIFS(Başvuru!$G:$G, "Doktora Tezi", Başvuru!$L:$L, V$2, Başvuru!$K:$K, $B12)</f>
        <v>0</v>
      </c>
      <c r="W12" s="124">
        <f>COUNTIFS(Başvuru!$G:$G, "Doktora Tezi", Başvuru!$L:$L, W$2, Başvuru!$J:$J, $B12) + COUNTIFS(Başvuru!$G:$G, "Doktora Tezi", Başvuru!$L:$L, W$2, Başvuru!$K:$K, $B12)</f>
        <v>0</v>
      </c>
      <c r="X12" s="124">
        <f>COUNTIFS(Başvuru!$G:$G, "Doktora Tezi", Başvuru!$L:$L, X$2, Başvuru!$J:$J, $B12) + COUNTIFS(Başvuru!$G:$G, "Doktora Tezi", Başvuru!$L:$L, X$2, Başvuru!$K:$K, $B12)</f>
        <v>0</v>
      </c>
      <c r="Y12" s="124">
        <f>COUNTIFS(Başvuru!$G:$G, "Doktora Tezi", Başvuru!$L:$L, Y$2, Başvuru!$J:$J, $B12) + COUNTIFS(Başvuru!$G:$G, "Doktora Tezi", Başvuru!$L:$L, Y$2, Başvuru!$K:$K, $B12)</f>
        <v>0</v>
      </c>
      <c r="Z12" s="124">
        <f>COUNTIFS(Başvuru!$G:$G, "Doktora Tezi", Başvuru!$L:$L, Z$2, Başvuru!$J:$J, $B12) + COUNTIFS(Başvuru!$G:$G, "Doktora Tezi", Başvuru!$L:$L, Z$2, Başvuru!$K:$K, $B12)</f>
        <v>0</v>
      </c>
      <c r="AA12" s="124">
        <f t="shared" si="2"/>
        <v>9</v>
      </c>
      <c r="AB12" s="124">
        <f>COUNTIFS(Başvuru!$G:$G, "Uzmanlık Tezi", Başvuru!$L:$L, AB$2, Başvuru!$J:$J, $B12) + COUNTIFS(Başvuru!$G:$G, "Uzmanlık Tezi", Başvuru!$L:$L, AB$2, Başvuru!$K:$K, $B12)</f>
        <v>6</v>
      </c>
      <c r="AC12" s="124">
        <f>COUNTIFS(Başvuru!$G:$G, "Uzmanlık Tezi", Başvuru!$L:$L, AC$2, Başvuru!$J:$J, $B12) + COUNTIFS(Başvuru!$G:$G, "Uzmanlık Tezi", Başvuru!$L:$L, AC$2, Başvuru!$K:$K, $B12)</f>
        <v>7</v>
      </c>
      <c r="AD12" s="124">
        <f>COUNTIFS(Başvuru!$G:$G, "Uzmanlık Tezi", Başvuru!$L:$L, AD$2, Başvuru!$J:$J, $B12) + COUNTIFS(Başvuru!$G:$G, "Uzmanlık Tezi", Başvuru!$L:$L, AD$2, Başvuru!$K:$K, $B12)</f>
        <v>0</v>
      </c>
      <c r="AE12" s="124">
        <f>COUNTIFS(Başvuru!$G:$G, "Uzmanlık Tezi", Başvuru!$L:$L, AE$2, Başvuru!$J:$J, $B12) + COUNTIFS(Başvuru!$G:$G, "Uzmanlık Tezi", Başvuru!$L:$L, AE$2, Başvuru!$K:$K, $B12)</f>
        <v>2</v>
      </c>
      <c r="AF12" s="124">
        <f>COUNTIFS(Başvuru!$G:$G, "Uzmanlık Tezi", Başvuru!$L:$L, AF$2, Başvuru!$J:$J, $B12) + COUNTIFS(Başvuru!$G:$G, "Uzmanlık Tezi", Başvuru!$L:$L, AF$2, Başvuru!$K:$K, $B12)</f>
        <v>0</v>
      </c>
      <c r="AG12" s="124">
        <f>COUNTIFS(Başvuru!$G:$G, "Uzmanlık Tezi", Başvuru!$L:$L, AG$2, Başvuru!$J:$J, $B12) + COUNTIFS(Başvuru!$G:$G, "Uzmanlık Tezi", Başvuru!$L:$L, AG$2, Başvuru!$K:$K, $B12)</f>
        <v>0</v>
      </c>
      <c r="AH12" s="124">
        <f>COUNTIFS(Başvuru!$G:$G, "Uzmanlık Tezi", Başvuru!$L:$L, AH$2, Başvuru!$J:$J, $B12) + COUNTIFS(Başvuru!$G:$G, "Uzmanlık Tezi", Başvuru!$L:$L, AH$2, Başvuru!$K:$K, $B12)</f>
        <v>0</v>
      </c>
      <c r="AI12" s="124">
        <f t="shared" si="3"/>
        <v>15</v>
      </c>
      <c r="AJ12" s="126">
        <f t="shared" si="4"/>
        <v>56</v>
      </c>
      <c r="AK12" s="126">
        <f t="shared" si="5"/>
        <v>27</v>
      </c>
      <c r="AL12" s="126">
        <f t="shared" si="6"/>
        <v>0</v>
      </c>
      <c r="AM12" s="126">
        <f t="shared" si="7"/>
        <v>5</v>
      </c>
      <c r="AN12" s="126">
        <f t="shared" si="8"/>
        <v>1</v>
      </c>
      <c r="AO12" s="126">
        <f t="shared" si="9"/>
        <v>1</v>
      </c>
      <c r="AP12" s="126">
        <f t="shared" si="10"/>
        <v>0</v>
      </c>
      <c r="AQ12" s="126">
        <f t="shared" si="11"/>
        <v>90</v>
      </c>
    </row>
    <row r="13" spans="1:43" s="121" customFormat="1" ht="30" customHeight="1" x14ac:dyDescent="0.25">
      <c r="A13" s="122" t="s">
        <v>141</v>
      </c>
      <c r="B13" s="123" t="s">
        <v>83</v>
      </c>
      <c r="C13" s="124">
        <f>COUNTIF(Başvuru!$J:$K, $B13)</f>
        <v>90</v>
      </c>
      <c r="D13" s="124">
        <f>COUNTIFS(Başvuru!$G:$G, "Bireysel Araştırma", Başvuru!$L:$L, D$2, Başvuru!$J:$J, $B13) + COUNTIFS(Başvuru!$G:$G, "Bireysel Araştırma", Başvuru!$L:$L, D$2, Başvuru!$K:$K, $B13)</f>
        <v>39</v>
      </c>
      <c r="E13" s="124">
        <f>COUNTIFS(Başvuru!$G:$G, "Bireysel Araştırma", Başvuru!$L:$L, E$2, Başvuru!$J:$J, $B13) + COUNTIFS(Başvuru!$G:$G, "Bireysel Araştırma", Başvuru!$L:$L, E$2, Başvuru!$K:$K, $B13)</f>
        <v>19</v>
      </c>
      <c r="F13" s="124">
        <f>COUNTIFS(Başvuru!$G:$G, "Bireysel Araştırma", Başvuru!$L:$L, F$2, Başvuru!$J:$J, $B13) + COUNTIFS(Başvuru!$G:$G, "Bireysel Araştırma", Başvuru!$L:$L, F$2, Başvuru!$K:$K, $B13)</f>
        <v>1</v>
      </c>
      <c r="G13" s="124">
        <f>COUNTIFS(Başvuru!$G:$G, "Bireysel Araştırma", Başvuru!$L:$L, G$2, Başvuru!$J:$J, $B13) + COUNTIFS(Başvuru!$G:$G, "Bireysel Araştırma", Başvuru!$L:$L, G$2, Başvuru!$K:$K, $B13)</f>
        <v>3</v>
      </c>
      <c r="H13" s="124">
        <f>COUNTIFS(Başvuru!$G:$G, "Bireysel Araştırma", Başvuru!$L:$L, H$2, Başvuru!$J:$J, $B13) + COUNTIFS(Başvuru!$G:$G, "Bireysel Araştırma", Başvuru!$L:$L, H$2, Başvuru!$K:$K, $B13)</f>
        <v>0</v>
      </c>
      <c r="I13" s="124">
        <f>COUNTIFS(Başvuru!$G:$G, "Bireysel Araştırma", Başvuru!$L:$L, I$2, Başvuru!$J:$J, $B13) + COUNTIFS(Başvuru!$G:$G, "Bireysel Araştırma", Başvuru!$L:$L, I$2, Başvuru!$K:$K, $B13)</f>
        <v>0</v>
      </c>
      <c r="J13" s="124">
        <f>COUNTIFS(Başvuru!$G:$G, "Bireysel Araştırma", Başvuru!$L:$L, J$2, Başvuru!$J:$J, $B13) + COUNTIFS(Başvuru!$G:$G, "Bireysel Araştırma", Başvuru!$L:$L, J$2, Başvuru!$K:$K, $B13)</f>
        <v>0</v>
      </c>
      <c r="K13" s="124">
        <f t="shared" si="0"/>
        <v>62</v>
      </c>
      <c r="L13" s="124">
        <f>COUNTIFS(Başvuru!$G:$G, "Yüksek Lisans Tezi", Başvuru!$L:$L, L$2, Başvuru!$J:$J, $B13) + COUNTIFS(Başvuru!$G:$G, "Yüksek Lisans Tezi", Başvuru!$L:$L, L$2, Başvuru!$K:$K, $B13)</f>
        <v>0</v>
      </c>
      <c r="M13" s="124">
        <f>COUNTIFS(Başvuru!$G:$G, "Yüksek Lisans Tezi", Başvuru!$L:$L, M$2, Başvuru!$J:$J, $B13) + COUNTIFS(Başvuru!$G:$G, "Yüksek Lisans Tezi", Başvuru!$L:$L, M$2, Başvuru!$K:$K, $B13)</f>
        <v>0</v>
      </c>
      <c r="N13" s="124">
        <f>COUNTIFS(Başvuru!$G:$G, "Yüksek Lisans Tezi", Başvuru!$L:$L, N$2, Başvuru!$J:$J, $B13) + COUNTIFS(Başvuru!$G:$G, "Yüksek Lisans Tezi", Başvuru!$L:$L, N$2, Başvuru!$K:$K, $B13)</f>
        <v>0</v>
      </c>
      <c r="O13" s="124">
        <f>COUNTIFS(Başvuru!$G:$G, "Yüksek Lisans Tezi", Başvuru!$L:$L, O$2, Başvuru!$J:$J, $B13) + COUNTIFS(Başvuru!$G:$G, "Yüksek Lisans Tezi", Başvuru!$L:$L, O$2, Başvuru!$K:$K, $B13)</f>
        <v>0</v>
      </c>
      <c r="P13" s="124">
        <f>COUNTIFS(Başvuru!$G:$G, "Yüksek Lisans Tezi", Başvuru!$L:$L, P$2, Başvuru!$J:$J, $B13) + COUNTIFS(Başvuru!$G:$G, "Yüksek Lisans Tezi", Başvuru!$L:$L, P$2, Başvuru!$K:$K, $B13)</f>
        <v>0</v>
      </c>
      <c r="Q13" s="124">
        <f>COUNTIFS(Başvuru!$G:$G, "Yüksek Lisans Tezi", Başvuru!$L:$L, Q$2, Başvuru!$J:$J, $B13) + COUNTIFS(Başvuru!$G:$G, "Yüksek Lisans Tezi", Başvuru!$L:$L, Q$2, Başvuru!$K:$K, $B13)</f>
        <v>0</v>
      </c>
      <c r="R13" s="124">
        <f>COUNTIFS(Başvuru!$G:$G, "Yüksek Lisans Tezi", Başvuru!$L:$L, R$2, Başvuru!$J:$J, $B13) + COUNTIFS(Başvuru!$G:$G, "Yüksek Lisans Tezi", Başvuru!$L:$L, R$2, Başvuru!$K:$K, $B13)</f>
        <v>0</v>
      </c>
      <c r="S13" s="124">
        <f t="shared" si="1"/>
        <v>0</v>
      </c>
      <c r="T13" s="124">
        <f>COUNTIFS(Başvuru!$G:$G, "Doktora Tezi", Başvuru!$L:$L, T$2, Başvuru!$J:$J, $B13) + COUNTIFS(Başvuru!$G:$G, "Doktora Tezi", Başvuru!$L:$L, T$2, Başvuru!$K:$K, $B13)</f>
        <v>4</v>
      </c>
      <c r="U13" s="124">
        <f>COUNTIFS(Başvuru!$G:$G, "Doktora Tezi", Başvuru!$L:$L, U$2, Başvuru!$J:$J, $B13) + COUNTIFS(Başvuru!$G:$G, "Doktora Tezi", Başvuru!$L:$L, U$2, Başvuru!$K:$K, $B13)</f>
        <v>0</v>
      </c>
      <c r="V13" s="124">
        <f>COUNTIFS(Başvuru!$G:$G, "Doktora Tezi", Başvuru!$L:$L, V$2, Başvuru!$J:$J, $B13) + COUNTIFS(Başvuru!$G:$G, "Doktora Tezi", Başvuru!$L:$L, V$2, Başvuru!$K:$K, $B13)</f>
        <v>0</v>
      </c>
      <c r="W13" s="124">
        <f>COUNTIFS(Başvuru!$G:$G, "Doktora Tezi", Başvuru!$L:$L, W$2, Başvuru!$J:$J, $B13) + COUNTIFS(Başvuru!$G:$G, "Doktora Tezi", Başvuru!$L:$L, W$2, Başvuru!$K:$K, $B13)</f>
        <v>2</v>
      </c>
      <c r="X13" s="124">
        <f>COUNTIFS(Başvuru!$G:$G, "Doktora Tezi", Başvuru!$L:$L, X$2, Başvuru!$J:$J, $B13) + COUNTIFS(Başvuru!$G:$G, "Doktora Tezi", Başvuru!$L:$L, X$2, Başvuru!$K:$K, $B13)</f>
        <v>0</v>
      </c>
      <c r="Y13" s="124">
        <f>COUNTIFS(Başvuru!$G:$G, "Doktora Tezi", Başvuru!$L:$L, Y$2, Başvuru!$J:$J, $B13) + COUNTIFS(Başvuru!$G:$G, "Doktora Tezi", Başvuru!$L:$L, Y$2, Başvuru!$K:$K, $B13)</f>
        <v>0</v>
      </c>
      <c r="Z13" s="124">
        <f>COUNTIFS(Başvuru!$G:$G, "Doktora Tezi", Başvuru!$L:$L, Z$2, Başvuru!$J:$J, $B13) + COUNTIFS(Başvuru!$G:$G, "Doktora Tezi", Başvuru!$L:$L, Z$2, Başvuru!$K:$K, $B13)</f>
        <v>0</v>
      </c>
      <c r="AA13" s="124">
        <f t="shared" si="2"/>
        <v>6</v>
      </c>
      <c r="AB13" s="124">
        <f>COUNTIFS(Başvuru!$G:$G, "Uzmanlık Tezi", Başvuru!$L:$L, AB$2, Başvuru!$J:$J, $B13) + COUNTIFS(Başvuru!$G:$G, "Uzmanlık Tezi", Başvuru!$L:$L, AB$2, Başvuru!$K:$K, $B13)</f>
        <v>6</v>
      </c>
      <c r="AC13" s="124">
        <f>COUNTIFS(Başvuru!$G:$G, "Uzmanlık Tezi", Başvuru!$L:$L, AC$2, Başvuru!$J:$J, $B13) + COUNTIFS(Başvuru!$G:$G, "Uzmanlık Tezi", Başvuru!$L:$L, AC$2, Başvuru!$K:$K, $B13)</f>
        <v>5</v>
      </c>
      <c r="AD13" s="124">
        <f>COUNTIFS(Başvuru!$G:$G, "Uzmanlık Tezi", Başvuru!$L:$L, AD$2, Başvuru!$J:$J, $B13) + COUNTIFS(Başvuru!$G:$G, "Uzmanlık Tezi", Başvuru!$L:$L, AD$2, Başvuru!$K:$K, $B13)</f>
        <v>0</v>
      </c>
      <c r="AE13" s="124">
        <f>COUNTIFS(Başvuru!$G:$G, "Uzmanlık Tezi", Başvuru!$L:$L, AE$2, Başvuru!$J:$J, $B13) + COUNTIFS(Başvuru!$G:$G, "Uzmanlık Tezi", Başvuru!$L:$L, AE$2, Başvuru!$K:$K, $B13)</f>
        <v>0</v>
      </c>
      <c r="AF13" s="124">
        <f>COUNTIFS(Başvuru!$G:$G, "Uzmanlık Tezi", Başvuru!$L:$L, AF$2, Başvuru!$J:$J, $B13) + COUNTIFS(Başvuru!$G:$G, "Uzmanlık Tezi", Başvuru!$L:$L, AF$2, Başvuru!$K:$K, $B13)</f>
        <v>0</v>
      </c>
      <c r="AG13" s="124">
        <f>COUNTIFS(Başvuru!$G:$G, "Uzmanlık Tezi", Başvuru!$L:$L, AG$2, Başvuru!$J:$J, $B13) + COUNTIFS(Başvuru!$G:$G, "Uzmanlık Tezi", Başvuru!$L:$L, AG$2, Başvuru!$K:$K, $B13)</f>
        <v>2</v>
      </c>
      <c r="AH13" s="124">
        <f>COUNTIFS(Başvuru!$G:$G, "Uzmanlık Tezi", Başvuru!$L:$L, AH$2, Başvuru!$J:$J, $B13) + COUNTIFS(Başvuru!$G:$G, "Uzmanlık Tezi", Başvuru!$L:$L, AH$2, Başvuru!$K:$K, $B13)</f>
        <v>0</v>
      </c>
      <c r="AI13" s="124">
        <f t="shared" si="3"/>
        <v>13</v>
      </c>
      <c r="AJ13" s="126">
        <f t="shared" si="4"/>
        <v>49</v>
      </c>
      <c r="AK13" s="126">
        <f t="shared" si="5"/>
        <v>24</v>
      </c>
      <c r="AL13" s="126">
        <f t="shared" si="6"/>
        <v>1</v>
      </c>
      <c r="AM13" s="126">
        <f t="shared" si="7"/>
        <v>5</v>
      </c>
      <c r="AN13" s="126">
        <f t="shared" si="8"/>
        <v>0</v>
      </c>
      <c r="AO13" s="126">
        <f t="shared" si="9"/>
        <v>2</v>
      </c>
      <c r="AP13" s="126">
        <f t="shared" si="10"/>
        <v>0</v>
      </c>
      <c r="AQ13" s="126">
        <f t="shared" si="11"/>
        <v>81</v>
      </c>
    </row>
    <row r="14" spans="1:43" s="121" customFormat="1" ht="30" customHeight="1" x14ac:dyDescent="0.25">
      <c r="A14" s="122" t="s">
        <v>147</v>
      </c>
      <c r="B14" s="123" t="s">
        <v>82</v>
      </c>
      <c r="C14" s="124">
        <f>COUNTIF(Başvuru!$J:$K, $B14)</f>
        <v>95</v>
      </c>
      <c r="D14" s="124">
        <f>COUNTIFS(Başvuru!$G:$G, "Bireysel Araştırma", Başvuru!$L:$L, D$2, Başvuru!$J:$J, $B14) + COUNTIFS(Başvuru!$G:$G, "Bireysel Araştırma", Başvuru!$L:$L, D$2, Başvuru!$K:$K, $B14)</f>
        <v>28</v>
      </c>
      <c r="E14" s="124">
        <f>COUNTIFS(Başvuru!$G:$G, "Bireysel Araştırma", Başvuru!$L:$L, E$2, Başvuru!$J:$J, $B14) + COUNTIFS(Başvuru!$G:$G, "Bireysel Araştırma", Başvuru!$L:$L, E$2, Başvuru!$K:$K, $B14)</f>
        <v>27</v>
      </c>
      <c r="F14" s="124">
        <f>COUNTIFS(Başvuru!$G:$G, "Bireysel Araştırma", Başvuru!$L:$L, F$2, Başvuru!$J:$J, $B14) + COUNTIFS(Başvuru!$G:$G, "Bireysel Araştırma", Başvuru!$L:$L, F$2, Başvuru!$K:$K, $B14)</f>
        <v>4</v>
      </c>
      <c r="G14" s="124">
        <f>COUNTIFS(Başvuru!$G:$G, "Bireysel Araştırma", Başvuru!$L:$L, G$2, Başvuru!$J:$J, $B14) + COUNTIFS(Başvuru!$G:$G, "Bireysel Araştırma", Başvuru!$L:$L, G$2, Başvuru!$K:$K, $B14)</f>
        <v>0</v>
      </c>
      <c r="H14" s="124">
        <f>COUNTIFS(Başvuru!$G:$G, "Bireysel Araştırma", Başvuru!$L:$L, H$2, Başvuru!$J:$J, $B14) + COUNTIFS(Başvuru!$G:$G, "Bireysel Araştırma", Başvuru!$L:$L, H$2, Başvuru!$K:$K, $B14)</f>
        <v>4</v>
      </c>
      <c r="I14" s="124">
        <f>COUNTIFS(Başvuru!$G:$G, "Bireysel Araştırma", Başvuru!$L:$L, I$2, Başvuru!$J:$J, $B14) + COUNTIFS(Başvuru!$G:$G, "Bireysel Araştırma", Başvuru!$L:$L, I$2, Başvuru!$K:$K, $B14)</f>
        <v>3</v>
      </c>
      <c r="J14" s="124">
        <f>COUNTIFS(Başvuru!$G:$G, "Bireysel Araştırma", Başvuru!$L:$L, J$2, Başvuru!$J:$J, $B14) + COUNTIFS(Başvuru!$G:$G, "Bireysel Araştırma", Başvuru!$L:$L, J$2, Başvuru!$K:$K, $B14)</f>
        <v>0</v>
      </c>
      <c r="K14" s="124">
        <f t="shared" si="0"/>
        <v>66</v>
      </c>
      <c r="L14" s="124">
        <f>COUNTIFS(Başvuru!$G:$G, "Yüksek Lisans Tezi", Başvuru!$L:$L, L$2, Başvuru!$J:$J, $B14) + COUNTIFS(Başvuru!$G:$G, "Yüksek Lisans Tezi", Başvuru!$L:$L, L$2, Başvuru!$K:$K, $B14)</f>
        <v>1</v>
      </c>
      <c r="M14" s="124">
        <f>COUNTIFS(Başvuru!$G:$G, "Yüksek Lisans Tezi", Başvuru!$L:$L, M$2, Başvuru!$J:$J, $B14) + COUNTIFS(Başvuru!$G:$G, "Yüksek Lisans Tezi", Başvuru!$L:$L, M$2, Başvuru!$K:$K, $B14)</f>
        <v>1</v>
      </c>
      <c r="N14" s="124">
        <f>COUNTIFS(Başvuru!$G:$G, "Yüksek Lisans Tezi", Başvuru!$L:$L, N$2, Başvuru!$J:$J, $B14) + COUNTIFS(Başvuru!$G:$G, "Yüksek Lisans Tezi", Başvuru!$L:$L, N$2, Başvuru!$K:$K, $B14)</f>
        <v>0</v>
      </c>
      <c r="O14" s="124">
        <f>COUNTIFS(Başvuru!$G:$G, "Yüksek Lisans Tezi", Başvuru!$L:$L, O$2, Başvuru!$J:$J, $B14) + COUNTIFS(Başvuru!$G:$G, "Yüksek Lisans Tezi", Başvuru!$L:$L, O$2, Başvuru!$K:$K, $B14)</f>
        <v>0</v>
      </c>
      <c r="P14" s="124">
        <f>COUNTIFS(Başvuru!$G:$G, "Yüksek Lisans Tezi", Başvuru!$L:$L, P$2, Başvuru!$J:$J, $B14) + COUNTIFS(Başvuru!$G:$G, "Yüksek Lisans Tezi", Başvuru!$L:$L, P$2, Başvuru!$K:$K, $B14)</f>
        <v>0</v>
      </c>
      <c r="Q14" s="124">
        <f>COUNTIFS(Başvuru!$G:$G, "Yüksek Lisans Tezi", Başvuru!$L:$L, Q$2, Başvuru!$J:$J, $B14) + COUNTIFS(Başvuru!$G:$G, "Yüksek Lisans Tezi", Başvuru!$L:$L, Q$2, Başvuru!$K:$K, $B14)</f>
        <v>0</v>
      </c>
      <c r="R14" s="124">
        <f>COUNTIFS(Başvuru!$G:$G, "Yüksek Lisans Tezi", Başvuru!$L:$L, R$2, Başvuru!$J:$J, $B14) + COUNTIFS(Başvuru!$G:$G, "Yüksek Lisans Tezi", Başvuru!$L:$L, R$2, Başvuru!$K:$K, $B14)</f>
        <v>0</v>
      </c>
      <c r="S14" s="124">
        <f t="shared" si="1"/>
        <v>2</v>
      </c>
      <c r="T14" s="124">
        <f>COUNTIFS(Başvuru!$G:$G, "Doktora Tezi", Başvuru!$L:$L, T$2, Başvuru!$J:$J, $B14) + COUNTIFS(Başvuru!$G:$G, "Doktora Tezi", Başvuru!$L:$L, T$2, Başvuru!$K:$K, $B14)</f>
        <v>4</v>
      </c>
      <c r="U14" s="124">
        <f>COUNTIFS(Başvuru!$G:$G, "Doktora Tezi", Başvuru!$L:$L, U$2, Başvuru!$J:$J, $B14) + COUNTIFS(Başvuru!$G:$G, "Doktora Tezi", Başvuru!$L:$L, U$2, Başvuru!$K:$K, $B14)</f>
        <v>0</v>
      </c>
      <c r="V14" s="124">
        <f>COUNTIFS(Başvuru!$G:$G, "Doktora Tezi", Başvuru!$L:$L, V$2, Başvuru!$J:$J, $B14) + COUNTIFS(Başvuru!$G:$G, "Doktora Tezi", Başvuru!$L:$L, V$2, Başvuru!$K:$K, $B14)</f>
        <v>0</v>
      </c>
      <c r="W14" s="124">
        <f>COUNTIFS(Başvuru!$G:$G, "Doktora Tezi", Başvuru!$L:$L, W$2, Başvuru!$J:$J, $B14) + COUNTIFS(Başvuru!$G:$G, "Doktora Tezi", Başvuru!$L:$L, W$2, Başvuru!$K:$K, $B14)</f>
        <v>0</v>
      </c>
      <c r="X14" s="124">
        <f>COUNTIFS(Başvuru!$G:$G, "Doktora Tezi", Başvuru!$L:$L, X$2, Başvuru!$J:$J, $B14) + COUNTIFS(Başvuru!$G:$G, "Doktora Tezi", Başvuru!$L:$L, X$2, Başvuru!$K:$K, $B14)</f>
        <v>0</v>
      </c>
      <c r="Y14" s="124">
        <f>COUNTIFS(Başvuru!$G:$G, "Doktora Tezi", Başvuru!$L:$L, Y$2, Başvuru!$J:$J, $B14) + COUNTIFS(Başvuru!$G:$G, "Doktora Tezi", Başvuru!$L:$L, Y$2, Başvuru!$K:$K, $B14)</f>
        <v>0</v>
      </c>
      <c r="Z14" s="124">
        <f>COUNTIFS(Başvuru!$G:$G, "Doktora Tezi", Başvuru!$L:$L, Z$2, Başvuru!$J:$J, $B14) + COUNTIFS(Başvuru!$G:$G, "Doktora Tezi", Başvuru!$L:$L, Z$2, Başvuru!$K:$K, $B14)</f>
        <v>0</v>
      </c>
      <c r="AA14" s="124">
        <f t="shared" si="2"/>
        <v>4</v>
      </c>
      <c r="AB14" s="124">
        <f>COUNTIFS(Başvuru!$G:$G, "Uzmanlık Tezi", Başvuru!$L:$L, AB$2, Başvuru!$J:$J, $B14) + COUNTIFS(Başvuru!$G:$G, "Uzmanlık Tezi", Başvuru!$L:$L, AB$2, Başvuru!$K:$K, $B14)</f>
        <v>5</v>
      </c>
      <c r="AC14" s="124">
        <f>COUNTIFS(Başvuru!$G:$G, "Uzmanlık Tezi", Başvuru!$L:$L, AC$2, Başvuru!$J:$J, $B14) + COUNTIFS(Başvuru!$G:$G, "Uzmanlık Tezi", Başvuru!$L:$L, AC$2, Başvuru!$K:$K, $B14)</f>
        <v>3</v>
      </c>
      <c r="AD14" s="124">
        <f>COUNTIFS(Başvuru!$G:$G, "Uzmanlık Tezi", Başvuru!$L:$L, AD$2, Başvuru!$J:$J, $B14) + COUNTIFS(Başvuru!$G:$G, "Uzmanlık Tezi", Başvuru!$L:$L, AD$2, Başvuru!$K:$K, $B14)</f>
        <v>2</v>
      </c>
      <c r="AE14" s="124">
        <f>COUNTIFS(Başvuru!$G:$G, "Uzmanlık Tezi", Başvuru!$L:$L, AE$2, Başvuru!$J:$J, $B14) + COUNTIFS(Başvuru!$G:$G, "Uzmanlık Tezi", Başvuru!$L:$L, AE$2, Başvuru!$K:$K, $B14)</f>
        <v>0</v>
      </c>
      <c r="AF14" s="124">
        <f>COUNTIFS(Başvuru!$G:$G, "Uzmanlık Tezi", Başvuru!$L:$L, AF$2, Başvuru!$J:$J, $B14) + COUNTIFS(Başvuru!$G:$G, "Uzmanlık Tezi", Başvuru!$L:$L, AF$2, Başvuru!$K:$K, $B14)</f>
        <v>2</v>
      </c>
      <c r="AG14" s="124">
        <f>COUNTIFS(Başvuru!$G:$G, "Uzmanlık Tezi", Başvuru!$L:$L, AG$2, Başvuru!$J:$J, $B14) + COUNTIFS(Başvuru!$G:$G, "Uzmanlık Tezi", Başvuru!$L:$L, AG$2, Başvuru!$K:$K, $B14)</f>
        <v>0</v>
      </c>
      <c r="AH14" s="124">
        <f>COUNTIFS(Başvuru!$G:$G, "Uzmanlık Tezi", Başvuru!$L:$L, AH$2, Başvuru!$J:$J, $B14) + COUNTIFS(Başvuru!$G:$G, "Uzmanlık Tezi", Başvuru!$L:$L, AH$2, Başvuru!$K:$K, $B14)</f>
        <v>0</v>
      </c>
      <c r="AI14" s="124">
        <f t="shared" si="3"/>
        <v>12</v>
      </c>
      <c r="AJ14" s="126">
        <f t="shared" si="4"/>
        <v>38</v>
      </c>
      <c r="AK14" s="126">
        <f t="shared" si="5"/>
        <v>31</v>
      </c>
      <c r="AL14" s="126">
        <f t="shared" si="6"/>
        <v>6</v>
      </c>
      <c r="AM14" s="126">
        <f t="shared" si="7"/>
        <v>0</v>
      </c>
      <c r="AN14" s="126">
        <f t="shared" si="8"/>
        <v>6</v>
      </c>
      <c r="AO14" s="126">
        <f t="shared" si="9"/>
        <v>3</v>
      </c>
      <c r="AP14" s="126">
        <f t="shared" si="10"/>
        <v>0</v>
      </c>
      <c r="AQ14" s="126">
        <f t="shared" si="11"/>
        <v>84</v>
      </c>
    </row>
    <row r="15" spans="1:43" s="121" customFormat="1" ht="30" customHeight="1" x14ac:dyDescent="0.25">
      <c r="A15" s="322" t="s">
        <v>4</v>
      </c>
      <c r="B15" s="305"/>
      <c r="C15" s="150">
        <f t="shared" ref="C15:AP15" si="12">SUM(C3:C14)</f>
        <v>1076</v>
      </c>
      <c r="D15" s="150">
        <f t="shared" si="12"/>
        <v>406</v>
      </c>
      <c r="E15" s="150">
        <f t="shared" si="12"/>
        <v>230</v>
      </c>
      <c r="F15" s="150">
        <f t="shared" si="12"/>
        <v>10</v>
      </c>
      <c r="G15" s="150">
        <f t="shared" si="12"/>
        <v>34</v>
      </c>
      <c r="H15" s="150">
        <f t="shared" si="12"/>
        <v>30</v>
      </c>
      <c r="I15" s="150">
        <f t="shared" si="12"/>
        <v>10</v>
      </c>
      <c r="J15" s="150">
        <f t="shared" si="12"/>
        <v>0</v>
      </c>
      <c r="K15" s="314">
        <f t="shared" si="12"/>
        <v>720</v>
      </c>
      <c r="L15" s="150">
        <f t="shared" si="12"/>
        <v>4</v>
      </c>
      <c r="M15" s="150">
        <f t="shared" si="12"/>
        <v>14</v>
      </c>
      <c r="N15" s="150">
        <f t="shared" si="12"/>
        <v>0</v>
      </c>
      <c r="O15" s="150">
        <f t="shared" si="12"/>
        <v>0</v>
      </c>
      <c r="P15" s="150">
        <f t="shared" si="12"/>
        <v>2</v>
      </c>
      <c r="Q15" s="150">
        <f t="shared" si="12"/>
        <v>0</v>
      </c>
      <c r="R15" s="150">
        <f t="shared" si="12"/>
        <v>0</v>
      </c>
      <c r="S15" s="314">
        <f t="shared" si="12"/>
        <v>20</v>
      </c>
      <c r="T15" s="150">
        <f t="shared" si="12"/>
        <v>26</v>
      </c>
      <c r="U15" s="150">
        <f t="shared" si="12"/>
        <v>22</v>
      </c>
      <c r="V15" s="150">
        <f t="shared" si="12"/>
        <v>0</v>
      </c>
      <c r="W15" s="150">
        <f t="shared" si="12"/>
        <v>6</v>
      </c>
      <c r="X15" s="150">
        <f t="shared" si="12"/>
        <v>0</v>
      </c>
      <c r="Y15" s="150">
        <f t="shared" si="12"/>
        <v>0</v>
      </c>
      <c r="Z15" s="150">
        <f t="shared" si="12"/>
        <v>0</v>
      </c>
      <c r="AA15" s="314">
        <f t="shared" si="12"/>
        <v>54</v>
      </c>
      <c r="AB15" s="150">
        <f t="shared" si="12"/>
        <v>96</v>
      </c>
      <c r="AC15" s="150">
        <f t="shared" si="12"/>
        <v>64</v>
      </c>
      <c r="AD15" s="150">
        <f t="shared" si="12"/>
        <v>4</v>
      </c>
      <c r="AE15" s="150">
        <f t="shared" si="12"/>
        <v>6</v>
      </c>
      <c r="AF15" s="150">
        <f t="shared" si="12"/>
        <v>4</v>
      </c>
      <c r="AG15" s="150">
        <f t="shared" si="12"/>
        <v>4</v>
      </c>
      <c r="AH15" s="150">
        <f t="shared" si="12"/>
        <v>0</v>
      </c>
      <c r="AI15" s="314">
        <f t="shared" si="12"/>
        <v>178</v>
      </c>
      <c r="AJ15" s="157">
        <f t="shared" si="12"/>
        <v>532</v>
      </c>
      <c r="AK15" s="157">
        <f t="shared" si="12"/>
        <v>330</v>
      </c>
      <c r="AL15" s="157">
        <f t="shared" si="12"/>
        <v>14</v>
      </c>
      <c r="AM15" s="157">
        <f t="shared" si="12"/>
        <v>46</v>
      </c>
      <c r="AN15" s="157">
        <f t="shared" si="12"/>
        <v>36</v>
      </c>
      <c r="AO15" s="157">
        <f t="shared" si="12"/>
        <v>14</v>
      </c>
      <c r="AP15" s="157">
        <f t="shared" si="12"/>
        <v>0</v>
      </c>
      <c r="AQ15" s="157">
        <f t="shared" si="11"/>
        <v>972</v>
      </c>
    </row>
    <row r="16" spans="1:43" s="121" customFormat="1" ht="45.75" customHeight="1" x14ac:dyDescent="0.25">
      <c r="C16" s="158">
        <f>C15/2</f>
        <v>538</v>
      </c>
      <c r="D16" s="310">
        <f>SUM(D15:J15)</f>
        <v>720</v>
      </c>
      <c r="E16" s="311"/>
      <c r="F16" s="311"/>
      <c r="G16" s="311"/>
      <c r="H16" s="311"/>
      <c r="I16" s="311"/>
      <c r="J16" s="311"/>
      <c r="K16" s="311"/>
      <c r="L16" s="310">
        <f>SUM(L15:R15)</f>
        <v>20</v>
      </c>
      <c r="M16" s="311"/>
      <c r="N16" s="311"/>
      <c r="O16" s="311"/>
      <c r="P16" s="311"/>
      <c r="Q16" s="311"/>
      <c r="R16" s="311"/>
      <c r="S16" s="311"/>
      <c r="T16" s="310">
        <f>SUM(T15:Z15)</f>
        <v>54</v>
      </c>
      <c r="U16" s="311"/>
      <c r="V16" s="311"/>
      <c r="W16" s="311"/>
      <c r="X16" s="311"/>
      <c r="Y16" s="311"/>
      <c r="Z16" s="311"/>
      <c r="AA16" s="311"/>
      <c r="AB16" s="310">
        <f>SUM(AB15:AH15)</f>
        <v>178</v>
      </c>
      <c r="AC16" s="311"/>
      <c r="AD16" s="311"/>
      <c r="AE16" s="311"/>
      <c r="AF16" s="311"/>
      <c r="AG16" s="311"/>
      <c r="AH16" s="311"/>
      <c r="AI16" s="311"/>
    </row>
    <row r="17" spans="1:43" ht="45.75" customHeight="1" x14ac:dyDescent="0.25">
      <c r="D17" s="318">
        <f>SUM(D16:AH16)</f>
        <v>972</v>
      </c>
      <c r="E17" s="308"/>
      <c r="F17" s="308"/>
      <c r="G17" s="308"/>
      <c r="H17" s="308"/>
      <c r="I17" s="308"/>
      <c r="J17" s="308"/>
      <c r="K17" s="308"/>
      <c r="L17" s="308"/>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7">
        <f>C15-D17</f>
        <v>104</v>
      </c>
      <c r="AK17" s="308"/>
      <c r="AL17" s="308"/>
      <c r="AM17" s="308"/>
      <c r="AN17" s="307">
        <f>C15-AQ15</f>
        <v>104</v>
      </c>
      <c r="AO17" s="308"/>
      <c r="AP17" s="308"/>
      <c r="AQ17" s="308"/>
    </row>
    <row r="21" spans="1:43" ht="30" customHeight="1" x14ac:dyDescent="0.25">
      <c r="A21" s="159" t="s">
        <v>3717</v>
      </c>
      <c r="B21" s="150" t="s">
        <v>3762</v>
      </c>
      <c r="C21" s="150" t="s">
        <v>3719</v>
      </c>
    </row>
    <row r="22" spans="1:43" ht="30" customHeight="1" x14ac:dyDescent="0.25">
      <c r="A22" s="144" t="s">
        <v>58</v>
      </c>
      <c r="B22" s="123" t="s">
        <v>34</v>
      </c>
      <c r="C22" s="145">
        <f>COUNTIF(Başvuru!G2:G1503,"Bireysel Araştırma")</f>
        <v>435</v>
      </c>
    </row>
    <row r="23" spans="1:43" ht="30" customHeight="1" x14ac:dyDescent="0.25">
      <c r="A23" s="146" t="s">
        <v>68</v>
      </c>
      <c r="B23" s="147" t="s">
        <v>36</v>
      </c>
      <c r="C23" s="148">
        <f>COUNTIF(Başvuru!G2:G1503,"Yüksek Lisans Tezi")</f>
        <v>14</v>
      </c>
    </row>
    <row r="24" spans="1:43" ht="30" customHeight="1" x14ac:dyDescent="0.25">
      <c r="A24" s="144" t="s">
        <v>76</v>
      </c>
      <c r="B24" s="123" t="s">
        <v>37</v>
      </c>
      <c r="C24" s="145">
        <f>COUNTIF(Başvuru!G2:G1503,"Doktora Tezi")</f>
        <v>29</v>
      </c>
    </row>
    <row r="25" spans="1:43" ht="30" customHeight="1" x14ac:dyDescent="0.25">
      <c r="A25" s="146" t="s">
        <v>85</v>
      </c>
      <c r="B25" s="147" t="s">
        <v>35</v>
      </c>
      <c r="C25" s="148">
        <f>COUNTIF(Başvuru!G2:G1503,"Uzmanlık Tezi")</f>
        <v>100</v>
      </c>
    </row>
    <row r="26" spans="1:43" ht="30" customHeight="1" x14ac:dyDescent="0.25">
      <c r="A26" s="309" t="s">
        <v>4</v>
      </c>
      <c r="B26" s="305"/>
      <c r="C26" s="150">
        <f>SUM(C22:C25)</f>
        <v>578</v>
      </c>
    </row>
    <row r="27" spans="1:43" ht="30" customHeight="1" x14ac:dyDescent="0.25">
      <c r="B27" s="121"/>
      <c r="C27" s="121"/>
    </row>
    <row r="28" spans="1:43" ht="30" customHeight="1" x14ac:dyDescent="0.25">
      <c r="A28" s="159" t="s">
        <v>3717</v>
      </c>
      <c r="B28" s="150" t="s">
        <v>3763</v>
      </c>
      <c r="C28" s="150" t="s">
        <v>3719</v>
      </c>
    </row>
    <row r="29" spans="1:43" ht="30" customHeight="1" x14ac:dyDescent="0.25">
      <c r="A29" s="144" t="s">
        <v>58</v>
      </c>
      <c r="B29" s="149" t="s">
        <v>3706</v>
      </c>
      <c r="C29" s="145">
        <f>COUNTIF(Başvuru!L2:L1503,"ONAY")</f>
        <v>266</v>
      </c>
    </row>
    <row r="30" spans="1:43" ht="30" customHeight="1" x14ac:dyDescent="0.25">
      <c r="A30" s="144" t="s">
        <v>68</v>
      </c>
      <c r="B30" s="149" t="s">
        <v>3707</v>
      </c>
      <c r="C30" s="145">
        <f>COUNTIF(Başvuru!L2:L1503,"DÜZELTME")</f>
        <v>165</v>
      </c>
    </row>
    <row r="31" spans="1:43" ht="30" customHeight="1" x14ac:dyDescent="0.25">
      <c r="A31" s="144" t="s">
        <v>76</v>
      </c>
      <c r="B31" s="149" t="s">
        <v>229</v>
      </c>
      <c r="C31" s="145">
        <f>COUNTIF(Başvuru!L2:L1503,"KAEK")</f>
        <v>7</v>
      </c>
    </row>
    <row r="32" spans="1:43" ht="30" customHeight="1" x14ac:dyDescent="0.25">
      <c r="A32" s="144" t="s">
        <v>85</v>
      </c>
      <c r="B32" s="149" t="s">
        <v>3708</v>
      </c>
      <c r="C32" s="145">
        <f>COUNTIF(Başvuru!L2:L1503,"GÖRÜŞ")</f>
        <v>23</v>
      </c>
    </row>
    <row r="33" spans="1:3" ht="30" customHeight="1" x14ac:dyDescent="0.25">
      <c r="A33" s="144" t="s">
        <v>95</v>
      </c>
      <c r="B33" s="149" t="s">
        <v>3709</v>
      </c>
      <c r="C33" s="145">
        <f>COUNTIF(Başvuru!L2:L1503,"RET")</f>
        <v>18</v>
      </c>
    </row>
    <row r="34" spans="1:3" ht="30" customHeight="1" x14ac:dyDescent="0.25">
      <c r="A34" s="144" t="s">
        <v>104</v>
      </c>
      <c r="B34" s="149" t="s">
        <v>3710</v>
      </c>
      <c r="C34" s="145">
        <f>COUNTIF(Başvuru!L2:L1503,"KAPSAM DIŞI")</f>
        <v>7</v>
      </c>
    </row>
    <row r="35" spans="1:3" ht="30" customHeight="1" x14ac:dyDescent="0.25">
      <c r="A35" s="144" t="s">
        <v>112</v>
      </c>
      <c r="B35" s="149" t="s">
        <v>3711</v>
      </c>
      <c r="C35" s="145">
        <f>COUNTIF(Başvuru!L2:L1503,"GERİ ÇEKİLDİ")</f>
        <v>0</v>
      </c>
    </row>
    <row r="36" spans="1:3" ht="30" customHeight="1" x14ac:dyDescent="0.25">
      <c r="A36" s="309" t="s">
        <v>4</v>
      </c>
      <c r="B36" s="305"/>
      <c r="C36" s="150">
        <f>SUM(C29:C35)</f>
        <v>486</v>
      </c>
    </row>
  </sheetData>
  <mergeCells count="22">
    <mergeCell ref="D16:J16"/>
    <mergeCell ref="AJ1:AQ1"/>
    <mergeCell ref="K15:K16"/>
    <mergeCell ref="AI15:AI16"/>
    <mergeCell ref="A15:B15"/>
    <mergeCell ref="D1:K1"/>
    <mergeCell ref="AN17:AQ17"/>
    <mergeCell ref="A36:B36"/>
    <mergeCell ref="T16:Z16"/>
    <mergeCell ref="C1:C2"/>
    <mergeCell ref="AA15:AA16"/>
    <mergeCell ref="AB1:AI1"/>
    <mergeCell ref="B1:B2"/>
    <mergeCell ref="L16:R16"/>
    <mergeCell ref="S15:S16"/>
    <mergeCell ref="A26:B26"/>
    <mergeCell ref="D17:AI17"/>
    <mergeCell ref="AJ17:AM17"/>
    <mergeCell ref="L1:S1"/>
    <mergeCell ref="A1:A2"/>
    <mergeCell ref="T1:AA1"/>
    <mergeCell ref="AB16:AH16"/>
  </mergeCells>
  <conditionalFormatting sqref="A22:C25">
    <cfRule type="expression" dxfId="11" priority="2">
      <formula>" =ÇİFTMİ(SATIR())"</formula>
    </cfRule>
  </conditionalFormatting>
  <conditionalFormatting sqref="A29:C35">
    <cfRule type="expression" dxfId="10" priority="3">
      <formula>ISEVEN(ROW())</formula>
    </cfRule>
  </conditionalFormatting>
  <conditionalFormatting sqref="A3:AI14">
    <cfRule type="expression" dxfId="9" priority="4">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B1:S79"/>
  <sheetViews>
    <sheetView showGridLines="0" workbookViewId="0">
      <pane xSplit="2" ySplit="5" topLeftCell="C6" activePane="bottomRight" state="frozen"/>
      <selection pane="topRight"/>
      <selection pane="bottomLeft"/>
      <selection pane="bottomRight" activeCell="F51" sqref="F51"/>
    </sheetView>
  </sheetViews>
  <sheetFormatPr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6.1" customHeight="1" x14ac:dyDescent="0.25">
      <c r="B2" s="324" t="s">
        <v>5649</v>
      </c>
      <c r="C2" s="294"/>
      <c r="D2" s="294"/>
      <c r="E2" s="294"/>
      <c r="F2" s="294"/>
      <c r="G2" s="294"/>
      <c r="H2" s="294"/>
      <c r="I2" s="294"/>
      <c r="J2" s="294"/>
      <c r="K2" s="294"/>
      <c r="L2" s="294"/>
      <c r="M2" s="294"/>
      <c r="N2" s="294"/>
      <c r="O2" s="294"/>
      <c r="P2" s="294"/>
    </row>
    <row r="3" spans="2:19" ht="18" customHeight="1" x14ac:dyDescent="0.25">
      <c r="B3" s="323" t="s">
        <v>5650</v>
      </c>
      <c r="C3" s="294"/>
      <c r="D3" s="294"/>
      <c r="E3" s="294"/>
      <c r="F3" s="294"/>
      <c r="G3" s="294"/>
      <c r="H3" s="294"/>
      <c r="I3" s="294"/>
      <c r="J3" s="294"/>
      <c r="K3" s="294"/>
      <c r="L3" s="294"/>
      <c r="M3" s="294"/>
      <c r="N3" s="294"/>
      <c r="O3" s="294"/>
      <c r="P3" s="294"/>
    </row>
    <row r="4" spans="2:19" ht="6" customHeight="1" x14ac:dyDescent="0.25"/>
    <row r="5" spans="2:19" ht="20.100000000000001" customHeight="1" x14ac:dyDescent="0.25">
      <c r="B5" s="237" t="s">
        <v>5594</v>
      </c>
      <c r="C5" s="238" t="s">
        <v>5651</v>
      </c>
      <c r="D5" s="239" t="s">
        <v>4</v>
      </c>
      <c r="E5" s="237" t="s">
        <v>5608</v>
      </c>
      <c r="F5" s="240" t="s">
        <v>5652</v>
      </c>
      <c r="G5" s="240" t="s">
        <v>5653</v>
      </c>
      <c r="H5" s="240" t="s">
        <v>5654</v>
      </c>
      <c r="I5" s="240" t="s">
        <v>5655</v>
      </c>
      <c r="J5" s="241" t="s">
        <v>66</v>
      </c>
      <c r="K5" s="242" t="s">
        <v>5656</v>
      </c>
      <c r="L5" s="243" t="s">
        <v>229</v>
      </c>
      <c r="M5" s="244" t="s">
        <v>215</v>
      </c>
      <c r="N5" s="245" t="s">
        <v>175</v>
      </c>
      <c r="O5" s="246" t="s">
        <v>5657</v>
      </c>
      <c r="P5" s="247" t="s">
        <v>5658</v>
      </c>
      <c r="Q5" s="248" t="s">
        <v>5659</v>
      </c>
      <c r="R5" s="248" t="s">
        <v>5660</v>
      </c>
      <c r="S5" s="248" t="s">
        <v>5661</v>
      </c>
    </row>
    <row r="6" spans="2:19" ht="15" customHeight="1" x14ac:dyDescent="0.25">
      <c r="B6" s="249">
        <v>1</v>
      </c>
      <c r="C6" s="250" t="str">
        <f>IFERROR(INDEX($Q$6:$Q$78,MATCH(1,$S$6:$S$78,0)),"")</f>
        <v>İç Hastalıkları Anabilim Dalı</v>
      </c>
      <c r="D6" s="251">
        <f>IF(C6="","",COUNTIFS(Başvuru!$D:$D,C6,Başvuru!$F:$F,"&lt;&gt;"&amp;""))</f>
        <v>98</v>
      </c>
      <c r="E6" s="249" t="str">
        <f>IF(D6&gt;0,TEXT(D6/COUNTIF(Başvuru!$F:$F,"&lt;&gt;"&amp;"")*100,"0.0")&amp;"%","-")</f>
        <v>06%</v>
      </c>
      <c r="F6" s="252">
        <f>IF(C6="","",COUNTIFS(Başvuru!$D:$D,C6,Başvuru!$G:$G,"Bireysel Araştırma",Başvuru!$F:$F,"&lt;&gt;"&amp;""))</f>
        <v>89</v>
      </c>
      <c r="G6" s="252">
        <f>IF(C6="","",COUNTIFS(Başvuru!$D:$D,C6,Başvuru!$G:$G,"Uzmanlık Tezi",Başvuru!$F:$F,"&lt;&gt;"&amp;""))</f>
        <v>8</v>
      </c>
      <c r="H6" s="252">
        <f>IF(C6="","",COUNTIFS(Başvuru!$D:$D,C6,Başvuru!$G:$G,"Doktora Tezi",Başvuru!$F:$F,"&lt;&gt;"&amp;""))</f>
        <v>1</v>
      </c>
      <c r="I6" s="252">
        <f>IF(C6="","",COUNTIFS(Başvuru!$D:$D,C6,Başvuru!$G:$G,"Yüksek Lisans Tezi",Başvuru!$F:$F,"&lt;&gt;"&amp;""))</f>
        <v>0</v>
      </c>
      <c r="J6" s="253">
        <f>IF(C6="","",COUNTIFS(Başvuru!$D:$D,C6,Başvuru!$L:$L,"ONAY",Başvuru!$F:$F,"&lt;&gt;"&amp;""))</f>
        <v>43</v>
      </c>
      <c r="K6" s="254">
        <f>IF(C6="","",COUNTIFS(Başvuru!$D:$D,C6,Başvuru!$L:$L,"DÜZELTME",Başvuru!$F:$F,"&lt;&gt;"&amp;""))</f>
        <v>24</v>
      </c>
      <c r="L6" s="255">
        <f>IF(C6="","",COUNTIFS(Başvuru!$D:$D,C6,Başvuru!$L:$L,"KAEK",Başvuru!$F:$F,"&lt;&gt;"&amp;""))</f>
        <v>0</v>
      </c>
      <c r="M6" s="256">
        <f>IF(C6="","",COUNTIFS(Başvuru!$D:$D,C6,Başvuru!$L:$L,"GÖRÜŞ",Başvuru!$F:$F,"&lt;&gt;"&amp;""))</f>
        <v>8</v>
      </c>
      <c r="N6" s="257">
        <f>IF(C6="","",COUNTIFS(Başvuru!$D:$D,C6,Başvuru!$L:$L,"RET",Başvuru!$F:$F,"&lt;&gt;"&amp;""))</f>
        <v>2</v>
      </c>
      <c r="O6" s="258">
        <f>IF(C6="","",COUNTIFS(Başvuru!$D:$D,C6,Başvuru!$L:$L,"KAPSAM DIŞI",Başvuru!$F:$F,"&lt;&gt;"&amp;""))</f>
        <v>3</v>
      </c>
      <c r="P6" s="259">
        <f>IF(C6="","",COUNTIFS(Başvuru!$D:$D,C6,Başvuru!$L:$L,"GERİ ÇEKİLDİ",Başvuru!$F:$F,"&lt;&gt;"&amp;""))</f>
        <v>0</v>
      </c>
      <c r="Q6" s="260" t="s">
        <v>1371</v>
      </c>
      <c r="R6" s="261">
        <f>COUNTIFS(Başvuru!$D:$D,Q6,Başvuru!$F:$F,"&lt;&gt;"&amp;"")</f>
        <v>2</v>
      </c>
      <c r="S6" s="261">
        <f>RANK(R6,$R$6:$R$78,0)+COUNTIF($R$6:R6,R6)-1</f>
        <v>39</v>
      </c>
    </row>
    <row r="7" spans="2:19" ht="15" customHeight="1" x14ac:dyDescent="0.25">
      <c r="B7" s="262">
        <v>2</v>
      </c>
      <c r="C7" s="263" t="str">
        <f>IFERROR(INDEX($Q$6:$Q$78,MATCH(2,$S$6:$S$78,0)),"")</f>
        <v>Çocuk Sağlığı ve Hastalıkları Anabilim Dalı</v>
      </c>
      <c r="D7" s="264">
        <f>IF(C7="","",COUNTIFS(Başvuru!$D:$D,C7,Başvuru!$F:$F,"&lt;&gt;"&amp;""))</f>
        <v>93</v>
      </c>
      <c r="E7" s="262" t="str">
        <f>IF(D7&gt;0,TEXT(D7/COUNTIF(Başvuru!$F:$F,"&lt;&gt;"&amp;"")*100,"0.0")&amp;"%","-")</f>
        <v>06%</v>
      </c>
      <c r="F7" s="265">
        <f>IF(C7="","",COUNTIFS(Başvuru!$D:$D,C7,Başvuru!$G:$G,"Bireysel Araştırma",Başvuru!$F:$F,"&lt;&gt;"&amp;""))</f>
        <v>76</v>
      </c>
      <c r="G7" s="265">
        <f>IF(C7="","",COUNTIFS(Başvuru!$D:$D,C7,Başvuru!$G:$G,"Uzmanlık Tezi",Başvuru!$F:$F,"&lt;&gt;"&amp;""))</f>
        <v>15</v>
      </c>
      <c r="H7" s="265">
        <f>IF(C7="","",COUNTIFS(Başvuru!$D:$D,C7,Başvuru!$G:$G,"Doktora Tezi",Başvuru!$F:$F,"&lt;&gt;"&amp;""))</f>
        <v>1</v>
      </c>
      <c r="I7" s="265">
        <f>IF(C7="","",COUNTIFS(Başvuru!$D:$D,C7,Başvuru!$G:$G,"Yüksek Lisans Tezi",Başvuru!$F:$F,"&lt;&gt;"&amp;""))</f>
        <v>1</v>
      </c>
      <c r="J7" s="266">
        <f>IF(C7="","",COUNTIFS(Başvuru!$D:$D,C7,Başvuru!$L:$L,"ONAY",Başvuru!$F:$F,"&lt;&gt;"&amp;""))</f>
        <v>37</v>
      </c>
      <c r="K7" s="267">
        <f>IF(C7="","",COUNTIFS(Başvuru!$D:$D,C7,Başvuru!$L:$L,"DÜZELTME",Başvuru!$F:$F,"&lt;&gt;"&amp;""))</f>
        <v>28</v>
      </c>
      <c r="L7" s="268">
        <f>IF(C7="","",COUNTIFS(Başvuru!$D:$D,C7,Başvuru!$L:$L,"KAEK",Başvuru!$F:$F,"&lt;&gt;"&amp;""))</f>
        <v>2</v>
      </c>
      <c r="M7" s="269">
        <f>IF(C7="","",COUNTIFS(Başvuru!$D:$D,C7,Başvuru!$L:$L,"GÖRÜŞ",Başvuru!$F:$F,"&lt;&gt;"&amp;""))</f>
        <v>2</v>
      </c>
      <c r="N7" s="270">
        <f>IF(C7="","",COUNTIFS(Başvuru!$D:$D,C7,Başvuru!$L:$L,"RET",Başvuru!$F:$F,"&lt;&gt;"&amp;""))</f>
        <v>1</v>
      </c>
      <c r="O7" s="271">
        <f>IF(C7="","",COUNTIFS(Başvuru!$D:$D,C7,Başvuru!$L:$L,"KAPSAM DIŞI",Başvuru!$F:$F,"&lt;&gt;"&amp;""))</f>
        <v>1</v>
      </c>
      <c r="P7" s="272">
        <f>IF(C7="","",COUNTIFS(Başvuru!$D:$D,C7,Başvuru!$L:$L,"GERİ ÇEKİLDİ",Başvuru!$F:$F,"&lt;&gt;"&amp;""))</f>
        <v>0</v>
      </c>
      <c r="Q7" s="260" t="s">
        <v>994</v>
      </c>
      <c r="R7" s="261">
        <f>COUNTIFS(Başvuru!$D:$D,Q7,Başvuru!$F:$F,"&lt;&gt;"&amp;"")</f>
        <v>10</v>
      </c>
      <c r="S7" s="261">
        <f>RANK(R7,$R$6:$R$78,0)+COUNTIF($R$6:R7,R7)-1</f>
        <v>15</v>
      </c>
    </row>
    <row r="8" spans="2:19" ht="15" customHeight="1" x14ac:dyDescent="0.25">
      <c r="B8" s="249">
        <v>3</v>
      </c>
      <c r="C8" s="250" t="str">
        <f>IFERROR(INDEX($Q$6:$Q$78,MATCH(3,$S$6:$S$78,0)),"")</f>
        <v>Kadın Hastalıkları ve Doğum Anabilim Dalı</v>
      </c>
      <c r="D8" s="251">
        <f>IF(C8="","",COUNTIFS(Başvuru!$D:$D,C8,Başvuru!$F:$F,"&lt;&gt;"&amp;""))</f>
        <v>30</v>
      </c>
      <c r="E8" s="249" t="str">
        <f>IF(D8&gt;0,TEXT(D8/COUNTIF(Başvuru!$F:$F,"&lt;&gt;"&amp;"")*100,"0.0")&amp;"%","-")</f>
        <v>02%</v>
      </c>
      <c r="F8" s="252">
        <f>IF(C8="","",COUNTIFS(Başvuru!$D:$D,C8,Başvuru!$G:$G,"Bireysel Araştırma",Başvuru!$F:$F,"&lt;&gt;"&amp;""))</f>
        <v>24</v>
      </c>
      <c r="G8" s="252">
        <f>IF(C8="","",COUNTIFS(Başvuru!$D:$D,C8,Başvuru!$G:$G,"Uzmanlık Tezi",Başvuru!$F:$F,"&lt;&gt;"&amp;""))</f>
        <v>6</v>
      </c>
      <c r="H8" s="252">
        <f>IF(C8="","",COUNTIFS(Başvuru!$D:$D,C8,Başvuru!$G:$G,"Doktora Tezi",Başvuru!$F:$F,"&lt;&gt;"&amp;""))</f>
        <v>0</v>
      </c>
      <c r="I8" s="252">
        <f>IF(C8="","",COUNTIFS(Başvuru!$D:$D,C8,Başvuru!$G:$G,"Yüksek Lisans Tezi",Başvuru!$F:$F,"&lt;&gt;"&amp;""))</f>
        <v>0</v>
      </c>
      <c r="J8" s="253">
        <f>IF(C8="","",COUNTIFS(Başvuru!$D:$D,C8,Başvuru!$L:$L,"ONAY",Başvuru!$F:$F,"&lt;&gt;"&amp;""))</f>
        <v>13</v>
      </c>
      <c r="K8" s="254">
        <f>IF(C8="","",COUNTIFS(Başvuru!$D:$D,C8,Başvuru!$L:$L,"DÜZELTME",Başvuru!$F:$F,"&lt;&gt;"&amp;""))</f>
        <v>7</v>
      </c>
      <c r="L8" s="255">
        <f>IF(C8="","",COUNTIFS(Başvuru!$D:$D,C8,Başvuru!$L:$L,"KAEK",Başvuru!$F:$F,"&lt;&gt;"&amp;""))</f>
        <v>0</v>
      </c>
      <c r="M8" s="256">
        <f>IF(C8="","",COUNTIFS(Başvuru!$D:$D,C8,Başvuru!$L:$L,"GÖRÜŞ",Başvuru!$F:$F,"&lt;&gt;"&amp;""))</f>
        <v>1</v>
      </c>
      <c r="N8" s="257">
        <f>IF(C8="","",COUNTIFS(Başvuru!$D:$D,C8,Başvuru!$L:$L,"RET",Başvuru!$F:$F,"&lt;&gt;"&amp;""))</f>
        <v>4</v>
      </c>
      <c r="O8" s="258">
        <f>IF(C8="","",COUNTIFS(Başvuru!$D:$D,C8,Başvuru!$L:$L,"KAPSAM DIŞI",Başvuru!$F:$F,"&lt;&gt;"&amp;""))</f>
        <v>0</v>
      </c>
      <c r="P8" s="259">
        <f>IF(C8="","",COUNTIFS(Başvuru!$D:$D,C8,Başvuru!$L:$L,"GERİ ÇEKİLDİ",Başvuru!$F:$F,"&lt;&gt;"&amp;""))</f>
        <v>0</v>
      </c>
      <c r="Q8" s="260" t="s">
        <v>2456</v>
      </c>
      <c r="R8" s="261">
        <f>COUNTIFS(Başvuru!$D:$D,Q8,Başvuru!$F:$F,"&lt;&gt;"&amp;"")</f>
        <v>1</v>
      </c>
      <c r="S8" s="261">
        <f>RANK(R8,$R$6:$R$78,0)+COUNTIF($R$6:R8,R8)-1</f>
        <v>54</v>
      </c>
    </row>
    <row r="9" spans="2:19" ht="15" customHeight="1" x14ac:dyDescent="0.25">
      <c r="B9" s="262">
        <v>4</v>
      </c>
      <c r="C9" s="263" t="str">
        <f>IFERROR(INDEX($Q$6:$Q$78,MATCH(4,$S$6:$S$78,0)),"")</f>
        <v>Nöroloji Anabilim Dalı</v>
      </c>
      <c r="D9" s="264">
        <f>IF(C9="","",COUNTIFS(Başvuru!$D:$D,C9,Başvuru!$F:$F,"&lt;&gt;"&amp;""))</f>
        <v>20</v>
      </c>
      <c r="E9" s="262" t="str">
        <f>IF(D9&gt;0,TEXT(D9/COUNTIF(Başvuru!$F:$F,"&lt;&gt;"&amp;"")*100,"0.0")&amp;"%","-")</f>
        <v>01%</v>
      </c>
      <c r="F9" s="265">
        <f>IF(C9="","",COUNTIFS(Başvuru!$D:$D,C9,Başvuru!$G:$G,"Bireysel Araştırma",Başvuru!$F:$F,"&lt;&gt;"&amp;""))</f>
        <v>16</v>
      </c>
      <c r="G9" s="265">
        <f>IF(C9="","",COUNTIFS(Başvuru!$D:$D,C9,Başvuru!$G:$G,"Uzmanlık Tezi",Başvuru!$F:$F,"&lt;&gt;"&amp;""))</f>
        <v>4</v>
      </c>
      <c r="H9" s="265">
        <f>IF(C9="","",COUNTIFS(Başvuru!$D:$D,C9,Başvuru!$G:$G,"Doktora Tezi",Başvuru!$F:$F,"&lt;&gt;"&amp;""))</f>
        <v>0</v>
      </c>
      <c r="I9" s="265">
        <f>IF(C9="","",COUNTIFS(Başvuru!$D:$D,C9,Başvuru!$G:$G,"Yüksek Lisans Tezi",Başvuru!$F:$F,"&lt;&gt;"&amp;""))</f>
        <v>0</v>
      </c>
      <c r="J9" s="266">
        <f>IF(C9="","",COUNTIFS(Başvuru!$D:$D,C9,Başvuru!$L:$L,"ONAY",Başvuru!$F:$F,"&lt;&gt;"&amp;""))</f>
        <v>14</v>
      </c>
      <c r="K9" s="267">
        <f>IF(C9="","",COUNTIFS(Başvuru!$D:$D,C9,Başvuru!$L:$L,"DÜZELTME",Başvuru!$F:$F,"&lt;&gt;"&amp;""))</f>
        <v>3</v>
      </c>
      <c r="L9" s="268">
        <f>IF(C9="","",COUNTIFS(Başvuru!$D:$D,C9,Başvuru!$L:$L,"KAEK",Başvuru!$F:$F,"&lt;&gt;"&amp;""))</f>
        <v>0</v>
      </c>
      <c r="M9" s="269">
        <f>IF(C9="","",COUNTIFS(Başvuru!$D:$D,C9,Başvuru!$L:$L,"GÖRÜŞ",Başvuru!$F:$F,"&lt;&gt;"&amp;""))</f>
        <v>1</v>
      </c>
      <c r="N9" s="270">
        <f>IF(C9="","",COUNTIFS(Başvuru!$D:$D,C9,Başvuru!$L:$L,"RET",Başvuru!$F:$F,"&lt;&gt;"&amp;""))</f>
        <v>0</v>
      </c>
      <c r="O9" s="271">
        <f>IF(C9="","",COUNTIFS(Başvuru!$D:$D,C9,Başvuru!$L:$L,"KAPSAM DIŞI",Başvuru!$F:$F,"&lt;&gt;"&amp;""))</f>
        <v>0</v>
      </c>
      <c r="P9" s="272">
        <f>IF(C9="","",COUNTIFS(Başvuru!$D:$D,C9,Başvuru!$L:$L,"GERİ ÇEKİLDİ",Başvuru!$F:$F,"&lt;&gt;"&amp;""))</f>
        <v>0</v>
      </c>
      <c r="Q9" s="260" t="s">
        <v>2244</v>
      </c>
      <c r="R9" s="261">
        <f>COUNTIFS(Başvuru!$D:$D,Q9,Başvuru!$F:$F,"&lt;&gt;"&amp;"")</f>
        <v>1</v>
      </c>
      <c r="S9" s="261">
        <f>RANK(R9,$R$6:$R$78,0)+COUNTIF($R$6:R9,R9)-1</f>
        <v>55</v>
      </c>
    </row>
    <row r="10" spans="2:19" ht="15" customHeight="1" x14ac:dyDescent="0.25">
      <c r="B10" s="249">
        <v>5</v>
      </c>
      <c r="C10" s="250" t="str">
        <f>IFERROR(INDEX($Q$6:$Q$78,MATCH(5,$S$6:$S$78,0)),"")</f>
        <v>Kardiyoloji Anabilim Dalı</v>
      </c>
      <c r="D10" s="251">
        <f>IF(C10="","",COUNTIFS(Başvuru!$D:$D,C10,Başvuru!$F:$F,"&lt;&gt;"&amp;""))</f>
        <v>18</v>
      </c>
      <c r="E10" s="249" t="str">
        <f>IF(D10&gt;0,TEXT(D10/COUNTIF(Başvuru!$F:$F,"&lt;&gt;"&amp;"")*100,"0.0")&amp;"%","-")</f>
        <v>01%</v>
      </c>
      <c r="F10" s="252">
        <f>IF(C10="","",COUNTIFS(Başvuru!$D:$D,C10,Başvuru!$G:$G,"Bireysel Araştırma",Başvuru!$F:$F,"&lt;&gt;"&amp;""))</f>
        <v>15</v>
      </c>
      <c r="G10" s="252">
        <f>IF(C10="","",COUNTIFS(Başvuru!$D:$D,C10,Başvuru!$G:$G,"Uzmanlık Tezi",Başvuru!$F:$F,"&lt;&gt;"&amp;""))</f>
        <v>3</v>
      </c>
      <c r="H10" s="252">
        <f>IF(C10="","",COUNTIFS(Başvuru!$D:$D,C10,Başvuru!$G:$G,"Doktora Tezi",Başvuru!$F:$F,"&lt;&gt;"&amp;""))</f>
        <v>0</v>
      </c>
      <c r="I10" s="252">
        <f>IF(C10="","",COUNTIFS(Başvuru!$D:$D,C10,Başvuru!$G:$G,"Yüksek Lisans Tezi",Başvuru!$F:$F,"&lt;&gt;"&amp;""))</f>
        <v>0</v>
      </c>
      <c r="J10" s="253">
        <f>IF(C10="","",COUNTIFS(Başvuru!$D:$D,C10,Başvuru!$L:$L,"ONAY",Başvuru!$F:$F,"&lt;&gt;"&amp;""))</f>
        <v>8</v>
      </c>
      <c r="K10" s="254">
        <f>IF(C10="","",COUNTIFS(Başvuru!$D:$D,C10,Başvuru!$L:$L,"DÜZELTME",Başvuru!$F:$F,"&lt;&gt;"&amp;""))</f>
        <v>3</v>
      </c>
      <c r="L10" s="255">
        <f>IF(C10="","",COUNTIFS(Başvuru!$D:$D,C10,Başvuru!$L:$L,"KAEK",Başvuru!$F:$F,"&lt;&gt;"&amp;""))</f>
        <v>0</v>
      </c>
      <c r="M10" s="256">
        <f>IF(C10="","",COUNTIFS(Başvuru!$D:$D,C10,Başvuru!$L:$L,"GÖRÜŞ",Başvuru!$F:$F,"&lt;&gt;"&amp;""))</f>
        <v>0</v>
      </c>
      <c r="N10" s="257">
        <f>IF(C10="","",COUNTIFS(Başvuru!$D:$D,C10,Başvuru!$L:$L,"RET",Başvuru!$F:$F,"&lt;&gt;"&amp;""))</f>
        <v>0</v>
      </c>
      <c r="O10" s="258">
        <f>IF(C10="","",COUNTIFS(Başvuru!$D:$D,C10,Başvuru!$L:$L,"KAPSAM DIŞI",Başvuru!$F:$F,"&lt;&gt;"&amp;""))</f>
        <v>0</v>
      </c>
      <c r="P10" s="259">
        <f>IF(C10="","",COUNTIFS(Başvuru!$D:$D,C10,Başvuru!$L:$L,"GERİ ÇEKİLDİ",Başvuru!$F:$F,"&lt;&gt;"&amp;""))</f>
        <v>0</v>
      </c>
      <c r="Q10" s="260" t="s">
        <v>292</v>
      </c>
      <c r="R10" s="261">
        <f>COUNTIFS(Başvuru!$D:$D,Q10,Başvuru!$F:$F,"&lt;&gt;"&amp;"")</f>
        <v>9</v>
      </c>
      <c r="S10" s="261">
        <f>RANK(R10,$R$6:$R$78,0)+COUNTIF($R$6:R10,R10)-1</f>
        <v>16</v>
      </c>
    </row>
    <row r="11" spans="2:19" ht="15" customHeight="1" x14ac:dyDescent="0.25">
      <c r="B11" s="262">
        <v>6</v>
      </c>
      <c r="C11" s="263" t="str">
        <f>IFERROR(INDEX($Q$6:$Q$78,MATCH(6,$S$6:$S$78,0)),"")</f>
        <v>Radyoloji Anabilim Dalı</v>
      </c>
      <c r="D11" s="264">
        <f>IF(C11="","",COUNTIFS(Başvuru!$D:$D,C11,Başvuru!$F:$F,"&lt;&gt;"&amp;""))</f>
        <v>18</v>
      </c>
      <c r="E11" s="262" t="str">
        <f>IF(D11&gt;0,TEXT(D11/COUNTIF(Başvuru!$F:$F,"&lt;&gt;"&amp;"")*100,"0.0")&amp;"%","-")</f>
        <v>01%</v>
      </c>
      <c r="F11" s="265">
        <f>IF(C11="","",COUNTIFS(Başvuru!$D:$D,C11,Başvuru!$G:$G,"Bireysel Araştırma",Başvuru!$F:$F,"&lt;&gt;"&amp;""))</f>
        <v>13</v>
      </c>
      <c r="G11" s="265">
        <f>IF(C11="","",COUNTIFS(Başvuru!$D:$D,C11,Başvuru!$G:$G,"Uzmanlık Tezi",Başvuru!$F:$F,"&lt;&gt;"&amp;""))</f>
        <v>5</v>
      </c>
      <c r="H11" s="265">
        <f>IF(C11="","",COUNTIFS(Başvuru!$D:$D,C11,Başvuru!$G:$G,"Doktora Tezi",Başvuru!$F:$F,"&lt;&gt;"&amp;""))</f>
        <v>0</v>
      </c>
      <c r="I11" s="265">
        <f>IF(C11="","",COUNTIFS(Başvuru!$D:$D,C11,Başvuru!$G:$G,"Yüksek Lisans Tezi",Başvuru!$F:$F,"&lt;&gt;"&amp;""))</f>
        <v>0</v>
      </c>
      <c r="J11" s="266">
        <f>IF(C11="","",COUNTIFS(Başvuru!$D:$D,C11,Başvuru!$L:$L,"ONAY",Başvuru!$F:$F,"&lt;&gt;"&amp;""))</f>
        <v>12</v>
      </c>
      <c r="K11" s="267">
        <f>IF(C11="","",COUNTIFS(Başvuru!$D:$D,C11,Başvuru!$L:$L,"DÜZELTME",Başvuru!$F:$F,"&lt;&gt;"&amp;""))</f>
        <v>5</v>
      </c>
      <c r="L11" s="268">
        <f>IF(C11="","",COUNTIFS(Başvuru!$D:$D,C11,Başvuru!$L:$L,"KAEK",Başvuru!$F:$F,"&lt;&gt;"&amp;""))</f>
        <v>0</v>
      </c>
      <c r="M11" s="269">
        <f>IF(C11="","",COUNTIFS(Başvuru!$D:$D,C11,Başvuru!$L:$L,"GÖRÜŞ",Başvuru!$F:$F,"&lt;&gt;"&amp;""))</f>
        <v>0</v>
      </c>
      <c r="N11" s="270">
        <f>IF(C11="","",COUNTIFS(Başvuru!$D:$D,C11,Başvuru!$L:$L,"RET",Başvuru!$F:$F,"&lt;&gt;"&amp;""))</f>
        <v>0</v>
      </c>
      <c r="O11" s="271">
        <f>IF(C11="","",COUNTIFS(Başvuru!$D:$D,C11,Başvuru!$L:$L,"KAPSAM DIŞI",Başvuru!$F:$F,"&lt;&gt;"&amp;""))</f>
        <v>0</v>
      </c>
      <c r="P11" s="272">
        <f>IF(C11="","",COUNTIFS(Başvuru!$D:$D,C11,Başvuru!$L:$L,"GERİ ÇEKİLDİ",Başvuru!$F:$F,"&lt;&gt;"&amp;""))</f>
        <v>0</v>
      </c>
      <c r="Q11" s="260" t="s">
        <v>186</v>
      </c>
      <c r="R11" s="261">
        <f>COUNTIFS(Başvuru!$D:$D,Q11,Başvuru!$F:$F,"&lt;&gt;"&amp;"")</f>
        <v>9</v>
      </c>
      <c r="S11" s="261">
        <f>RANK(R11,$R$6:$R$78,0)+COUNTIF($R$6:R11,R11)-1</f>
        <v>17</v>
      </c>
    </row>
    <row r="12" spans="2:19" ht="15" customHeight="1" x14ac:dyDescent="0.25">
      <c r="B12" s="249">
        <v>7</v>
      </c>
      <c r="C12" s="250" t="str">
        <f>IFERROR(INDEX($Q$6:$Q$78,MATCH(7,$S$6:$S$78,0)),"")</f>
        <v>Ortopedi ve Travmatoloji Anabilim Dalı</v>
      </c>
      <c r="D12" s="251">
        <f>IF(C12="","",COUNTIFS(Başvuru!$D:$D,C12,Başvuru!$F:$F,"&lt;&gt;"&amp;""))</f>
        <v>16</v>
      </c>
      <c r="E12" s="249" t="str">
        <f>IF(D12&gt;0,TEXT(D12/COUNTIF(Başvuru!$F:$F,"&lt;&gt;"&amp;"")*100,"0.0")&amp;"%","-")</f>
        <v>01%</v>
      </c>
      <c r="F12" s="252">
        <f>IF(C12="","",COUNTIFS(Başvuru!$D:$D,C12,Başvuru!$G:$G,"Bireysel Araştırma",Başvuru!$F:$F,"&lt;&gt;"&amp;""))</f>
        <v>15</v>
      </c>
      <c r="G12" s="252">
        <f>IF(C12="","",COUNTIFS(Başvuru!$D:$D,C12,Başvuru!$G:$G,"Uzmanlık Tezi",Başvuru!$F:$F,"&lt;&gt;"&amp;""))</f>
        <v>0</v>
      </c>
      <c r="H12" s="252">
        <f>IF(C12="","",COUNTIFS(Başvuru!$D:$D,C12,Başvuru!$G:$G,"Doktora Tezi",Başvuru!$F:$F,"&lt;&gt;"&amp;""))</f>
        <v>0</v>
      </c>
      <c r="I12" s="252">
        <f>IF(C12="","",COUNTIFS(Başvuru!$D:$D,C12,Başvuru!$G:$G,"Yüksek Lisans Tezi",Başvuru!$F:$F,"&lt;&gt;"&amp;""))</f>
        <v>1</v>
      </c>
      <c r="J12" s="253">
        <f>IF(C12="","",COUNTIFS(Başvuru!$D:$D,C12,Başvuru!$L:$L,"ONAY",Başvuru!$F:$F,"&lt;&gt;"&amp;""))</f>
        <v>6</v>
      </c>
      <c r="K12" s="254">
        <f>IF(C12="","",COUNTIFS(Başvuru!$D:$D,C12,Başvuru!$L:$L,"DÜZELTME",Başvuru!$F:$F,"&lt;&gt;"&amp;""))</f>
        <v>8</v>
      </c>
      <c r="L12" s="255">
        <f>IF(C12="","",COUNTIFS(Başvuru!$D:$D,C12,Başvuru!$L:$L,"KAEK",Başvuru!$F:$F,"&lt;&gt;"&amp;""))</f>
        <v>1</v>
      </c>
      <c r="M12" s="256">
        <f>IF(C12="","",COUNTIFS(Başvuru!$D:$D,C12,Başvuru!$L:$L,"GÖRÜŞ",Başvuru!$F:$F,"&lt;&gt;"&amp;""))</f>
        <v>0</v>
      </c>
      <c r="N12" s="257">
        <f>IF(C12="","",COUNTIFS(Başvuru!$D:$D,C12,Başvuru!$L:$L,"RET",Başvuru!$F:$F,"&lt;&gt;"&amp;""))</f>
        <v>0</v>
      </c>
      <c r="O12" s="258">
        <f>IF(C12="","",COUNTIFS(Başvuru!$D:$D,C12,Başvuru!$L:$L,"KAPSAM DIŞI",Başvuru!$F:$F,"&lt;&gt;"&amp;""))</f>
        <v>1</v>
      </c>
      <c r="P12" s="259">
        <f>IF(C12="","",COUNTIFS(Başvuru!$D:$D,C12,Başvuru!$L:$L,"GERİ ÇEKİLDİ",Başvuru!$F:$F,"&lt;&gt;"&amp;""))</f>
        <v>0</v>
      </c>
      <c r="Q12" s="260" t="s">
        <v>226</v>
      </c>
      <c r="R12" s="261">
        <f>COUNTIFS(Başvuru!$D:$D,Q12,Başvuru!$F:$F,"&lt;&gt;"&amp;"")</f>
        <v>6</v>
      </c>
      <c r="S12" s="261">
        <f>RANK(R12,$R$6:$R$78,0)+COUNTIF($R$6:R12,R12)-1</f>
        <v>23</v>
      </c>
    </row>
    <row r="13" spans="2:19" ht="15" customHeight="1" x14ac:dyDescent="0.25">
      <c r="B13" s="262">
        <v>8</v>
      </c>
      <c r="C13" s="263" t="str">
        <f>IFERROR(INDEX($Q$6:$Q$78,MATCH(8,$S$6:$S$78,0)),"")</f>
        <v>Göz Hastalıkları Anabilim Dalı</v>
      </c>
      <c r="D13" s="264">
        <f>IF(C13="","",COUNTIFS(Başvuru!$D:$D,C13,Başvuru!$F:$F,"&lt;&gt;"&amp;""))</f>
        <v>15</v>
      </c>
      <c r="E13" s="262" t="str">
        <f>IF(D13&gt;0,TEXT(D13/COUNTIF(Başvuru!$F:$F,"&lt;&gt;"&amp;"")*100,"0.0")&amp;"%","-")</f>
        <v>01%</v>
      </c>
      <c r="F13" s="265">
        <f>IF(C13="","",COUNTIFS(Başvuru!$D:$D,C13,Başvuru!$G:$G,"Bireysel Araştırma",Başvuru!$F:$F,"&lt;&gt;"&amp;""))</f>
        <v>15</v>
      </c>
      <c r="G13" s="265">
        <f>IF(C13="","",COUNTIFS(Başvuru!$D:$D,C13,Başvuru!$G:$G,"Uzmanlık Tezi",Başvuru!$F:$F,"&lt;&gt;"&amp;""))</f>
        <v>0</v>
      </c>
      <c r="H13" s="265">
        <f>IF(C13="","",COUNTIFS(Başvuru!$D:$D,C13,Başvuru!$G:$G,"Doktora Tezi",Başvuru!$F:$F,"&lt;&gt;"&amp;""))</f>
        <v>0</v>
      </c>
      <c r="I13" s="265">
        <f>IF(C13="","",COUNTIFS(Başvuru!$D:$D,C13,Başvuru!$G:$G,"Yüksek Lisans Tezi",Başvuru!$F:$F,"&lt;&gt;"&amp;""))</f>
        <v>0</v>
      </c>
      <c r="J13" s="266">
        <f>IF(C13="","",COUNTIFS(Başvuru!$D:$D,C13,Başvuru!$L:$L,"ONAY",Başvuru!$F:$F,"&lt;&gt;"&amp;""))</f>
        <v>7</v>
      </c>
      <c r="K13" s="267">
        <f>IF(C13="","",COUNTIFS(Başvuru!$D:$D,C13,Başvuru!$L:$L,"DÜZELTME",Başvuru!$F:$F,"&lt;&gt;"&amp;""))</f>
        <v>4</v>
      </c>
      <c r="L13" s="268">
        <f>IF(C13="","",COUNTIFS(Başvuru!$D:$D,C13,Başvuru!$L:$L,"KAEK",Başvuru!$F:$F,"&lt;&gt;"&amp;""))</f>
        <v>0</v>
      </c>
      <c r="M13" s="269">
        <f>IF(C13="","",COUNTIFS(Başvuru!$D:$D,C13,Başvuru!$L:$L,"GÖRÜŞ",Başvuru!$F:$F,"&lt;&gt;"&amp;""))</f>
        <v>0</v>
      </c>
      <c r="N13" s="270">
        <f>IF(C13="","",COUNTIFS(Başvuru!$D:$D,C13,Başvuru!$L:$L,"RET",Başvuru!$F:$F,"&lt;&gt;"&amp;""))</f>
        <v>0</v>
      </c>
      <c r="O13" s="271">
        <f>IF(C13="","",COUNTIFS(Başvuru!$D:$D,C13,Başvuru!$L:$L,"KAPSAM DIŞI",Başvuru!$F:$F,"&lt;&gt;"&amp;""))</f>
        <v>0</v>
      </c>
      <c r="P13" s="272">
        <f>IF(C13="","",COUNTIFS(Başvuru!$D:$D,C13,Başvuru!$L:$L,"GERİ ÇEKİLDİ",Başvuru!$F:$F,"&lt;&gt;"&amp;""))</f>
        <v>0</v>
      </c>
      <c r="Q13" s="260" t="s">
        <v>512</v>
      </c>
      <c r="R13" s="261">
        <f>COUNTIFS(Başvuru!$D:$D,Q13,Başvuru!$F:$F,"&lt;&gt;"&amp;"")</f>
        <v>6</v>
      </c>
      <c r="S13" s="261">
        <f>RANK(R13,$R$6:$R$78,0)+COUNTIF($R$6:R13,R13)-1</f>
        <v>24</v>
      </c>
    </row>
    <row r="14" spans="2:19" ht="15" customHeight="1" x14ac:dyDescent="0.25">
      <c r="B14" s="249">
        <v>9</v>
      </c>
      <c r="C14" s="250" t="str">
        <f>IFERROR(INDEX($Q$6:$Q$78,MATCH(9,$S$6:$S$78,0)),"")</f>
        <v>Göğüs Hastalıkları Anabilim Dalı</v>
      </c>
      <c r="D14" s="251">
        <f>IF(C14="","",COUNTIFS(Başvuru!$D:$D,C14,Başvuru!$F:$F,"&lt;&gt;"&amp;""))</f>
        <v>15</v>
      </c>
      <c r="E14" s="249" t="str">
        <f>IF(D14&gt;0,TEXT(D14/COUNTIF(Başvuru!$F:$F,"&lt;&gt;"&amp;"")*100,"0.0")&amp;"%","-")</f>
        <v>01%</v>
      </c>
      <c r="F14" s="252">
        <f>IF(C14="","",COUNTIFS(Başvuru!$D:$D,C14,Başvuru!$G:$G,"Bireysel Araştırma",Başvuru!$F:$F,"&lt;&gt;"&amp;""))</f>
        <v>13</v>
      </c>
      <c r="G14" s="252">
        <f>IF(C14="","",COUNTIFS(Başvuru!$D:$D,C14,Başvuru!$G:$G,"Uzmanlık Tezi",Başvuru!$F:$F,"&lt;&gt;"&amp;""))</f>
        <v>2</v>
      </c>
      <c r="H14" s="252">
        <f>IF(C14="","",COUNTIFS(Başvuru!$D:$D,C14,Başvuru!$G:$G,"Doktora Tezi",Başvuru!$F:$F,"&lt;&gt;"&amp;""))</f>
        <v>0</v>
      </c>
      <c r="I14" s="252">
        <f>IF(C14="","",COUNTIFS(Başvuru!$D:$D,C14,Başvuru!$G:$G,"Yüksek Lisans Tezi",Başvuru!$F:$F,"&lt;&gt;"&amp;""))</f>
        <v>0</v>
      </c>
      <c r="J14" s="253">
        <f>IF(C14="","",COUNTIFS(Başvuru!$D:$D,C14,Başvuru!$L:$L,"ONAY",Başvuru!$F:$F,"&lt;&gt;"&amp;""))</f>
        <v>8</v>
      </c>
      <c r="K14" s="254">
        <f>IF(C14="","",COUNTIFS(Başvuru!$D:$D,C14,Başvuru!$L:$L,"DÜZELTME",Başvuru!$F:$F,"&lt;&gt;"&amp;""))</f>
        <v>6</v>
      </c>
      <c r="L14" s="255">
        <f>IF(C14="","",COUNTIFS(Başvuru!$D:$D,C14,Başvuru!$L:$L,"KAEK",Başvuru!$F:$F,"&lt;&gt;"&amp;""))</f>
        <v>0</v>
      </c>
      <c r="M14" s="256">
        <f>IF(C14="","",COUNTIFS(Başvuru!$D:$D,C14,Başvuru!$L:$L,"GÖRÜŞ",Başvuru!$F:$F,"&lt;&gt;"&amp;""))</f>
        <v>0</v>
      </c>
      <c r="N14" s="257">
        <f>IF(C14="","",COUNTIFS(Başvuru!$D:$D,C14,Başvuru!$L:$L,"RET",Başvuru!$F:$F,"&lt;&gt;"&amp;""))</f>
        <v>1</v>
      </c>
      <c r="O14" s="258">
        <f>IF(C14="","",COUNTIFS(Başvuru!$D:$D,C14,Başvuru!$L:$L,"KAPSAM DIŞI",Başvuru!$F:$F,"&lt;&gt;"&amp;""))</f>
        <v>0</v>
      </c>
      <c r="P14" s="259">
        <f>IF(C14="","",COUNTIFS(Başvuru!$D:$D,C14,Başvuru!$L:$L,"GERİ ÇEKİLDİ",Başvuru!$F:$F,"&lt;&gt;"&amp;""))</f>
        <v>0</v>
      </c>
      <c r="Q14" s="260" t="s">
        <v>491</v>
      </c>
      <c r="R14" s="261">
        <f>COUNTIFS(Başvuru!$D:$D,Q14,Başvuru!$F:$F,"&lt;&gt;"&amp;"")</f>
        <v>1</v>
      </c>
      <c r="S14" s="261">
        <f>RANK(R14,$R$6:$R$78,0)+COUNTIF($R$6:R14,R14)-1</f>
        <v>56</v>
      </c>
    </row>
    <row r="15" spans="2:19" ht="15" customHeight="1" x14ac:dyDescent="0.25">
      <c r="B15" s="262">
        <v>10</v>
      </c>
      <c r="C15" s="263" t="str">
        <f>IFERROR(INDEX($Q$6:$Q$78,MATCH(10,$S$6:$S$78,0)),"")</f>
        <v>Klinik Eczacılık Anabilim Dalı</v>
      </c>
      <c r="D15" s="264">
        <f>IF(C15="","",COUNTIFS(Başvuru!$D:$D,C15,Başvuru!$F:$F,"&lt;&gt;"&amp;""))</f>
        <v>14</v>
      </c>
      <c r="E15" s="262" t="str">
        <f>IF(D15&gt;0,TEXT(D15/COUNTIF(Başvuru!$F:$F,"&lt;&gt;"&amp;"")*100,"0.0")&amp;"%","-")</f>
        <v>01%</v>
      </c>
      <c r="F15" s="265">
        <f>IF(C15="","",COUNTIFS(Başvuru!$D:$D,C15,Başvuru!$G:$G,"Bireysel Araştırma",Başvuru!$F:$F,"&lt;&gt;"&amp;""))</f>
        <v>10</v>
      </c>
      <c r="G15" s="265">
        <f>IF(C15="","",COUNTIFS(Başvuru!$D:$D,C15,Başvuru!$G:$G,"Uzmanlık Tezi",Başvuru!$F:$F,"&lt;&gt;"&amp;""))</f>
        <v>0</v>
      </c>
      <c r="H15" s="265">
        <f>IF(C15="","",COUNTIFS(Başvuru!$D:$D,C15,Başvuru!$G:$G,"Doktora Tezi",Başvuru!$F:$F,"&lt;&gt;"&amp;""))</f>
        <v>3</v>
      </c>
      <c r="I15" s="265">
        <f>IF(C15="","",COUNTIFS(Başvuru!$D:$D,C15,Başvuru!$G:$G,"Yüksek Lisans Tezi",Başvuru!$F:$F,"&lt;&gt;"&amp;""))</f>
        <v>1</v>
      </c>
      <c r="J15" s="266">
        <f>IF(C15="","",COUNTIFS(Başvuru!$D:$D,C15,Başvuru!$L:$L,"ONAY",Başvuru!$F:$F,"&lt;&gt;"&amp;""))</f>
        <v>6</v>
      </c>
      <c r="K15" s="267">
        <f>IF(C15="","",COUNTIFS(Başvuru!$D:$D,C15,Başvuru!$L:$L,"DÜZELTME",Başvuru!$F:$F,"&lt;&gt;"&amp;""))</f>
        <v>5</v>
      </c>
      <c r="L15" s="268">
        <f>IF(C15="","",COUNTIFS(Başvuru!$D:$D,C15,Başvuru!$L:$L,"KAEK",Başvuru!$F:$F,"&lt;&gt;"&amp;""))</f>
        <v>0</v>
      </c>
      <c r="M15" s="269">
        <f>IF(C15="","",COUNTIFS(Başvuru!$D:$D,C15,Başvuru!$L:$L,"GÖRÜŞ",Başvuru!$F:$F,"&lt;&gt;"&amp;""))</f>
        <v>1</v>
      </c>
      <c r="N15" s="270">
        <f>IF(C15="","",COUNTIFS(Başvuru!$D:$D,C15,Başvuru!$L:$L,"RET",Başvuru!$F:$F,"&lt;&gt;"&amp;""))</f>
        <v>0</v>
      </c>
      <c r="O15" s="271">
        <f>IF(C15="","",COUNTIFS(Başvuru!$D:$D,C15,Başvuru!$L:$L,"KAPSAM DIŞI",Başvuru!$F:$F,"&lt;&gt;"&amp;""))</f>
        <v>0</v>
      </c>
      <c r="P15" s="272">
        <f>IF(C15="","",COUNTIFS(Başvuru!$D:$D,C15,Başvuru!$L:$L,"GERİ ÇEKİLDİ",Başvuru!$F:$F,"&lt;&gt;"&amp;""))</f>
        <v>0</v>
      </c>
      <c r="Q15" s="260" t="s">
        <v>2499</v>
      </c>
      <c r="R15" s="261">
        <f>COUNTIFS(Başvuru!$D:$D,Q15,Başvuru!$F:$F,"&lt;&gt;"&amp;"")</f>
        <v>2</v>
      </c>
      <c r="S15" s="261">
        <f>RANK(R15,$R$6:$R$78,0)+COUNTIF($R$6:R15,R15)-1</f>
        <v>40</v>
      </c>
    </row>
    <row r="16" spans="2:19" ht="15" customHeight="1" x14ac:dyDescent="0.25">
      <c r="B16" s="249">
        <v>11</v>
      </c>
      <c r="C16" s="250" t="str">
        <f>IFERROR(INDEX($Q$6:$Q$78,MATCH(11,$S$6:$S$78,0)),"")</f>
        <v>Çocuk ve Ergen Ruh Sağlığı ve Hastalıkları Anabilim Dalı</v>
      </c>
      <c r="D16" s="251">
        <f>IF(C16="","",COUNTIFS(Başvuru!$D:$D,C16,Başvuru!$F:$F,"&lt;&gt;"&amp;""))</f>
        <v>14</v>
      </c>
      <c r="E16" s="249" t="str">
        <f>IF(D16&gt;0,TEXT(D16/COUNTIF(Başvuru!$F:$F,"&lt;&gt;"&amp;"")*100,"0.0")&amp;"%","-")</f>
        <v>01%</v>
      </c>
      <c r="F16" s="252">
        <f>IF(C16="","",COUNTIFS(Başvuru!$D:$D,C16,Başvuru!$G:$G,"Bireysel Araştırma",Başvuru!$F:$F,"&lt;&gt;"&amp;""))</f>
        <v>8</v>
      </c>
      <c r="G16" s="252">
        <f>IF(C16="","",COUNTIFS(Başvuru!$D:$D,C16,Başvuru!$G:$G,"Uzmanlık Tezi",Başvuru!$F:$F,"&lt;&gt;"&amp;""))</f>
        <v>6</v>
      </c>
      <c r="H16" s="252">
        <f>IF(C16="","",COUNTIFS(Başvuru!$D:$D,C16,Başvuru!$G:$G,"Doktora Tezi",Başvuru!$F:$F,"&lt;&gt;"&amp;""))</f>
        <v>0</v>
      </c>
      <c r="I16" s="252">
        <f>IF(C16="","",COUNTIFS(Başvuru!$D:$D,C16,Başvuru!$G:$G,"Yüksek Lisans Tezi",Başvuru!$F:$F,"&lt;&gt;"&amp;""))</f>
        <v>0</v>
      </c>
      <c r="J16" s="253">
        <f>IF(C16="","",COUNTIFS(Başvuru!$D:$D,C16,Başvuru!$L:$L,"ONAY",Başvuru!$F:$F,"&lt;&gt;"&amp;""))</f>
        <v>8</v>
      </c>
      <c r="K16" s="254">
        <f>IF(C16="","",COUNTIFS(Başvuru!$D:$D,C16,Başvuru!$L:$L,"DÜZELTME",Başvuru!$F:$F,"&lt;&gt;"&amp;""))</f>
        <v>5</v>
      </c>
      <c r="L16" s="255">
        <f>IF(C16="","",COUNTIFS(Başvuru!$D:$D,C16,Başvuru!$L:$L,"KAEK",Başvuru!$F:$F,"&lt;&gt;"&amp;""))</f>
        <v>0</v>
      </c>
      <c r="M16" s="256">
        <f>IF(C16="","",COUNTIFS(Başvuru!$D:$D,C16,Başvuru!$L:$L,"GÖRÜŞ",Başvuru!$F:$F,"&lt;&gt;"&amp;""))</f>
        <v>0</v>
      </c>
      <c r="N16" s="257">
        <f>IF(C16="","",COUNTIFS(Başvuru!$D:$D,C16,Başvuru!$L:$L,"RET",Başvuru!$F:$F,"&lt;&gt;"&amp;""))</f>
        <v>0</v>
      </c>
      <c r="O16" s="258">
        <f>IF(C16="","",COUNTIFS(Başvuru!$D:$D,C16,Başvuru!$L:$L,"KAPSAM DIŞI",Başvuru!$F:$F,"&lt;&gt;"&amp;""))</f>
        <v>0</v>
      </c>
      <c r="P16" s="259">
        <f>IF(C16="","",COUNTIFS(Başvuru!$D:$D,C16,Başvuru!$L:$L,"GERİ ÇEKİLDİ",Başvuru!$F:$F,"&lt;&gt;"&amp;""))</f>
        <v>0</v>
      </c>
      <c r="Q16" s="260" t="s">
        <v>2533</v>
      </c>
      <c r="R16" s="261">
        <f>COUNTIFS(Başvuru!$D:$D,Q16,Başvuru!$F:$F,"&lt;&gt;"&amp;"")</f>
        <v>1</v>
      </c>
      <c r="S16" s="261">
        <f>RANK(R16,$R$6:$R$78,0)+COUNTIF($R$6:R16,R16)-1</f>
        <v>57</v>
      </c>
    </row>
    <row r="17" spans="2:19" ht="15" customHeight="1" x14ac:dyDescent="0.25">
      <c r="B17" s="262">
        <v>12</v>
      </c>
      <c r="C17" s="263" t="str">
        <f>IFERROR(INDEX($Q$6:$Q$78,MATCH(12,$S$6:$S$78,0)),"")</f>
        <v>Çocuk Cerrahisi Anabilim Dalı</v>
      </c>
      <c r="D17" s="264">
        <f>IF(C17="","",COUNTIFS(Başvuru!$D:$D,C17,Başvuru!$F:$F,"&lt;&gt;"&amp;""))</f>
        <v>12</v>
      </c>
      <c r="E17" s="262" t="str">
        <f>IF(D17&gt;0,TEXT(D17/COUNTIF(Başvuru!$F:$F,"&lt;&gt;"&amp;"")*100,"0.0")&amp;"%","-")</f>
        <v>01%</v>
      </c>
      <c r="F17" s="265">
        <f>IF(C17="","",COUNTIFS(Başvuru!$D:$D,C17,Başvuru!$G:$G,"Bireysel Araştırma",Başvuru!$F:$F,"&lt;&gt;"&amp;""))</f>
        <v>11</v>
      </c>
      <c r="G17" s="265">
        <f>IF(C17="","",COUNTIFS(Başvuru!$D:$D,C17,Başvuru!$G:$G,"Uzmanlık Tezi",Başvuru!$F:$F,"&lt;&gt;"&amp;""))</f>
        <v>1</v>
      </c>
      <c r="H17" s="265">
        <f>IF(C17="","",COUNTIFS(Başvuru!$D:$D,C17,Başvuru!$G:$G,"Doktora Tezi",Başvuru!$F:$F,"&lt;&gt;"&amp;""))</f>
        <v>0</v>
      </c>
      <c r="I17" s="265">
        <f>IF(C17="","",COUNTIFS(Başvuru!$D:$D,C17,Başvuru!$G:$G,"Yüksek Lisans Tezi",Başvuru!$F:$F,"&lt;&gt;"&amp;""))</f>
        <v>0</v>
      </c>
      <c r="J17" s="266">
        <f>IF(C17="","",COUNTIFS(Başvuru!$D:$D,C17,Başvuru!$L:$L,"ONAY",Başvuru!$F:$F,"&lt;&gt;"&amp;""))</f>
        <v>5</v>
      </c>
      <c r="K17" s="267">
        <f>IF(C17="","",COUNTIFS(Başvuru!$D:$D,C17,Başvuru!$L:$L,"DÜZELTME",Başvuru!$F:$F,"&lt;&gt;"&amp;""))</f>
        <v>4</v>
      </c>
      <c r="L17" s="268">
        <f>IF(C17="","",COUNTIFS(Başvuru!$D:$D,C17,Başvuru!$L:$L,"KAEK",Başvuru!$F:$F,"&lt;&gt;"&amp;""))</f>
        <v>0</v>
      </c>
      <c r="M17" s="269">
        <f>IF(C17="","",COUNTIFS(Başvuru!$D:$D,C17,Başvuru!$L:$L,"GÖRÜŞ",Başvuru!$F:$F,"&lt;&gt;"&amp;""))</f>
        <v>0</v>
      </c>
      <c r="N17" s="270">
        <f>IF(C17="","",COUNTIFS(Başvuru!$D:$D,C17,Başvuru!$L:$L,"RET",Başvuru!$F:$F,"&lt;&gt;"&amp;""))</f>
        <v>0</v>
      </c>
      <c r="O17" s="271">
        <f>IF(C17="","",COUNTIFS(Başvuru!$D:$D,C17,Başvuru!$L:$L,"KAPSAM DIŞI",Başvuru!$F:$F,"&lt;&gt;"&amp;""))</f>
        <v>0</v>
      </c>
      <c r="P17" s="272">
        <f>IF(C17="","",COUNTIFS(Başvuru!$D:$D,C17,Başvuru!$L:$L,"GERİ ÇEKİLDİ",Başvuru!$F:$F,"&lt;&gt;"&amp;""))</f>
        <v>0</v>
      </c>
      <c r="Q17" s="260" t="s">
        <v>1971</v>
      </c>
      <c r="R17" s="261">
        <f>COUNTIFS(Başvuru!$D:$D,Q17,Başvuru!$F:$F,"&lt;&gt;"&amp;"")</f>
        <v>1</v>
      </c>
      <c r="S17" s="261">
        <f>RANK(R17,$R$6:$R$78,0)+COUNTIF($R$6:R17,R17)-1</f>
        <v>58</v>
      </c>
    </row>
    <row r="18" spans="2:19" ht="15" customHeight="1" x14ac:dyDescent="0.25">
      <c r="B18" s="249">
        <v>13</v>
      </c>
      <c r="C18" s="250" t="str">
        <f>IFERROR(INDEX($Q$6:$Q$78,MATCH(13,$S$6:$S$78,0)),"")</f>
        <v>Deri ve Zührevi Hastalıklar Anabilim Dalı</v>
      </c>
      <c r="D18" s="251">
        <f>IF(C18="","",COUNTIFS(Başvuru!$D:$D,C18,Başvuru!$F:$F,"&lt;&gt;"&amp;""))</f>
        <v>11</v>
      </c>
      <c r="E18" s="249" t="str">
        <f>IF(D18&gt;0,TEXT(D18/COUNTIF(Başvuru!$F:$F,"&lt;&gt;"&amp;"")*100,"0.0")&amp;"%","-")</f>
        <v>01%</v>
      </c>
      <c r="F18" s="252">
        <f>IF(C18="","",COUNTIFS(Başvuru!$D:$D,C18,Başvuru!$G:$G,"Bireysel Araştırma",Başvuru!$F:$F,"&lt;&gt;"&amp;""))</f>
        <v>7</v>
      </c>
      <c r="G18" s="252">
        <f>IF(C18="","",COUNTIFS(Başvuru!$D:$D,C18,Başvuru!$G:$G,"Uzmanlık Tezi",Başvuru!$F:$F,"&lt;&gt;"&amp;""))</f>
        <v>4</v>
      </c>
      <c r="H18" s="252">
        <f>IF(C18="","",COUNTIFS(Başvuru!$D:$D,C18,Başvuru!$G:$G,"Doktora Tezi",Başvuru!$F:$F,"&lt;&gt;"&amp;""))</f>
        <v>0</v>
      </c>
      <c r="I18" s="252">
        <f>IF(C18="","",COUNTIFS(Başvuru!$D:$D,C18,Başvuru!$G:$G,"Yüksek Lisans Tezi",Başvuru!$F:$F,"&lt;&gt;"&amp;""))</f>
        <v>0</v>
      </c>
      <c r="J18" s="253">
        <f>IF(C18="","",COUNTIFS(Başvuru!$D:$D,C18,Başvuru!$L:$L,"ONAY",Başvuru!$F:$F,"&lt;&gt;"&amp;""))</f>
        <v>6</v>
      </c>
      <c r="K18" s="254">
        <f>IF(C18="","",COUNTIFS(Başvuru!$D:$D,C18,Başvuru!$L:$L,"DÜZELTME",Başvuru!$F:$F,"&lt;&gt;"&amp;""))</f>
        <v>3</v>
      </c>
      <c r="L18" s="255">
        <f>IF(C18="","",COUNTIFS(Başvuru!$D:$D,C18,Başvuru!$L:$L,"KAEK",Başvuru!$F:$F,"&lt;&gt;"&amp;""))</f>
        <v>1</v>
      </c>
      <c r="M18" s="256">
        <f>IF(C18="","",COUNTIFS(Başvuru!$D:$D,C18,Başvuru!$L:$L,"GÖRÜŞ",Başvuru!$F:$F,"&lt;&gt;"&amp;""))</f>
        <v>1</v>
      </c>
      <c r="N18" s="257">
        <f>IF(C18="","",COUNTIFS(Başvuru!$D:$D,C18,Başvuru!$L:$L,"RET",Başvuru!$F:$F,"&lt;&gt;"&amp;""))</f>
        <v>0</v>
      </c>
      <c r="O18" s="258">
        <f>IF(C18="","",COUNTIFS(Başvuru!$D:$D,C18,Başvuru!$L:$L,"KAPSAM DIŞI",Başvuru!$F:$F,"&lt;&gt;"&amp;""))</f>
        <v>0</v>
      </c>
      <c r="P18" s="259">
        <f>IF(C18="","",COUNTIFS(Başvuru!$D:$D,C18,Başvuru!$L:$L,"GERİ ÇEKİLDİ",Başvuru!$F:$F,"&lt;&gt;"&amp;""))</f>
        <v>0</v>
      </c>
      <c r="Q18" s="260" t="s">
        <v>799</v>
      </c>
      <c r="R18" s="261">
        <f>COUNTIFS(Başvuru!$D:$D,Q18,Başvuru!$F:$F,"&lt;&gt;"&amp;"")</f>
        <v>1</v>
      </c>
      <c r="S18" s="261">
        <f>RANK(R18,$R$6:$R$78,0)+COUNTIF($R$6:R18,R18)-1</f>
        <v>59</v>
      </c>
    </row>
    <row r="19" spans="2:19" ht="15" customHeight="1" x14ac:dyDescent="0.25">
      <c r="B19" s="262">
        <v>14</v>
      </c>
      <c r="C19" s="263" t="str">
        <f>IFERROR(INDEX($Q$6:$Q$78,MATCH(14,$S$6:$S$78,0)),"")</f>
        <v>Kulak Burun Boğaz Anabilim Dalı</v>
      </c>
      <c r="D19" s="264">
        <f>IF(C19="","",COUNTIFS(Başvuru!$D:$D,C19,Başvuru!$F:$F,"&lt;&gt;"&amp;""))</f>
        <v>11</v>
      </c>
      <c r="E19" s="262" t="str">
        <f>IF(D19&gt;0,TEXT(D19/COUNTIF(Başvuru!$F:$F,"&lt;&gt;"&amp;"")*100,"0.0")&amp;"%","-")</f>
        <v>01%</v>
      </c>
      <c r="F19" s="265">
        <f>IF(C19="","",COUNTIFS(Başvuru!$D:$D,C19,Başvuru!$G:$G,"Bireysel Araştırma",Başvuru!$F:$F,"&lt;&gt;"&amp;""))</f>
        <v>9</v>
      </c>
      <c r="G19" s="265">
        <f>IF(C19="","",COUNTIFS(Başvuru!$D:$D,C19,Başvuru!$G:$G,"Uzmanlık Tezi",Başvuru!$F:$F,"&lt;&gt;"&amp;""))</f>
        <v>2</v>
      </c>
      <c r="H19" s="265">
        <f>IF(C19="","",COUNTIFS(Başvuru!$D:$D,C19,Başvuru!$G:$G,"Doktora Tezi",Başvuru!$F:$F,"&lt;&gt;"&amp;""))</f>
        <v>0</v>
      </c>
      <c r="I19" s="265">
        <f>IF(C19="","",COUNTIFS(Başvuru!$D:$D,C19,Başvuru!$G:$G,"Yüksek Lisans Tezi",Başvuru!$F:$F,"&lt;&gt;"&amp;""))</f>
        <v>0</v>
      </c>
      <c r="J19" s="266">
        <f>IF(C19="","",COUNTIFS(Başvuru!$D:$D,C19,Başvuru!$L:$L,"ONAY",Başvuru!$F:$F,"&lt;&gt;"&amp;""))</f>
        <v>5</v>
      </c>
      <c r="K19" s="267">
        <f>IF(C19="","",COUNTIFS(Başvuru!$D:$D,C19,Başvuru!$L:$L,"DÜZELTME",Başvuru!$F:$F,"&lt;&gt;"&amp;""))</f>
        <v>2</v>
      </c>
      <c r="L19" s="268">
        <f>IF(C19="","",COUNTIFS(Başvuru!$D:$D,C19,Başvuru!$L:$L,"KAEK",Başvuru!$F:$F,"&lt;&gt;"&amp;""))</f>
        <v>0</v>
      </c>
      <c r="M19" s="269">
        <f>IF(C19="","",COUNTIFS(Başvuru!$D:$D,C19,Başvuru!$L:$L,"GÖRÜŞ",Başvuru!$F:$F,"&lt;&gt;"&amp;""))</f>
        <v>1</v>
      </c>
      <c r="N19" s="270">
        <f>IF(C19="","",COUNTIFS(Başvuru!$D:$D,C19,Başvuru!$L:$L,"RET",Başvuru!$F:$F,"&lt;&gt;"&amp;""))</f>
        <v>2</v>
      </c>
      <c r="O19" s="271">
        <f>IF(C19="","",COUNTIFS(Başvuru!$D:$D,C19,Başvuru!$L:$L,"KAPSAM DIŞI",Başvuru!$F:$F,"&lt;&gt;"&amp;""))</f>
        <v>0</v>
      </c>
      <c r="P19" s="272">
        <f>IF(C19="","",COUNTIFS(Başvuru!$D:$D,C19,Başvuru!$L:$L,"GERİ ÇEKİLDİ",Başvuru!$F:$F,"&lt;&gt;"&amp;""))</f>
        <v>0</v>
      </c>
      <c r="Q19" s="260" t="s">
        <v>1066</v>
      </c>
      <c r="R19" s="261">
        <f>COUNTIFS(Başvuru!$D:$D,Q19,Başvuru!$F:$F,"&lt;&gt;"&amp;"")</f>
        <v>2</v>
      </c>
      <c r="S19" s="261">
        <f>RANK(R19,$R$6:$R$78,0)+COUNTIF($R$6:R19,R19)-1</f>
        <v>41</v>
      </c>
    </row>
    <row r="20" spans="2:19" ht="15" customHeight="1" x14ac:dyDescent="0.25">
      <c r="B20" s="249">
        <v>15</v>
      </c>
      <c r="C20" s="250" t="str">
        <f>IFERROR(INDEX($Q$6:$Q$78,MATCH(15,$S$6:$S$78,0)),"")</f>
        <v>Aile Hekimliği Anabilim Dalı</v>
      </c>
      <c r="D20" s="251">
        <f>IF(C20="","",COUNTIFS(Başvuru!$D:$D,C20,Başvuru!$F:$F,"&lt;&gt;"&amp;""))</f>
        <v>10</v>
      </c>
      <c r="E20" s="249" t="str">
        <f>IF(D20&gt;0,TEXT(D20/COUNTIF(Başvuru!$F:$F,"&lt;&gt;"&amp;"")*100,"0.0")&amp;"%","-")</f>
        <v>01%</v>
      </c>
      <c r="F20" s="252">
        <f>IF(C20="","",COUNTIFS(Başvuru!$D:$D,C20,Başvuru!$G:$G,"Bireysel Araştırma",Başvuru!$F:$F,"&lt;&gt;"&amp;""))</f>
        <v>6</v>
      </c>
      <c r="G20" s="252">
        <f>IF(C20="","",COUNTIFS(Başvuru!$D:$D,C20,Başvuru!$G:$G,"Uzmanlık Tezi",Başvuru!$F:$F,"&lt;&gt;"&amp;""))</f>
        <v>4</v>
      </c>
      <c r="H20" s="252">
        <f>IF(C20="","",COUNTIFS(Başvuru!$D:$D,C20,Başvuru!$G:$G,"Doktora Tezi",Başvuru!$F:$F,"&lt;&gt;"&amp;""))</f>
        <v>0</v>
      </c>
      <c r="I20" s="252">
        <f>IF(C20="","",COUNTIFS(Başvuru!$D:$D,C20,Başvuru!$G:$G,"Yüksek Lisans Tezi",Başvuru!$F:$F,"&lt;&gt;"&amp;""))</f>
        <v>0</v>
      </c>
      <c r="J20" s="253">
        <f>IF(C20="","",COUNTIFS(Başvuru!$D:$D,C20,Başvuru!$L:$L,"ONAY",Başvuru!$F:$F,"&lt;&gt;"&amp;""))</f>
        <v>2</v>
      </c>
      <c r="K20" s="254">
        <f>IF(C20="","",COUNTIFS(Başvuru!$D:$D,C20,Başvuru!$L:$L,"DÜZELTME",Başvuru!$F:$F,"&lt;&gt;"&amp;""))</f>
        <v>4</v>
      </c>
      <c r="L20" s="255">
        <f>IF(C20="","",COUNTIFS(Başvuru!$D:$D,C20,Başvuru!$L:$L,"KAEK",Başvuru!$F:$F,"&lt;&gt;"&amp;""))</f>
        <v>0</v>
      </c>
      <c r="M20" s="256">
        <f>IF(C20="","",COUNTIFS(Başvuru!$D:$D,C20,Başvuru!$L:$L,"GÖRÜŞ",Başvuru!$F:$F,"&lt;&gt;"&amp;""))</f>
        <v>1</v>
      </c>
      <c r="N20" s="257">
        <f>IF(C20="","",COUNTIFS(Başvuru!$D:$D,C20,Başvuru!$L:$L,"RET",Başvuru!$F:$F,"&lt;&gt;"&amp;""))</f>
        <v>2</v>
      </c>
      <c r="O20" s="258">
        <f>IF(C20="","",COUNTIFS(Başvuru!$D:$D,C20,Başvuru!$L:$L,"KAPSAM DIŞI",Başvuru!$F:$F,"&lt;&gt;"&amp;""))</f>
        <v>0</v>
      </c>
      <c r="P20" s="259">
        <f>IF(C20="","",COUNTIFS(Başvuru!$D:$D,C20,Başvuru!$L:$L,"GERİ ÇEKİLDİ",Başvuru!$F:$F,"&lt;&gt;"&amp;""))</f>
        <v>0</v>
      </c>
      <c r="Q20" s="260" t="s">
        <v>369</v>
      </c>
      <c r="R20" s="261">
        <f>COUNTIFS(Başvuru!$D:$D,Q20,Başvuru!$F:$F,"&lt;&gt;"&amp;"")</f>
        <v>11</v>
      </c>
      <c r="S20" s="261">
        <f>RANK(R20,$R$6:$R$78,0)+COUNTIF($R$6:R20,R20)-1</f>
        <v>13</v>
      </c>
    </row>
    <row r="21" spans="2:19" ht="15" customHeight="1" x14ac:dyDescent="0.25">
      <c r="B21" s="262">
        <v>16</v>
      </c>
      <c r="C21" s="263" t="str">
        <f>IFERROR(INDEX($Q$6:$Q$78,MATCH(16,$S$6:$S$78,0)),"")</f>
        <v>Anatomi Anabilim Dalı</v>
      </c>
      <c r="D21" s="264">
        <f>IF(C21="","",COUNTIFS(Başvuru!$D:$D,C21,Başvuru!$F:$F,"&lt;&gt;"&amp;""))</f>
        <v>9</v>
      </c>
      <c r="E21" s="262" t="str">
        <f>IF(D21&gt;0,TEXT(D21/COUNTIF(Başvuru!$F:$F,"&lt;&gt;"&amp;"")*100,"0.0")&amp;"%","-")</f>
        <v>01%</v>
      </c>
      <c r="F21" s="265">
        <f>IF(C21="","",COUNTIFS(Başvuru!$D:$D,C21,Başvuru!$G:$G,"Bireysel Araştırma",Başvuru!$F:$F,"&lt;&gt;"&amp;""))</f>
        <v>7</v>
      </c>
      <c r="G21" s="265">
        <f>IF(C21="","",COUNTIFS(Başvuru!$D:$D,C21,Başvuru!$G:$G,"Uzmanlık Tezi",Başvuru!$F:$F,"&lt;&gt;"&amp;""))</f>
        <v>0</v>
      </c>
      <c r="H21" s="265">
        <f>IF(C21="","",COUNTIFS(Başvuru!$D:$D,C21,Başvuru!$G:$G,"Doktora Tezi",Başvuru!$F:$F,"&lt;&gt;"&amp;""))</f>
        <v>1</v>
      </c>
      <c r="I21" s="265">
        <f>IF(C21="","",COUNTIFS(Başvuru!$D:$D,C21,Başvuru!$G:$G,"Yüksek Lisans Tezi",Başvuru!$F:$F,"&lt;&gt;"&amp;""))</f>
        <v>1</v>
      </c>
      <c r="J21" s="266">
        <f>IF(C21="","",COUNTIFS(Başvuru!$D:$D,C21,Başvuru!$L:$L,"ONAY",Başvuru!$F:$F,"&lt;&gt;"&amp;""))</f>
        <v>6</v>
      </c>
      <c r="K21" s="267">
        <f>IF(C21="","",COUNTIFS(Başvuru!$D:$D,C21,Başvuru!$L:$L,"DÜZELTME",Başvuru!$F:$F,"&lt;&gt;"&amp;""))</f>
        <v>2</v>
      </c>
      <c r="L21" s="268">
        <f>IF(C21="","",COUNTIFS(Başvuru!$D:$D,C21,Başvuru!$L:$L,"KAEK",Başvuru!$F:$F,"&lt;&gt;"&amp;""))</f>
        <v>0</v>
      </c>
      <c r="M21" s="269">
        <f>IF(C21="","",COUNTIFS(Başvuru!$D:$D,C21,Başvuru!$L:$L,"GÖRÜŞ",Başvuru!$F:$F,"&lt;&gt;"&amp;""))</f>
        <v>0</v>
      </c>
      <c r="N21" s="270">
        <f>IF(C21="","",COUNTIFS(Başvuru!$D:$D,C21,Başvuru!$L:$L,"RET",Başvuru!$F:$F,"&lt;&gt;"&amp;""))</f>
        <v>0</v>
      </c>
      <c r="O21" s="271">
        <f>IF(C21="","",COUNTIFS(Başvuru!$D:$D,C21,Başvuru!$L:$L,"KAPSAM DIŞI",Başvuru!$F:$F,"&lt;&gt;"&amp;""))</f>
        <v>0</v>
      </c>
      <c r="P21" s="272">
        <f>IF(C21="","",COUNTIFS(Başvuru!$D:$D,C21,Başvuru!$L:$L,"GERİ ÇEKİLDİ",Başvuru!$F:$F,"&lt;&gt;"&amp;""))</f>
        <v>0</v>
      </c>
      <c r="Q21" s="260" t="s">
        <v>1923</v>
      </c>
      <c r="R21" s="261">
        <f>COUNTIFS(Başvuru!$D:$D,Q21,Başvuru!$F:$F,"&lt;&gt;"&amp;"")</f>
        <v>1</v>
      </c>
      <c r="S21" s="261">
        <f>RANK(R21,$R$6:$R$78,0)+COUNTIF($R$6:R21,R21)-1</f>
        <v>60</v>
      </c>
    </row>
    <row r="22" spans="2:19" ht="15" customHeight="1" x14ac:dyDescent="0.25">
      <c r="B22" s="249">
        <v>17</v>
      </c>
      <c r="C22" s="250" t="str">
        <f>IFERROR(INDEX($Q$6:$Q$78,MATCH(17,$S$6:$S$78,0)),"")</f>
        <v>Anesteziyoloji ve Reanimasyon Anabilim Dalı</v>
      </c>
      <c r="D22" s="251">
        <f>IF(C22="","",COUNTIFS(Başvuru!$D:$D,C22,Başvuru!$F:$F,"&lt;&gt;"&amp;""))</f>
        <v>9</v>
      </c>
      <c r="E22" s="249" t="str">
        <f>IF(D22&gt;0,TEXT(D22/COUNTIF(Başvuru!$F:$F,"&lt;&gt;"&amp;"")*100,"0.0")&amp;"%","-")</f>
        <v>01%</v>
      </c>
      <c r="F22" s="252">
        <f>IF(C22="","",COUNTIFS(Başvuru!$D:$D,C22,Başvuru!$G:$G,"Bireysel Araştırma",Başvuru!$F:$F,"&lt;&gt;"&amp;""))</f>
        <v>4</v>
      </c>
      <c r="G22" s="252">
        <f>IF(C22="","",COUNTIFS(Başvuru!$D:$D,C22,Başvuru!$G:$G,"Uzmanlık Tezi",Başvuru!$F:$F,"&lt;&gt;"&amp;""))</f>
        <v>5</v>
      </c>
      <c r="H22" s="252">
        <f>IF(C22="","",COUNTIFS(Başvuru!$D:$D,C22,Başvuru!$G:$G,"Doktora Tezi",Başvuru!$F:$F,"&lt;&gt;"&amp;""))</f>
        <v>0</v>
      </c>
      <c r="I22" s="252">
        <f>IF(C22="","",COUNTIFS(Başvuru!$D:$D,C22,Başvuru!$G:$G,"Yüksek Lisans Tezi",Başvuru!$F:$F,"&lt;&gt;"&amp;""))</f>
        <v>0</v>
      </c>
      <c r="J22" s="253">
        <f>IF(C22="","",COUNTIFS(Başvuru!$D:$D,C22,Başvuru!$L:$L,"ONAY",Başvuru!$F:$F,"&lt;&gt;"&amp;""))</f>
        <v>2</v>
      </c>
      <c r="K22" s="254">
        <f>IF(C22="","",COUNTIFS(Başvuru!$D:$D,C22,Başvuru!$L:$L,"DÜZELTME",Başvuru!$F:$F,"&lt;&gt;"&amp;""))</f>
        <v>3</v>
      </c>
      <c r="L22" s="255">
        <f>IF(C22="","",COUNTIFS(Başvuru!$D:$D,C22,Başvuru!$L:$L,"KAEK",Başvuru!$F:$F,"&lt;&gt;"&amp;""))</f>
        <v>1</v>
      </c>
      <c r="M22" s="256">
        <f>IF(C22="","",COUNTIFS(Başvuru!$D:$D,C22,Başvuru!$L:$L,"GÖRÜŞ",Başvuru!$F:$F,"&lt;&gt;"&amp;""))</f>
        <v>1</v>
      </c>
      <c r="N22" s="257">
        <f>IF(C22="","",COUNTIFS(Başvuru!$D:$D,C22,Başvuru!$L:$L,"RET",Başvuru!$F:$F,"&lt;&gt;"&amp;""))</f>
        <v>0</v>
      </c>
      <c r="O22" s="258">
        <f>IF(C22="","",COUNTIFS(Başvuru!$D:$D,C22,Başvuru!$L:$L,"KAPSAM DIŞI",Başvuru!$F:$F,"&lt;&gt;"&amp;""))</f>
        <v>0</v>
      </c>
      <c r="P22" s="259">
        <f>IF(C22="","",COUNTIFS(Başvuru!$D:$D,C22,Başvuru!$L:$L,"GERİ ÇEKİLDİ",Başvuru!$F:$F,"&lt;&gt;"&amp;""))</f>
        <v>0</v>
      </c>
      <c r="Q22" s="260" t="s">
        <v>115</v>
      </c>
      <c r="R22" s="261">
        <f>COUNTIFS(Başvuru!$D:$D,Q22,Başvuru!$F:$F,"&lt;&gt;"&amp;"")</f>
        <v>7</v>
      </c>
      <c r="S22" s="261">
        <f>RANK(R22,$R$6:$R$78,0)+COUNTIF($R$6:R22,R22)-1</f>
        <v>19</v>
      </c>
    </row>
    <row r="23" spans="2:19" ht="15" customHeight="1" x14ac:dyDescent="0.25">
      <c r="B23" s="262">
        <v>18</v>
      </c>
      <c r="C23" s="263" t="str">
        <f>IFERROR(INDEX($Q$6:$Q$78,MATCH(18,$S$6:$S$78,0)),"")</f>
        <v>Ortodonti Anabilim Dalı</v>
      </c>
      <c r="D23" s="264">
        <f>IF(C23="","",COUNTIFS(Başvuru!$D:$D,C23,Başvuru!$F:$F,"&lt;&gt;"&amp;""))</f>
        <v>9</v>
      </c>
      <c r="E23" s="262" t="str">
        <f>IF(D23&gt;0,TEXT(D23/COUNTIF(Başvuru!$F:$F,"&lt;&gt;"&amp;"")*100,"0.0")&amp;"%","-")</f>
        <v>01%</v>
      </c>
      <c r="F23" s="265">
        <f>IF(C23="","",COUNTIFS(Başvuru!$D:$D,C23,Başvuru!$G:$G,"Bireysel Araştırma",Başvuru!$F:$F,"&lt;&gt;"&amp;""))</f>
        <v>9</v>
      </c>
      <c r="G23" s="265">
        <f>IF(C23="","",COUNTIFS(Başvuru!$D:$D,C23,Başvuru!$G:$G,"Uzmanlık Tezi",Başvuru!$F:$F,"&lt;&gt;"&amp;""))</f>
        <v>0</v>
      </c>
      <c r="H23" s="265">
        <f>IF(C23="","",COUNTIFS(Başvuru!$D:$D,C23,Başvuru!$G:$G,"Doktora Tezi",Başvuru!$F:$F,"&lt;&gt;"&amp;""))</f>
        <v>0</v>
      </c>
      <c r="I23" s="265">
        <f>IF(C23="","",COUNTIFS(Başvuru!$D:$D,C23,Başvuru!$G:$G,"Yüksek Lisans Tezi",Başvuru!$F:$F,"&lt;&gt;"&amp;""))</f>
        <v>0</v>
      </c>
      <c r="J23" s="266">
        <f>IF(C23="","",COUNTIFS(Başvuru!$D:$D,C23,Başvuru!$L:$L,"ONAY",Başvuru!$F:$F,"&lt;&gt;"&amp;""))</f>
        <v>3</v>
      </c>
      <c r="K23" s="267">
        <f>IF(C23="","",COUNTIFS(Başvuru!$D:$D,C23,Başvuru!$L:$L,"DÜZELTME",Başvuru!$F:$F,"&lt;&gt;"&amp;""))</f>
        <v>2</v>
      </c>
      <c r="L23" s="268">
        <f>IF(C23="","",COUNTIFS(Başvuru!$D:$D,C23,Başvuru!$L:$L,"KAEK",Başvuru!$F:$F,"&lt;&gt;"&amp;""))</f>
        <v>1</v>
      </c>
      <c r="M23" s="269">
        <f>IF(C23="","",COUNTIFS(Başvuru!$D:$D,C23,Başvuru!$L:$L,"GÖRÜŞ",Başvuru!$F:$F,"&lt;&gt;"&amp;""))</f>
        <v>0</v>
      </c>
      <c r="N23" s="270">
        <f>IF(C23="","",COUNTIFS(Başvuru!$D:$D,C23,Başvuru!$L:$L,"RET",Başvuru!$F:$F,"&lt;&gt;"&amp;""))</f>
        <v>1</v>
      </c>
      <c r="O23" s="271">
        <f>IF(C23="","",COUNTIFS(Başvuru!$D:$D,C23,Başvuru!$L:$L,"KAPSAM DIŞI",Başvuru!$F:$F,"&lt;&gt;"&amp;""))</f>
        <v>0</v>
      </c>
      <c r="P23" s="272">
        <f>IF(C23="","",COUNTIFS(Başvuru!$D:$D,C23,Başvuru!$L:$L,"GERİ ÇEKİLDİ",Başvuru!$F:$F,"&lt;&gt;"&amp;""))</f>
        <v>0</v>
      </c>
      <c r="Q23" s="260" t="s">
        <v>1196</v>
      </c>
      <c r="R23" s="261">
        <f>COUNTIFS(Başvuru!$D:$D,Q23,Başvuru!$F:$F,"&lt;&gt;"&amp;"")</f>
        <v>3</v>
      </c>
      <c r="S23" s="261">
        <f>RANK(R23,$R$6:$R$78,0)+COUNTIF($R$6:R23,R23)-1</f>
        <v>34</v>
      </c>
    </row>
    <row r="24" spans="2:19" ht="15" customHeight="1" x14ac:dyDescent="0.25">
      <c r="B24" s="249">
        <v>19</v>
      </c>
      <c r="C24" s="250" t="str">
        <f>IFERROR(INDEX($Q$6:$Q$78,MATCH(19,$S$6:$S$78,0)),"")</f>
        <v>Endodonti Anabilim Dalı</v>
      </c>
      <c r="D24" s="251">
        <f>IF(C24="","",COUNTIFS(Başvuru!$D:$D,C24,Başvuru!$F:$F,"&lt;&gt;"&amp;""))</f>
        <v>7</v>
      </c>
      <c r="E24" s="249" t="str">
        <f>IF(D24&gt;0,TEXT(D24/COUNTIF(Başvuru!$F:$F,"&lt;&gt;"&amp;"")*100,"0.0")&amp;"%","-")</f>
        <v>00%</v>
      </c>
      <c r="F24" s="252">
        <f>IF(C24="","",COUNTIFS(Başvuru!$D:$D,C24,Başvuru!$G:$G,"Bireysel Araştırma",Başvuru!$F:$F,"&lt;&gt;"&amp;""))</f>
        <v>4</v>
      </c>
      <c r="G24" s="252">
        <f>IF(C24="","",COUNTIFS(Başvuru!$D:$D,C24,Başvuru!$G:$G,"Uzmanlık Tezi",Başvuru!$F:$F,"&lt;&gt;"&amp;""))</f>
        <v>2</v>
      </c>
      <c r="H24" s="252">
        <f>IF(C24="","",COUNTIFS(Başvuru!$D:$D,C24,Başvuru!$G:$G,"Doktora Tezi",Başvuru!$F:$F,"&lt;&gt;"&amp;""))</f>
        <v>1</v>
      </c>
      <c r="I24" s="252">
        <f>IF(C24="","",COUNTIFS(Başvuru!$D:$D,C24,Başvuru!$G:$G,"Yüksek Lisans Tezi",Başvuru!$F:$F,"&lt;&gt;"&amp;""))</f>
        <v>0</v>
      </c>
      <c r="J24" s="253">
        <f>IF(C24="","",COUNTIFS(Başvuru!$D:$D,C24,Başvuru!$L:$L,"ONAY",Başvuru!$F:$F,"&lt;&gt;"&amp;""))</f>
        <v>6</v>
      </c>
      <c r="K24" s="254">
        <f>IF(C24="","",COUNTIFS(Başvuru!$D:$D,C24,Başvuru!$L:$L,"DÜZELTME",Başvuru!$F:$F,"&lt;&gt;"&amp;""))</f>
        <v>0</v>
      </c>
      <c r="L24" s="255">
        <f>IF(C24="","",COUNTIFS(Başvuru!$D:$D,C24,Başvuru!$L:$L,"KAEK",Başvuru!$F:$F,"&lt;&gt;"&amp;""))</f>
        <v>0</v>
      </c>
      <c r="M24" s="256">
        <f>IF(C24="","",COUNTIFS(Başvuru!$D:$D,C24,Başvuru!$L:$L,"GÖRÜŞ",Başvuru!$F:$F,"&lt;&gt;"&amp;""))</f>
        <v>0</v>
      </c>
      <c r="N24" s="257">
        <f>IF(C24="","",COUNTIFS(Başvuru!$D:$D,C24,Başvuru!$L:$L,"RET",Başvuru!$F:$F,"&lt;&gt;"&amp;""))</f>
        <v>0</v>
      </c>
      <c r="O24" s="258">
        <f>IF(C24="","",COUNTIFS(Başvuru!$D:$D,C24,Başvuru!$L:$L,"KAPSAM DIŞI",Başvuru!$F:$F,"&lt;&gt;"&amp;""))</f>
        <v>0</v>
      </c>
      <c r="P24" s="259">
        <f>IF(C24="","",COUNTIFS(Başvuru!$D:$D,C24,Başvuru!$L:$L,"GERİ ÇEKİLDİ",Başvuru!$F:$F,"&lt;&gt;"&amp;""))</f>
        <v>0</v>
      </c>
      <c r="Q24" s="260" t="s">
        <v>753</v>
      </c>
      <c r="R24" s="261">
        <f>COUNTIFS(Başvuru!$D:$D,Q24,Başvuru!$F:$F,"&lt;&gt;"&amp;"")</f>
        <v>2</v>
      </c>
      <c r="S24" s="261">
        <f>RANK(R24,$R$6:$R$78,0)+COUNTIF($R$6:R24,R24)-1</f>
        <v>42</v>
      </c>
    </row>
    <row r="25" spans="2:19" ht="15" customHeight="1" x14ac:dyDescent="0.25">
      <c r="B25" s="262">
        <v>20</v>
      </c>
      <c r="C25" s="263" t="str">
        <f>IFERROR(INDEX($Q$6:$Q$78,MATCH(20,$S$6:$S$78,0)),"")</f>
        <v>Periodontoloji Anabilim Dalı</v>
      </c>
      <c r="D25" s="264">
        <f>IF(C25="","",COUNTIFS(Başvuru!$D:$D,C25,Başvuru!$F:$F,"&lt;&gt;"&amp;""))</f>
        <v>7</v>
      </c>
      <c r="E25" s="262" t="str">
        <f>IF(D25&gt;0,TEXT(D25/COUNTIF(Başvuru!$F:$F,"&lt;&gt;"&amp;"")*100,"0.0")&amp;"%","-")</f>
        <v>00%</v>
      </c>
      <c r="F25" s="265">
        <f>IF(C25="","",COUNTIFS(Başvuru!$D:$D,C25,Başvuru!$G:$G,"Bireysel Araştırma",Başvuru!$F:$F,"&lt;&gt;"&amp;""))</f>
        <v>3</v>
      </c>
      <c r="G25" s="265">
        <f>IF(C25="","",COUNTIFS(Başvuru!$D:$D,C25,Başvuru!$G:$G,"Uzmanlık Tezi",Başvuru!$F:$F,"&lt;&gt;"&amp;""))</f>
        <v>4</v>
      </c>
      <c r="H25" s="265">
        <f>IF(C25="","",COUNTIFS(Başvuru!$D:$D,C25,Başvuru!$G:$G,"Doktora Tezi",Başvuru!$F:$F,"&lt;&gt;"&amp;""))</f>
        <v>0</v>
      </c>
      <c r="I25" s="265">
        <f>IF(C25="","",COUNTIFS(Başvuru!$D:$D,C25,Başvuru!$G:$G,"Yüksek Lisans Tezi",Başvuru!$F:$F,"&lt;&gt;"&amp;""))</f>
        <v>0</v>
      </c>
      <c r="J25" s="266">
        <f>IF(C25="","",COUNTIFS(Başvuru!$D:$D,C25,Başvuru!$L:$L,"ONAY",Başvuru!$F:$F,"&lt;&gt;"&amp;""))</f>
        <v>3</v>
      </c>
      <c r="K25" s="267">
        <f>IF(C25="","",COUNTIFS(Başvuru!$D:$D,C25,Başvuru!$L:$L,"DÜZELTME",Başvuru!$F:$F,"&lt;&gt;"&amp;""))</f>
        <v>3</v>
      </c>
      <c r="L25" s="268">
        <f>IF(C25="","",COUNTIFS(Başvuru!$D:$D,C25,Başvuru!$L:$L,"KAEK",Başvuru!$F:$F,"&lt;&gt;"&amp;""))</f>
        <v>0</v>
      </c>
      <c r="M25" s="269">
        <f>IF(C25="","",COUNTIFS(Başvuru!$D:$D,C25,Başvuru!$L:$L,"GÖRÜŞ",Başvuru!$F:$F,"&lt;&gt;"&amp;""))</f>
        <v>0</v>
      </c>
      <c r="N25" s="270">
        <f>IF(C25="","",COUNTIFS(Başvuru!$D:$D,C25,Başvuru!$L:$L,"RET",Başvuru!$F:$F,"&lt;&gt;"&amp;""))</f>
        <v>0</v>
      </c>
      <c r="O25" s="271">
        <f>IF(C25="","",COUNTIFS(Başvuru!$D:$D,C25,Başvuru!$L:$L,"KAPSAM DIŞI",Başvuru!$F:$F,"&lt;&gt;"&amp;""))</f>
        <v>0</v>
      </c>
      <c r="P25" s="272">
        <f>IF(C25="","",COUNTIFS(Başvuru!$D:$D,C25,Başvuru!$L:$L,"GERİ ÇEKİLDİ",Başvuru!$F:$F,"&lt;&gt;"&amp;""))</f>
        <v>0</v>
      </c>
      <c r="Q25" s="260" t="s">
        <v>532</v>
      </c>
      <c r="R25" s="261">
        <f>COUNTIFS(Başvuru!$D:$D,Q25,Başvuru!$F:$F,"&lt;&gt;"&amp;"")</f>
        <v>2</v>
      </c>
      <c r="S25" s="261">
        <f>RANK(R25,$R$6:$R$78,0)+COUNTIF($R$6:R25,R25)-1</f>
        <v>43</v>
      </c>
    </row>
    <row r="26" spans="2:19" ht="15" customHeight="1" x14ac:dyDescent="0.25">
      <c r="B26" s="249">
        <v>21</v>
      </c>
      <c r="C26" s="250" t="str">
        <f>IFERROR(INDEX($Q$6:$Q$78,MATCH(21,$S$6:$S$78,0)),"")</f>
        <v>Sağlık Yönetimi Anabilim Dalı</v>
      </c>
      <c r="D26" s="251">
        <f>IF(C26="","",COUNTIFS(Başvuru!$D:$D,C26,Başvuru!$F:$F,"&lt;&gt;"&amp;""))</f>
        <v>7</v>
      </c>
      <c r="E26" s="249" t="str">
        <f>IF(D26&gt;0,TEXT(D26/COUNTIF(Başvuru!$F:$F,"&lt;&gt;"&amp;"")*100,"0.0")&amp;"%","-")</f>
        <v>00%</v>
      </c>
      <c r="F26" s="252">
        <f>IF(C26="","",COUNTIFS(Başvuru!$D:$D,C26,Başvuru!$G:$G,"Bireysel Araştırma",Başvuru!$F:$F,"&lt;&gt;"&amp;""))</f>
        <v>1</v>
      </c>
      <c r="G26" s="252">
        <f>IF(C26="","",COUNTIFS(Başvuru!$D:$D,C26,Başvuru!$G:$G,"Uzmanlık Tezi",Başvuru!$F:$F,"&lt;&gt;"&amp;""))</f>
        <v>0</v>
      </c>
      <c r="H26" s="252">
        <f>IF(C26="","",COUNTIFS(Başvuru!$D:$D,C26,Başvuru!$G:$G,"Doktora Tezi",Başvuru!$F:$F,"&lt;&gt;"&amp;""))</f>
        <v>6</v>
      </c>
      <c r="I26" s="252">
        <f>IF(C26="","",COUNTIFS(Başvuru!$D:$D,C26,Başvuru!$G:$G,"Yüksek Lisans Tezi",Başvuru!$F:$F,"&lt;&gt;"&amp;""))</f>
        <v>0</v>
      </c>
      <c r="J26" s="253">
        <f>IF(C26="","",COUNTIFS(Başvuru!$D:$D,C26,Başvuru!$L:$L,"ONAY",Başvuru!$F:$F,"&lt;&gt;"&amp;""))</f>
        <v>2</v>
      </c>
      <c r="K26" s="254">
        <f>IF(C26="","",COUNTIFS(Başvuru!$D:$D,C26,Başvuru!$L:$L,"DÜZELTME",Başvuru!$F:$F,"&lt;&gt;"&amp;""))</f>
        <v>4</v>
      </c>
      <c r="L26" s="255">
        <f>IF(C26="","",COUNTIFS(Başvuru!$D:$D,C26,Başvuru!$L:$L,"KAEK",Başvuru!$F:$F,"&lt;&gt;"&amp;""))</f>
        <v>0</v>
      </c>
      <c r="M26" s="256">
        <f>IF(C26="","",COUNTIFS(Başvuru!$D:$D,C26,Başvuru!$L:$L,"GÖRÜŞ",Başvuru!$F:$F,"&lt;&gt;"&amp;""))</f>
        <v>1</v>
      </c>
      <c r="N26" s="257">
        <f>IF(C26="","",COUNTIFS(Başvuru!$D:$D,C26,Başvuru!$L:$L,"RET",Başvuru!$F:$F,"&lt;&gt;"&amp;""))</f>
        <v>0</v>
      </c>
      <c r="O26" s="258">
        <f>IF(C26="","",COUNTIFS(Başvuru!$D:$D,C26,Başvuru!$L:$L,"KAPSAM DIŞI",Başvuru!$F:$F,"&lt;&gt;"&amp;""))</f>
        <v>0</v>
      </c>
      <c r="P26" s="259">
        <f>IF(C26="","",COUNTIFS(Başvuru!$D:$D,C26,Başvuru!$L:$L,"GERİ ÇEKİLDİ",Başvuru!$F:$F,"&lt;&gt;"&amp;""))</f>
        <v>0</v>
      </c>
      <c r="Q26" s="260" t="s">
        <v>98</v>
      </c>
      <c r="R26" s="261">
        <f>COUNTIFS(Başvuru!$D:$D,Q26,Başvuru!$F:$F,"&lt;&gt;"&amp;"")</f>
        <v>1</v>
      </c>
      <c r="S26" s="261">
        <f>RANK(R26,$R$6:$R$78,0)+COUNTIF($R$6:R26,R26)-1</f>
        <v>61</v>
      </c>
    </row>
    <row r="27" spans="2:19" ht="15" customHeight="1" x14ac:dyDescent="0.25">
      <c r="B27" s="262">
        <v>22</v>
      </c>
      <c r="C27" s="263" t="str">
        <f>IFERROR(INDEX($Q$6:$Q$78,MATCH(22,$S$6:$S$78,0)),"")</f>
        <v>Üroloji Anabilim Dalı</v>
      </c>
      <c r="D27" s="264">
        <f>IF(C27="","",COUNTIFS(Başvuru!$D:$D,C27,Başvuru!$F:$F,"&lt;&gt;"&amp;""))</f>
        <v>7</v>
      </c>
      <c r="E27" s="262" t="str">
        <f>IF(D27&gt;0,TEXT(D27/COUNTIF(Başvuru!$F:$F,"&lt;&gt;"&amp;"")*100,"0.0")&amp;"%","-")</f>
        <v>00%</v>
      </c>
      <c r="F27" s="265">
        <f>IF(C27="","",COUNTIFS(Başvuru!$D:$D,C27,Başvuru!$G:$G,"Bireysel Araştırma",Başvuru!$F:$F,"&lt;&gt;"&amp;""))</f>
        <v>7</v>
      </c>
      <c r="G27" s="265">
        <f>IF(C27="","",COUNTIFS(Başvuru!$D:$D,C27,Başvuru!$G:$G,"Uzmanlık Tezi",Başvuru!$F:$F,"&lt;&gt;"&amp;""))</f>
        <v>0</v>
      </c>
      <c r="H27" s="265">
        <f>IF(C27="","",COUNTIFS(Başvuru!$D:$D,C27,Başvuru!$G:$G,"Doktora Tezi",Başvuru!$F:$F,"&lt;&gt;"&amp;""))</f>
        <v>0</v>
      </c>
      <c r="I27" s="265">
        <f>IF(C27="","",COUNTIFS(Başvuru!$D:$D,C27,Başvuru!$G:$G,"Yüksek Lisans Tezi",Başvuru!$F:$F,"&lt;&gt;"&amp;""))</f>
        <v>0</v>
      </c>
      <c r="J27" s="266">
        <f>IF(C27="","",COUNTIFS(Başvuru!$D:$D,C27,Başvuru!$L:$L,"ONAY",Başvuru!$F:$F,"&lt;&gt;"&amp;""))</f>
        <v>5</v>
      </c>
      <c r="K27" s="267">
        <f>IF(C27="","",COUNTIFS(Başvuru!$D:$D,C27,Başvuru!$L:$L,"DÜZELTME",Başvuru!$F:$F,"&lt;&gt;"&amp;""))</f>
        <v>1</v>
      </c>
      <c r="L27" s="268">
        <f>IF(C27="","",COUNTIFS(Başvuru!$D:$D,C27,Başvuru!$L:$L,"KAEK",Başvuru!$F:$F,"&lt;&gt;"&amp;""))</f>
        <v>0</v>
      </c>
      <c r="M27" s="269">
        <f>IF(C27="","",COUNTIFS(Başvuru!$D:$D,C27,Başvuru!$L:$L,"GÖRÜŞ",Başvuru!$F:$F,"&lt;&gt;"&amp;""))</f>
        <v>0</v>
      </c>
      <c r="N27" s="270">
        <f>IF(C27="","",COUNTIFS(Başvuru!$D:$D,C27,Başvuru!$L:$L,"RET",Başvuru!$F:$F,"&lt;&gt;"&amp;""))</f>
        <v>0</v>
      </c>
      <c r="O27" s="271">
        <f>IF(C27="","",COUNTIFS(Başvuru!$D:$D,C27,Başvuru!$L:$L,"KAPSAM DIŞI",Başvuru!$F:$F,"&lt;&gt;"&amp;""))</f>
        <v>0</v>
      </c>
      <c r="P27" s="272">
        <f>IF(C27="","",COUNTIFS(Başvuru!$D:$D,C27,Başvuru!$L:$L,"GERİ ÇEKİLDİ",Başvuru!$F:$F,"&lt;&gt;"&amp;""))</f>
        <v>0</v>
      </c>
      <c r="Q27" s="260" t="s">
        <v>375</v>
      </c>
      <c r="R27" s="261">
        <f>COUNTIFS(Başvuru!$D:$D,Q27,Başvuru!$F:$F,"&lt;&gt;"&amp;"")</f>
        <v>6</v>
      </c>
      <c r="S27" s="261">
        <f>RANK(R27,$R$6:$R$78,0)+COUNTIF($R$6:R27,R27)-1</f>
        <v>25</v>
      </c>
    </row>
    <row r="28" spans="2:19" ht="15" customHeight="1" x14ac:dyDescent="0.25">
      <c r="B28" s="249">
        <v>23</v>
      </c>
      <c r="C28" s="250" t="str">
        <f>IFERROR(INDEX($Q$6:$Q$78,MATCH(23,$S$6:$S$78,0)),"")</f>
        <v>Ağız, Diş ve Çene Cerrahisi Anabilim Dalı</v>
      </c>
      <c r="D28" s="251">
        <f>IF(C28="","",COUNTIFS(Başvuru!$D:$D,C28,Başvuru!$F:$F,"&lt;&gt;"&amp;""))</f>
        <v>6</v>
      </c>
      <c r="E28" s="249" t="str">
        <f>IF(D28&gt;0,TEXT(D28/COUNTIF(Başvuru!$F:$F,"&lt;&gt;"&amp;"")*100,"0.0")&amp;"%","-")</f>
        <v>00%</v>
      </c>
      <c r="F28" s="252">
        <f>IF(C28="","",COUNTIFS(Başvuru!$D:$D,C28,Başvuru!$G:$G,"Bireysel Araştırma",Başvuru!$F:$F,"&lt;&gt;"&amp;""))</f>
        <v>5</v>
      </c>
      <c r="G28" s="252">
        <f>IF(C28="","",COUNTIFS(Başvuru!$D:$D,C28,Başvuru!$G:$G,"Uzmanlık Tezi",Başvuru!$F:$F,"&lt;&gt;"&amp;""))</f>
        <v>1</v>
      </c>
      <c r="H28" s="252">
        <f>IF(C28="","",COUNTIFS(Başvuru!$D:$D,C28,Başvuru!$G:$G,"Doktora Tezi",Başvuru!$F:$F,"&lt;&gt;"&amp;""))</f>
        <v>0</v>
      </c>
      <c r="I28" s="252">
        <f>IF(C28="","",COUNTIFS(Başvuru!$D:$D,C28,Başvuru!$G:$G,"Yüksek Lisans Tezi",Başvuru!$F:$F,"&lt;&gt;"&amp;""))</f>
        <v>0</v>
      </c>
      <c r="J28" s="253">
        <f>IF(C28="","",COUNTIFS(Başvuru!$D:$D,C28,Başvuru!$L:$L,"ONAY",Başvuru!$F:$F,"&lt;&gt;"&amp;""))</f>
        <v>3</v>
      </c>
      <c r="K28" s="254">
        <f>IF(C28="","",COUNTIFS(Başvuru!$D:$D,C28,Başvuru!$L:$L,"DÜZELTME",Başvuru!$F:$F,"&lt;&gt;"&amp;""))</f>
        <v>2</v>
      </c>
      <c r="L28" s="255">
        <f>IF(C28="","",COUNTIFS(Başvuru!$D:$D,C28,Başvuru!$L:$L,"KAEK",Başvuru!$F:$F,"&lt;&gt;"&amp;""))</f>
        <v>0</v>
      </c>
      <c r="M28" s="256">
        <f>IF(C28="","",COUNTIFS(Başvuru!$D:$D,C28,Başvuru!$L:$L,"GÖRÜŞ",Başvuru!$F:$F,"&lt;&gt;"&amp;""))</f>
        <v>1</v>
      </c>
      <c r="N28" s="257">
        <f>IF(C28="","",COUNTIFS(Başvuru!$D:$D,C28,Başvuru!$L:$L,"RET",Başvuru!$F:$F,"&lt;&gt;"&amp;""))</f>
        <v>0</v>
      </c>
      <c r="O28" s="258">
        <f>IF(C28="","",COUNTIFS(Başvuru!$D:$D,C28,Başvuru!$L:$L,"KAPSAM DIŞI",Başvuru!$F:$F,"&lt;&gt;"&amp;""))</f>
        <v>0</v>
      </c>
      <c r="P28" s="259">
        <f>IF(C28="","",COUNTIFS(Başvuru!$D:$D,C28,Başvuru!$L:$L,"GERİ ÇEKİLDİ",Başvuru!$F:$F,"&lt;&gt;"&amp;""))</f>
        <v>0</v>
      </c>
      <c r="Q28" s="260" t="s">
        <v>920</v>
      </c>
      <c r="R28" s="261">
        <f>COUNTIFS(Başvuru!$D:$D,Q28,Başvuru!$F:$F,"&lt;&gt;"&amp;"")</f>
        <v>2</v>
      </c>
      <c r="S28" s="261">
        <f>RANK(R28,$R$6:$R$78,0)+COUNTIF($R$6:R28,R28)-1</f>
        <v>44</v>
      </c>
    </row>
    <row r="29" spans="2:19" ht="15" customHeight="1" x14ac:dyDescent="0.25">
      <c r="B29" s="262">
        <v>24</v>
      </c>
      <c r="C29" s="263" t="str">
        <f>IFERROR(INDEX($Q$6:$Q$78,MATCH(24,$S$6:$S$78,0)),"")</f>
        <v>Ağız, Diş ve Çene Radyolojisi Anabilim Dalı</v>
      </c>
      <c r="D29" s="264">
        <f>IF(C29="","",COUNTIFS(Başvuru!$D:$D,C29,Başvuru!$F:$F,"&lt;&gt;"&amp;""))</f>
        <v>6</v>
      </c>
      <c r="E29" s="262" t="str">
        <f>IF(D29&gt;0,TEXT(D29/COUNTIF(Başvuru!$F:$F,"&lt;&gt;"&amp;"")*100,"0.0")&amp;"%","-")</f>
        <v>00%</v>
      </c>
      <c r="F29" s="265">
        <f>IF(C29="","",COUNTIFS(Başvuru!$D:$D,C29,Başvuru!$G:$G,"Bireysel Araştırma",Başvuru!$F:$F,"&lt;&gt;"&amp;""))</f>
        <v>3</v>
      </c>
      <c r="G29" s="265">
        <f>IF(C29="","",COUNTIFS(Başvuru!$D:$D,C29,Başvuru!$G:$G,"Uzmanlık Tezi",Başvuru!$F:$F,"&lt;&gt;"&amp;""))</f>
        <v>3</v>
      </c>
      <c r="H29" s="265">
        <f>IF(C29="","",COUNTIFS(Başvuru!$D:$D,C29,Başvuru!$G:$G,"Doktora Tezi",Başvuru!$F:$F,"&lt;&gt;"&amp;""))</f>
        <v>0</v>
      </c>
      <c r="I29" s="265">
        <f>IF(C29="","",COUNTIFS(Başvuru!$D:$D,C29,Başvuru!$G:$G,"Yüksek Lisans Tezi",Başvuru!$F:$F,"&lt;&gt;"&amp;""))</f>
        <v>0</v>
      </c>
      <c r="J29" s="266">
        <f>IF(C29="","",COUNTIFS(Başvuru!$D:$D,C29,Başvuru!$L:$L,"ONAY",Başvuru!$F:$F,"&lt;&gt;"&amp;""))</f>
        <v>4</v>
      </c>
      <c r="K29" s="267">
        <f>IF(C29="","",COUNTIFS(Başvuru!$D:$D,C29,Başvuru!$L:$L,"DÜZELTME",Başvuru!$F:$F,"&lt;&gt;"&amp;""))</f>
        <v>1</v>
      </c>
      <c r="L29" s="268">
        <f>IF(C29="","",COUNTIFS(Başvuru!$D:$D,C29,Başvuru!$L:$L,"KAEK",Başvuru!$F:$F,"&lt;&gt;"&amp;""))</f>
        <v>0</v>
      </c>
      <c r="M29" s="269">
        <f>IF(C29="","",COUNTIFS(Başvuru!$D:$D,C29,Başvuru!$L:$L,"GÖRÜŞ",Başvuru!$F:$F,"&lt;&gt;"&amp;""))</f>
        <v>0</v>
      </c>
      <c r="N29" s="270">
        <f>IF(C29="","",COUNTIFS(Başvuru!$D:$D,C29,Başvuru!$L:$L,"RET",Başvuru!$F:$F,"&lt;&gt;"&amp;""))</f>
        <v>0</v>
      </c>
      <c r="O29" s="271">
        <f>IF(C29="","",COUNTIFS(Başvuru!$D:$D,C29,Başvuru!$L:$L,"KAPSAM DIŞI",Başvuru!$F:$F,"&lt;&gt;"&amp;""))</f>
        <v>0</v>
      </c>
      <c r="P29" s="272">
        <f>IF(C29="","",COUNTIFS(Başvuru!$D:$D,C29,Başvuru!$L:$L,"GERİ ÇEKİLDİ",Başvuru!$F:$F,"&lt;&gt;"&amp;""))</f>
        <v>0</v>
      </c>
      <c r="Q29" s="260" t="s">
        <v>1849</v>
      </c>
      <c r="R29" s="261">
        <f>COUNTIFS(Başvuru!$D:$D,Q29,Başvuru!$F:$F,"&lt;&gt;"&amp;"")</f>
        <v>1</v>
      </c>
      <c r="S29" s="261">
        <f>RANK(R29,$R$6:$R$78,0)+COUNTIF($R$6:R29,R29)-1</f>
        <v>62</v>
      </c>
    </row>
    <row r="30" spans="2:19" ht="15" customHeight="1" x14ac:dyDescent="0.25">
      <c r="B30" s="249">
        <v>25</v>
      </c>
      <c r="C30" s="250" t="str">
        <f>IFERROR(INDEX($Q$6:$Q$78,MATCH(25,$S$6:$S$78,0)),"")</f>
        <v>Fiziksel Tıp ve Rehabilitasyon Anabilim Dalı</v>
      </c>
      <c r="D30" s="251">
        <f>IF(C30="","",COUNTIFS(Başvuru!$D:$D,C30,Başvuru!$F:$F,"&lt;&gt;"&amp;""))</f>
        <v>6</v>
      </c>
      <c r="E30" s="249" t="str">
        <f>IF(D30&gt;0,TEXT(D30/COUNTIF(Başvuru!$F:$F,"&lt;&gt;"&amp;"")*100,"0.0")&amp;"%","-")</f>
        <v>00%</v>
      </c>
      <c r="F30" s="252">
        <f>IF(C30="","",COUNTIFS(Başvuru!$D:$D,C30,Başvuru!$G:$G,"Bireysel Araştırma",Başvuru!$F:$F,"&lt;&gt;"&amp;""))</f>
        <v>3</v>
      </c>
      <c r="G30" s="252">
        <f>IF(C30="","",COUNTIFS(Başvuru!$D:$D,C30,Başvuru!$G:$G,"Uzmanlık Tezi",Başvuru!$F:$F,"&lt;&gt;"&amp;""))</f>
        <v>3</v>
      </c>
      <c r="H30" s="252">
        <f>IF(C30="","",COUNTIFS(Başvuru!$D:$D,C30,Başvuru!$G:$G,"Doktora Tezi",Başvuru!$F:$F,"&lt;&gt;"&amp;""))</f>
        <v>0</v>
      </c>
      <c r="I30" s="252">
        <f>IF(C30="","",COUNTIFS(Başvuru!$D:$D,C30,Başvuru!$G:$G,"Yüksek Lisans Tezi",Başvuru!$F:$F,"&lt;&gt;"&amp;""))</f>
        <v>0</v>
      </c>
      <c r="J30" s="253">
        <f>IF(C30="","",COUNTIFS(Başvuru!$D:$D,C30,Başvuru!$L:$L,"ONAY",Başvuru!$F:$F,"&lt;&gt;"&amp;""))</f>
        <v>1</v>
      </c>
      <c r="K30" s="254">
        <f>IF(C30="","",COUNTIFS(Başvuru!$D:$D,C30,Başvuru!$L:$L,"DÜZELTME",Başvuru!$F:$F,"&lt;&gt;"&amp;""))</f>
        <v>1</v>
      </c>
      <c r="L30" s="255">
        <f>IF(C30="","",COUNTIFS(Başvuru!$D:$D,C30,Başvuru!$L:$L,"KAEK",Başvuru!$F:$F,"&lt;&gt;"&amp;""))</f>
        <v>0</v>
      </c>
      <c r="M30" s="256">
        <f>IF(C30="","",COUNTIFS(Başvuru!$D:$D,C30,Başvuru!$L:$L,"GÖRÜŞ",Başvuru!$F:$F,"&lt;&gt;"&amp;""))</f>
        <v>0</v>
      </c>
      <c r="N30" s="257">
        <f>IF(C30="","",COUNTIFS(Başvuru!$D:$D,C30,Başvuru!$L:$L,"RET",Başvuru!$F:$F,"&lt;&gt;"&amp;""))</f>
        <v>2</v>
      </c>
      <c r="O30" s="258">
        <f>IF(C30="","",COUNTIFS(Başvuru!$D:$D,C30,Başvuru!$L:$L,"KAPSAM DIŞI",Başvuru!$F:$F,"&lt;&gt;"&amp;""))</f>
        <v>0</v>
      </c>
      <c r="P30" s="259">
        <f>IF(C30="","",COUNTIFS(Başvuru!$D:$D,C30,Başvuru!$L:$L,"GERİ ÇEKİLDİ",Başvuru!$F:$F,"&lt;&gt;"&amp;""))</f>
        <v>0</v>
      </c>
      <c r="Q30" s="260" t="s">
        <v>200</v>
      </c>
      <c r="R30" s="261">
        <f>COUNTIFS(Başvuru!$D:$D,Q30,Başvuru!$F:$F,"&lt;&gt;"&amp;"")</f>
        <v>15</v>
      </c>
      <c r="S30" s="261">
        <f>RANK(R30,$R$6:$R$78,0)+COUNTIF($R$6:R30,R30)-1</f>
        <v>8</v>
      </c>
    </row>
    <row r="31" spans="2:19" ht="15" customHeight="1" x14ac:dyDescent="0.25">
      <c r="B31" s="262">
        <v>26</v>
      </c>
      <c r="C31" s="263" t="str">
        <f>IFERROR(INDEX($Q$6:$Q$78,MATCH(26,$S$6:$S$78,0)),"")</f>
        <v>Nükleer Tıp Anabilim Dalı</v>
      </c>
      <c r="D31" s="264">
        <f>IF(C31="","",COUNTIFS(Başvuru!$D:$D,C31,Başvuru!$F:$F,"&lt;&gt;"&amp;""))</f>
        <v>6</v>
      </c>
      <c r="E31" s="262" t="str">
        <f>IF(D31&gt;0,TEXT(D31/COUNTIF(Başvuru!$F:$F,"&lt;&gt;"&amp;"")*100,"0.0")&amp;"%","-")</f>
        <v>00%</v>
      </c>
      <c r="F31" s="265">
        <f>IF(C31="","",COUNTIFS(Başvuru!$D:$D,C31,Başvuru!$G:$G,"Bireysel Araştırma",Başvuru!$F:$F,"&lt;&gt;"&amp;""))</f>
        <v>4</v>
      </c>
      <c r="G31" s="265">
        <f>IF(C31="","",COUNTIFS(Başvuru!$D:$D,C31,Başvuru!$G:$G,"Uzmanlık Tezi",Başvuru!$F:$F,"&lt;&gt;"&amp;""))</f>
        <v>2</v>
      </c>
      <c r="H31" s="265">
        <f>IF(C31="","",COUNTIFS(Başvuru!$D:$D,C31,Başvuru!$G:$G,"Doktora Tezi",Başvuru!$F:$F,"&lt;&gt;"&amp;""))</f>
        <v>0</v>
      </c>
      <c r="I31" s="265">
        <f>IF(C31="","",COUNTIFS(Başvuru!$D:$D,C31,Başvuru!$G:$G,"Yüksek Lisans Tezi",Başvuru!$F:$F,"&lt;&gt;"&amp;""))</f>
        <v>0</v>
      </c>
      <c r="J31" s="266">
        <f>IF(C31="","",COUNTIFS(Başvuru!$D:$D,C31,Başvuru!$L:$L,"ONAY",Başvuru!$F:$F,"&lt;&gt;"&amp;""))</f>
        <v>5</v>
      </c>
      <c r="K31" s="267">
        <f>IF(C31="","",COUNTIFS(Başvuru!$D:$D,C31,Başvuru!$L:$L,"DÜZELTME",Başvuru!$F:$F,"&lt;&gt;"&amp;""))</f>
        <v>0</v>
      </c>
      <c r="L31" s="268">
        <f>IF(C31="","",COUNTIFS(Başvuru!$D:$D,C31,Başvuru!$L:$L,"KAEK",Başvuru!$F:$F,"&lt;&gt;"&amp;""))</f>
        <v>0</v>
      </c>
      <c r="M31" s="269">
        <f>IF(C31="","",COUNTIFS(Başvuru!$D:$D,C31,Başvuru!$L:$L,"GÖRÜŞ",Başvuru!$F:$F,"&lt;&gt;"&amp;""))</f>
        <v>0</v>
      </c>
      <c r="N31" s="270">
        <f>IF(C31="","",COUNTIFS(Başvuru!$D:$D,C31,Başvuru!$L:$L,"RET",Başvuru!$F:$F,"&lt;&gt;"&amp;""))</f>
        <v>1</v>
      </c>
      <c r="O31" s="271">
        <f>IF(C31="","",COUNTIFS(Başvuru!$D:$D,C31,Başvuru!$L:$L,"KAPSAM DIŞI",Başvuru!$F:$F,"&lt;&gt;"&amp;""))</f>
        <v>0</v>
      </c>
      <c r="P31" s="272">
        <f>IF(C31="","",COUNTIFS(Başvuru!$D:$D,C31,Başvuru!$L:$L,"GERİ ÇEKİLDİ",Başvuru!$F:$F,"&lt;&gt;"&amp;""))</f>
        <v>0</v>
      </c>
      <c r="Q31" s="260" t="s">
        <v>193</v>
      </c>
      <c r="R31" s="261">
        <f>COUNTIFS(Başvuru!$D:$D,Q31,Başvuru!$F:$F,"&lt;&gt;"&amp;"")</f>
        <v>3</v>
      </c>
      <c r="S31" s="261">
        <f>RANK(R31,$R$6:$R$78,0)+COUNTIF($R$6:R31,R31)-1</f>
        <v>35</v>
      </c>
    </row>
    <row r="32" spans="2:19" ht="15" customHeight="1" x14ac:dyDescent="0.25">
      <c r="B32" s="249">
        <v>27</v>
      </c>
      <c r="C32" s="250" t="str">
        <f>IFERROR(INDEX($Q$6:$Q$78,MATCH(27,$S$6:$S$78,0)),"")</f>
        <v>Ruh Sağlığı ve Hastalıkları Anabilim Dalı</v>
      </c>
      <c r="D32" s="251">
        <f>IF(C32="","",COUNTIFS(Başvuru!$D:$D,C32,Başvuru!$F:$F,"&lt;&gt;"&amp;""))</f>
        <v>6</v>
      </c>
      <c r="E32" s="249" t="str">
        <f>IF(D32&gt;0,TEXT(D32/COUNTIF(Başvuru!$F:$F,"&lt;&gt;"&amp;"")*100,"0.0")&amp;"%","-")</f>
        <v>00%</v>
      </c>
      <c r="F32" s="252">
        <f>IF(C32="","",COUNTIFS(Başvuru!$D:$D,C32,Başvuru!$G:$G,"Bireysel Araştırma",Başvuru!$F:$F,"&lt;&gt;"&amp;""))</f>
        <v>4</v>
      </c>
      <c r="G32" s="252">
        <f>IF(C32="","",COUNTIFS(Başvuru!$D:$D,C32,Başvuru!$G:$G,"Uzmanlık Tezi",Başvuru!$F:$F,"&lt;&gt;"&amp;""))</f>
        <v>2</v>
      </c>
      <c r="H32" s="252">
        <f>IF(C32="","",COUNTIFS(Başvuru!$D:$D,C32,Başvuru!$G:$G,"Doktora Tezi",Başvuru!$F:$F,"&lt;&gt;"&amp;""))</f>
        <v>0</v>
      </c>
      <c r="I32" s="252">
        <f>IF(C32="","",COUNTIFS(Başvuru!$D:$D,C32,Başvuru!$G:$G,"Yüksek Lisans Tezi",Başvuru!$F:$F,"&lt;&gt;"&amp;""))</f>
        <v>0</v>
      </c>
      <c r="J32" s="253">
        <f>IF(C32="","",COUNTIFS(Başvuru!$D:$D,C32,Başvuru!$L:$L,"ONAY",Başvuru!$F:$F,"&lt;&gt;"&amp;""))</f>
        <v>1</v>
      </c>
      <c r="K32" s="254">
        <f>IF(C32="","",COUNTIFS(Başvuru!$D:$D,C32,Başvuru!$L:$L,"DÜZELTME",Başvuru!$F:$F,"&lt;&gt;"&amp;""))</f>
        <v>5</v>
      </c>
      <c r="L32" s="255">
        <f>IF(C32="","",COUNTIFS(Başvuru!$D:$D,C32,Başvuru!$L:$L,"KAEK",Başvuru!$F:$F,"&lt;&gt;"&amp;""))</f>
        <v>0</v>
      </c>
      <c r="M32" s="256">
        <f>IF(C32="","",COUNTIFS(Başvuru!$D:$D,C32,Başvuru!$L:$L,"GÖRÜŞ",Başvuru!$F:$F,"&lt;&gt;"&amp;""))</f>
        <v>0</v>
      </c>
      <c r="N32" s="257">
        <f>IF(C32="","",COUNTIFS(Başvuru!$D:$D,C32,Başvuru!$L:$L,"RET",Başvuru!$F:$F,"&lt;&gt;"&amp;""))</f>
        <v>0</v>
      </c>
      <c r="O32" s="258">
        <f>IF(C32="","",COUNTIFS(Başvuru!$D:$D,C32,Başvuru!$L:$L,"KAPSAM DIŞI",Başvuru!$F:$F,"&lt;&gt;"&amp;""))</f>
        <v>0</v>
      </c>
      <c r="P32" s="259">
        <f>IF(C32="","",COUNTIFS(Başvuru!$D:$D,C32,Başvuru!$L:$L,"GERİ ÇEKİLDİ",Başvuru!$F:$F,"&lt;&gt;"&amp;""))</f>
        <v>0</v>
      </c>
      <c r="Q32" s="260" t="s">
        <v>172</v>
      </c>
      <c r="R32" s="261">
        <f>COUNTIFS(Başvuru!$D:$D,Q32,Başvuru!$F:$F,"&lt;&gt;"&amp;"")</f>
        <v>15</v>
      </c>
      <c r="S32" s="261">
        <f>RANK(R32,$R$6:$R$78,0)+COUNTIF($R$6:R32,R32)-1</f>
        <v>9</v>
      </c>
    </row>
    <row r="33" spans="2:19" ht="15" customHeight="1" x14ac:dyDescent="0.25">
      <c r="B33" s="262">
        <v>28</v>
      </c>
      <c r="C33" s="263" t="str">
        <f>IFERROR(INDEX($Q$6:$Q$78,MATCH(28,$S$6:$S$78,0)),"")</f>
        <v>Tıbbi Patoloji Anabilim Dalı</v>
      </c>
      <c r="D33" s="264">
        <f>IF(C33="","",COUNTIFS(Başvuru!$D:$D,C33,Başvuru!$F:$F,"&lt;&gt;"&amp;""))</f>
        <v>6</v>
      </c>
      <c r="E33" s="262" t="str">
        <f>IF(D33&gt;0,TEXT(D33/COUNTIF(Başvuru!$F:$F,"&lt;&gt;"&amp;"")*100,"0.0")&amp;"%","-")</f>
        <v>00%</v>
      </c>
      <c r="F33" s="265">
        <f>IF(C33="","",COUNTIFS(Başvuru!$D:$D,C33,Başvuru!$G:$G,"Bireysel Araştırma",Başvuru!$F:$F,"&lt;&gt;"&amp;""))</f>
        <v>5</v>
      </c>
      <c r="G33" s="265">
        <f>IF(C33="","",COUNTIFS(Başvuru!$D:$D,C33,Başvuru!$G:$G,"Uzmanlık Tezi",Başvuru!$F:$F,"&lt;&gt;"&amp;""))</f>
        <v>1</v>
      </c>
      <c r="H33" s="265">
        <f>IF(C33="","",COUNTIFS(Başvuru!$D:$D,C33,Başvuru!$G:$G,"Doktora Tezi",Başvuru!$F:$F,"&lt;&gt;"&amp;""))</f>
        <v>0</v>
      </c>
      <c r="I33" s="265">
        <f>IF(C33="","",COUNTIFS(Başvuru!$D:$D,C33,Başvuru!$G:$G,"Yüksek Lisans Tezi",Başvuru!$F:$F,"&lt;&gt;"&amp;""))</f>
        <v>0</v>
      </c>
      <c r="J33" s="266">
        <f>IF(C33="","",COUNTIFS(Başvuru!$D:$D,C33,Başvuru!$L:$L,"ONAY",Başvuru!$F:$F,"&lt;&gt;"&amp;""))</f>
        <v>3</v>
      </c>
      <c r="K33" s="267">
        <f>IF(C33="","",COUNTIFS(Başvuru!$D:$D,C33,Başvuru!$L:$L,"DÜZELTME",Başvuru!$F:$F,"&lt;&gt;"&amp;""))</f>
        <v>1</v>
      </c>
      <c r="L33" s="268">
        <f>IF(C33="","",COUNTIFS(Başvuru!$D:$D,C33,Başvuru!$L:$L,"KAEK",Başvuru!$F:$F,"&lt;&gt;"&amp;""))</f>
        <v>0</v>
      </c>
      <c r="M33" s="269">
        <f>IF(C33="","",COUNTIFS(Başvuru!$D:$D,C33,Başvuru!$L:$L,"GÖRÜŞ",Başvuru!$F:$F,"&lt;&gt;"&amp;""))</f>
        <v>0</v>
      </c>
      <c r="N33" s="270">
        <f>IF(C33="","",COUNTIFS(Başvuru!$D:$D,C33,Başvuru!$L:$L,"RET",Başvuru!$F:$F,"&lt;&gt;"&amp;""))</f>
        <v>0</v>
      </c>
      <c r="O33" s="271">
        <f>IF(C33="","",COUNTIFS(Başvuru!$D:$D,C33,Başvuru!$L:$L,"KAPSAM DIŞI",Başvuru!$F:$F,"&lt;&gt;"&amp;""))</f>
        <v>0</v>
      </c>
      <c r="P33" s="272">
        <f>IF(C33="","",COUNTIFS(Başvuru!$D:$D,C33,Başvuru!$L:$L,"GERİ ÇEKİLDİ",Başvuru!$F:$F,"&lt;&gt;"&amp;""))</f>
        <v>0</v>
      </c>
      <c r="Q33" s="260" t="s">
        <v>847</v>
      </c>
      <c r="R33" s="261">
        <f>COUNTIFS(Başvuru!$D:$D,Q33,Başvuru!$F:$F,"&lt;&gt;"&amp;"")</f>
        <v>2</v>
      </c>
      <c r="S33" s="261">
        <f>RANK(R33,$R$6:$R$78,0)+COUNTIF($R$6:R33,R33)-1</f>
        <v>45</v>
      </c>
    </row>
    <row r="34" spans="2:19" ht="15" customHeight="1" x14ac:dyDescent="0.25">
      <c r="B34" s="249">
        <v>29</v>
      </c>
      <c r="C34" s="250" t="str">
        <f>IFERROR(INDEX($Q$6:$Q$78,MATCH(29,$S$6:$S$78,0)),"")</f>
        <v>Halk Sağlığı Anabilim Dalı</v>
      </c>
      <c r="D34" s="251">
        <f>IF(C34="","",COUNTIFS(Başvuru!$D:$D,C34,Başvuru!$F:$F,"&lt;&gt;"&amp;""))</f>
        <v>5</v>
      </c>
      <c r="E34" s="249" t="str">
        <f>IF(D34&gt;0,TEXT(D34/COUNTIF(Başvuru!$F:$F,"&lt;&gt;"&amp;"")*100,"0.0")&amp;"%","-")</f>
        <v>00%</v>
      </c>
      <c r="F34" s="252">
        <f>IF(C34="","",COUNTIFS(Başvuru!$D:$D,C34,Başvuru!$G:$G,"Bireysel Araştırma",Başvuru!$F:$F,"&lt;&gt;"&amp;""))</f>
        <v>2</v>
      </c>
      <c r="G34" s="252">
        <f>IF(C34="","",COUNTIFS(Başvuru!$D:$D,C34,Başvuru!$G:$G,"Uzmanlık Tezi",Başvuru!$F:$F,"&lt;&gt;"&amp;""))</f>
        <v>2</v>
      </c>
      <c r="H34" s="252">
        <f>IF(C34="","",COUNTIFS(Başvuru!$D:$D,C34,Başvuru!$G:$G,"Doktora Tezi",Başvuru!$F:$F,"&lt;&gt;"&amp;""))</f>
        <v>1</v>
      </c>
      <c r="I34" s="252">
        <f>IF(C34="","",COUNTIFS(Başvuru!$D:$D,C34,Başvuru!$G:$G,"Yüksek Lisans Tezi",Başvuru!$F:$F,"&lt;&gt;"&amp;""))</f>
        <v>0</v>
      </c>
      <c r="J34" s="253">
        <f>IF(C34="","",COUNTIFS(Başvuru!$D:$D,C34,Başvuru!$L:$L,"ONAY",Başvuru!$F:$F,"&lt;&gt;"&amp;""))</f>
        <v>5</v>
      </c>
      <c r="K34" s="254">
        <f>IF(C34="","",COUNTIFS(Başvuru!$D:$D,C34,Başvuru!$L:$L,"DÜZELTME",Başvuru!$F:$F,"&lt;&gt;"&amp;""))</f>
        <v>0</v>
      </c>
      <c r="L34" s="255">
        <f>IF(C34="","",COUNTIFS(Başvuru!$D:$D,C34,Başvuru!$L:$L,"KAEK",Başvuru!$F:$F,"&lt;&gt;"&amp;""))</f>
        <v>0</v>
      </c>
      <c r="M34" s="256">
        <f>IF(C34="","",COUNTIFS(Başvuru!$D:$D,C34,Başvuru!$L:$L,"GÖRÜŞ",Başvuru!$F:$F,"&lt;&gt;"&amp;""))</f>
        <v>0</v>
      </c>
      <c r="N34" s="257">
        <f>IF(C34="","",COUNTIFS(Başvuru!$D:$D,C34,Başvuru!$L:$L,"RET",Başvuru!$F:$F,"&lt;&gt;"&amp;""))</f>
        <v>0</v>
      </c>
      <c r="O34" s="258">
        <f>IF(C34="","",COUNTIFS(Başvuru!$D:$D,C34,Başvuru!$L:$L,"KAPSAM DIŞI",Başvuru!$F:$F,"&lt;&gt;"&amp;""))</f>
        <v>0</v>
      </c>
      <c r="P34" s="259">
        <f>IF(C34="","",COUNTIFS(Başvuru!$D:$D,C34,Başvuru!$L:$L,"GERİ ÇEKİLDİ",Başvuru!$F:$F,"&lt;&gt;"&amp;""))</f>
        <v>0</v>
      </c>
      <c r="Q34" s="260" t="s">
        <v>1101</v>
      </c>
      <c r="R34" s="261">
        <f>COUNTIFS(Başvuru!$D:$D,Q34,Başvuru!$F:$F,"&lt;&gt;"&amp;"")</f>
        <v>2</v>
      </c>
      <c r="S34" s="261">
        <f>RANK(R34,$R$6:$R$78,0)+COUNTIF($R$6:R34,R34)-1</f>
        <v>46</v>
      </c>
    </row>
    <row r="35" spans="2:19" ht="15" customHeight="1" x14ac:dyDescent="0.25">
      <c r="B35" s="262">
        <v>30</v>
      </c>
      <c r="C35" s="263" t="str">
        <f>IFERROR(INDEX($Q$6:$Q$78,MATCH(30,$S$6:$S$78,0)),"")</f>
        <v>Histoloji ve Embriyoloji Anabilim Dalı</v>
      </c>
      <c r="D35" s="264">
        <f>IF(C35="","",COUNTIFS(Başvuru!$D:$D,C35,Başvuru!$F:$F,"&lt;&gt;"&amp;""))</f>
        <v>5</v>
      </c>
      <c r="E35" s="262" t="str">
        <f>IF(D35&gt;0,TEXT(D35/COUNTIF(Başvuru!$F:$F,"&lt;&gt;"&amp;"")*100,"0.0")&amp;"%","-")</f>
        <v>00%</v>
      </c>
      <c r="F35" s="265">
        <f>IF(C35="","",COUNTIFS(Başvuru!$D:$D,C35,Başvuru!$G:$G,"Bireysel Araştırma",Başvuru!$F:$F,"&lt;&gt;"&amp;""))</f>
        <v>1</v>
      </c>
      <c r="G35" s="265">
        <f>IF(C35="","",COUNTIFS(Başvuru!$D:$D,C35,Başvuru!$G:$G,"Uzmanlık Tezi",Başvuru!$F:$F,"&lt;&gt;"&amp;""))</f>
        <v>4</v>
      </c>
      <c r="H35" s="265">
        <f>IF(C35="","",COUNTIFS(Başvuru!$D:$D,C35,Başvuru!$G:$G,"Doktora Tezi",Başvuru!$F:$F,"&lt;&gt;"&amp;""))</f>
        <v>0</v>
      </c>
      <c r="I35" s="265">
        <f>IF(C35="","",COUNTIFS(Başvuru!$D:$D,C35,Başvuru!$G:$G,"Yüksek Lisans Tezi",Başvuru!$F:$F,"&lt;&gt;"&amp;""))</f>
        <v>0</v>
      </c>
      <c r="J35" s="266">
        <f>IF(C35="","",COUNTIFS(Başvuru!$D:$D,C35,Başvuru!$L:$L,"ONAY",Başvuru!$F:$F,"&lt;&gt;"&amp;""))</f>
        <v>0</v>
      </c>
      <c r="K35" s="267">
        <f>IF(C35="","",COUNTIFS(Başvuru!$D:$D,C35,Başvuru!$L:$L,"DÜZELTME",Başvuru!$F:$F,"&lt;&gt;"&amp;""))</f>
        <v>3</v>
      </c>
      <c r="L35" s="268">
        <f>IF(C35="","",COUNTIFS(Başvuru!$D:$D,C35,Başvuru!$L:$L,"KAEK",Başvuru!$F:$F,"&lt;&gt;"&amp;""))</f>
        <v>0</v>
      </c>
      <c r="M35" s="269">
        <f>IF(C35="","",COUNTIFS(Başvuru!$D:$D,C35,Başvuru!$L:$L,"GÖRÜŞ",Başvuru!$F:$F,"&lt;&gt;"&amp;""))</f>
        <v>0</v>
      </c>
      <c r="N35" s="270">
        <f>IF(C35="","",COUNTIFS(Başvuru!$D:$D,C35,Başvuru!$L:$L,"RET",Başvuru!$F:$F,"&lt;&gt;"&amp;""))</f>
        <v>0</v>
      </c>
      <c r="O35" s="271">
        <f>IF(C35="","",COUNTIFS(Başvuru!$D:$D,C35,Başvuru!$L:$L,"KAPSAM DIŞI",Başvuru!$F:$F,"&lt;&gt;"&amp;""))</f>
        <v>2</v>
      </c>
      <c r="P35" s="272">
        <f>IF(C35="","",COUNTIFS(Başvuru!$D:$D,C35,Başvuru!$L:$L,"GERİ ÇEKİLDİ",Başvuru!$F:$F,"&lt;&gt;"&amp;""))</f>
        <v>0</v>
      </c>
      <c r="Q35" s="260" t="s">
        <v>2265</v>
      </c>
      <c r="R35" s="261">
        <f>COUNTIFS(Başvuru!$D:$D,Q35,Başvuru!$F:$F,"&lt;&gt;"&amp;"")</f>
        <v>1</v>
      </c>
      <c r="S35" s="261">
        <f>RANK(R35,$R$6:$R$78,0)+COUNTIF($R$6:R35,R35)-1</f>
        <v>63</v>
      </c>
    </row>
    <row r="36" spans="2:19" ht="15" customHeight="1" x14ac:dyDescent="0.25">
      <c r="B36" s="249">
        <v>31</v>
      </c>
      <c r="C36" s="250" t="str">
        <f>IFERROR(INDEX($Q$6:$Q$78,MATCH(31,$S$6:$S$78,0)),"")</f>
        <v>Plastik, Rekonstrüktif ve Estetik Cerrahi Anabilim Dalı</v>
      </c>
      <c r="D36" s="251">
        <f>IF(C36="","",COUNTIFS(Başvuru!$D:$D,C36,Başvuru!$F:$F,"&lt;&gt;"&amp;""))</f>
        <v>5</v>
      </c>
      <c r="E36" s="249" t="str">
        <f>IF(D36&gt;0,TEXT(D36/COUNTIF(Başvuru!$F:$F,"&lt;&gt;"&amp;"")*100,"0.0")&amp;"%","-")</f>
        <v>00%</v>
      </c>
      <c r="F36" s="252">
        <f>IF(C36="","",COUNTIFS(Başvuru!$D:$D,C36,Başvuru!$G:$G,"Bireysel Araştırma",Başvuru!$F:$F,"&lt;&gt;"&amp;""))</f>
        <v>4</v>
      </c>
      <c r="G36" s="252">
        <f>IF(C36="","",COUNTIFS(Başvuru!$D:$D,C36,Başvuru!$G:$G,"Uzmanlık Tezi",Başvuru!$F:$F,"&lt;&gt;"&amp;""))</f>
        <v>1</v>
      </c>
      <c r="H36" s="252">
        <f>IF(C36="","",COUNTIFS(Başvuru!$D:$D,C36,Başvuru!$G:$G,"Doktora Tezi",Başvuru!$F:$F,"&lt;&gt;"&amp;""))</f>
        <v>0</v>
      </c>
      <c r="I36" s="252">
        <f>IF(C36="","",COUNTIFS(Başvuru!$D:$D,C36,Başvuru!$G:$G,"Yüksek Lisans Tezi",Başvuru!$F:$F,"&lt;&gt;"&amp;""))</f>
        <v>0</v>
      </c>
      <c r="J36" s="253">
        <f>IF(C36="","",COUNTIFS(Başvuru!$D:$D,C36,Başvuru!$L:$L,"ONAY",Başvuru!$F:$F,"&lt;&gt;"&amp;""))</f>
        <v>3</v>
      </c>
      <c r="K36" s="254">
        <f>IF(C36="","",COUNTIFS(Başvuru!$D:$D,C36,Başvuru!$L:$L,"DÜZELTME",Başvuru!$F:$F,"&lt;&gt;"&amp;""))</f>
        <v>0</v>
      </c>
      <c r="L36" s="255">
        <f>IF(C36="","",COUNTIFS(Başvuru!$D:$D,C36,Başvuru!$L:$L,"KAEK",Başvuru!$F:$F,"&lt;&gt;"&amp;""))</f>
        <v>1</v>
      </c>
      <c r="M36" s="256">
        <f>IF(C36="","",COUNTIFS(Başvuru!$D:$D,C36,Başvuru!$L:$L,"GÖRÜŞ",Başvuru!$F:$F,"&lt;&gt;"&amp;""))</f>
        <v>0</v>
      </c>
      <c r="N36" s="257">
        <f>IF(C36="","",COUNTIFS(Başvuru!$D:$D,C36,Başvuru!$L:$L,"RET",Başvuru!$F:$F,"&lt;&gt;"&amp;""))</f>
        <v>0</v>
      </c>
      <c r="O36" s="258">
        <f>IF(C36="","",COUNTIFS(Başvuru!$D:$D,C36,Başvuru!$L:$L,"KAPSAM DIŞI",Başvuru!$F:$F,"&lt;&gt;"&amp;""))</f>
        <v>0</v>
      </c>
      <c r="P36" s="259">
        <f>IF(C36="","",COUNTIFS(Başvuru!$D:$D,C36,Başvuru!$L:$L,"GERİ ÇEKİLDİ",Başvuru!$F:$F,"&lt;&gt;"&amp;""))</f>
        <v>0</v>
      </c>
      <c r="Q36" s="260" t="s">
        <v>353</v>
      </c>
      <c r="R36" s="261">
        <f>COUNTIFS(Başvuru!$D:$D,Q36,Başvuru!$F:$F,"&lt;&gt;"&amp;"")</f>
        <v>5</v>
      </c>
      <c r="S36" s="261">
        <f>RANK(R36,$R$6:$R$78,0)+COUNTIF($R$6:R36,R36)-1</f>
        <v>29</v>
      </c>
    </row>
    <row r="37" spans="2:19" ht="15" customHeight="1" x14ac:dyDescent="0.25">
      <c r="B37" s="262">
        <v>32</v>
      </c>
      <c r="C37" s="263" t="str">
        <f>IFERROR(INDEX($Q$6:$Q$78,MATCH(32,$S$6:$S$78,0)),"")</f>
        <v>Protetik Diş Tedavisi Anabilim Dalı</v>
      </c>
      <c r="D37" s="264">
        <f>IF(C37="","",COUNTIFS(Başvuru!$D:$D,C37,Başvuru!$F:$F,"&lt;&gt;"&amp;""))</f>
        <v>5</v>
      </c>
      <c r="E37" s="262" t="str">
        <f>IF(D37&gt;0,TEXT(D37/COUNTIF(Başvuru!$F:$F,"&lt;&gt;"&amp;"")*100,"0.0")&amp;"%","-")</f>
        <v>00%</v>
      </c>
      <c r="F37" s="265">
        <f>IF(C37="","",COUNTIFS(Başvuru!$D:$D,C37,Başvuru!$G:$G,"Bireysel Araştırma",Başvuru!$F:$F,"&lt;&gt;"&amp;""))</f>
        <v>2</v>
      </c>
      <c r="G37" s="265">
        <f>IF(C37="","",COUNTIFS(Başvuru!$D:$D,C37,Başvuru!$G:$G,"Uzmanlık Tezi",Başvuru!$F:$F,"&lt;&gt;"&amp;""))</f>
        <v>3</v>
      </c>
      <c r="H37" s="265">
        <f>IF(C37="","",COUNTIFS(Başvuru!$D:$D,C37,Başvuru!$G:$G,"Doktora Tezi",Başvuru!$F:$F,"&lt;&gt;"&amp;""))</f>
        <v>0</v>
      </c>
      <c r="I37" s="265">
        <f>IF(C37="","",COUNTIFS(Başvuru!$D:$D,C37,Başvuru!$G:$G,"Yüksek Lisans Tezi",Başvuru!$F:$F,"&lt;&gt;"&amp;""))</f>
        <v>0</v>
      </c>
      <c r="J37" s="266">
        <f>IF(C37="","",COUNTIFS(Başvuru!$D:$D,C37,Başvuru!$L:$L,"ONAY",Başvuru!$F:$F,"&lt;&gt;"&amp;""))</f>
        <v>3</v>
      </c>
      <c r="K37" s="267">
        <f>IF(C37="","",COUNTIFS(Başvuru!$D:$D,C37,Başvuru!$L:$L,"DÜZELTME",Başvuru!$F:$F,"&lt;&gt;"&amp;""))</f>
        <v>0</v>
      </c>
      <c r="L37" s="268">
        <f>IF(C37="","",COUNTIFS(Başvuru!$D:$D,C37,Başvuru!$L:$L,"KAEK",Başvuru!$F:$F,"&lt;&gt;"&amp;""))</f>
        <v>0</v>
      </c>
      <c r="M37" s="269">
        <f>IF(C37="","",COUNTIFS(Başvuru!$D:$D,C37,Başvuru!$L:$L,"GÖRÜŞ",Başvuru!$F:$F,"&lt;&gt;"&amp;""))</f>
        <v>2</v>
      </c>
      <c r="N37" s="270">
        <f>IF(C37="","",COUNTIFS(Başvuru!$D:$D,C37,Başvuru!$L:$L,"RET",Başvuru!$F:$F,"&lt;&gt;"&amp;""))</f>
        <v>0</v>
      </c>
      <c r="O37" s="271">
        <f>IF(C37="","",COUNTIFS(Başvuru!$D:$D,C37,Başvuru!$L:$L,"KAPSAM DIŞI",Başvuru!$F:$F,"&lt;&gt;"&amp;""))</f>
        <v>0</v>
      </c>
      <c r="P37" s="272">
        <f>IF(C37="","",COUNTIFS(Başvuru!$D:$D,C37,Başvuru!$L:$L,"GERİ ÇEKİLDİ",Başvuru!$F:$F,"&lt;&gt;"&amp;""))</f>
        <v>0</v>
      </c>
      <c r="Q37" s="260" t="s">
        <v>690</v>
      </c>
      <c r="R37" s="261">
        <f>COUNTIFS(Başvuru!$D:$D,Q37,Başvuru!$F:$F,"&lt;&gt;"&amp;"")</f>
        <v>3</v>
      </c>
      <c r="S37" s="261">
        <f>RANK(R37,$R$6:$R$78,0)+COUNTIF($R$6:R37,R37)-1</f>
        <v>36</v>
      </c>
    </row>
    <row r="38" spans="2:19" ht="15" customHeight="1" x14ac:dyDescent="0.25">
      <c r="B38" s="249">
        <v>33</v>
      </c>
      <c r="C38" s="250" t="str">
        <f>IFERROR(INDEX($Q$6:$Q$78,MATCH(33,$S$6:$S$78,0)),"")</f>
        <v>Sosyal Hizmet Anabilim Dalı</v>
      </c>
      <c r="D38" s="251">
        <f>IF(C38="","",COUNTIFS(Başvuru!$D:$D,C38,Başvuru!$F:$F,"&lt;&gt;"&amp;""))</f>
        <v>5</v>
      </c>
      <c r="E38" s="249" t="str">
        <f>IF(D38&gt;0,TEXT(D38/COUNTIF(Başvuru!$F:$F,"&lt;&gt;"&amp;"")*100,"0.0")&amp;"%","-")</f>
        <v>00%</v>
      </c>
      <c r="F38" s="252">
        <f>IF(C38="","",COUNTIFS(Başvuru!$D:$D,C38,Başvuru!$G:$G,"Bireysel Araştırma",Başvuru!$F:$F,"&lt;&gt;"&amp;""))</f>
        <v>1</v>
      </c>
      <c r="G38" s="252">
        <f>IF(C38="","",COUNTIFS(Başvuru!$D:$D,C38,Başvuru!$G:$G,"Uzmanlık Tezi",Başvuru!$F:$F,"&lt;&gt;"&amp;""))</f>
        <v>0</v>
      </c>
      <c r="H38" s="252">
        <f>IF(C38="","",COUNTIFS(Başvuru!$D:$D,C38,Başvuru!$G:$G,"Doktora Tezi",Başvuru!$F:$F,"&lt;&gt;"&amp;""))</f>
        <v>4</v>
      </c>
      <c r="I38" s="252">
        <f>IF(C38="","",COUNTIFS(Başvuru!$D:$D,C38,Başvuru!$G:$G,"Yüksek Lisans Tezi",Başvuru!$F:$F,"&lt;&gt;"&amp;""))</f>
        <v>0</v>
      </c>
      <c r="J38" s="253">
        <f>IF(C38="","",COUNTIFS(Başvuru!$D:$D,C38,Başvuru!$L:$L,"ONAY",Başvuru!$F:$F,"&lt;&gt;"&amp;""))</f>
        <v>3</v>
      </c>
      <c r="K38" s="254">
        <f>IF(C38="","",COUNTIFS(Başvuru!$D:$D,C38,Başvuru!$L:$L,"DÜZELTME",Başvuru!$F:$F,"&lt;&gt;"&amp;""))</f>
        <v>1</v>
      </c>
      <c r="L38" s="255">
        <f>IF(C38="","",COUNTIFS(Başvuru!$D:$D,C38,Başvuru!$L:$L,"KAEK",Başvuru!$F:$F,"&lt;&gt;"&amp;""))</f>
        <v>0</v>
      </c>
      <c r="M38" s="256">
        <f>IF(C38="","",COUNTIFS(Başvuru!$D:$D,C38,Başvuru!$L:$L,"GÖRÜŞ",Başvuru!$F:$F,"&lt;&gt;"&amp;""))</f>
        <v>0</v>
      </c>
      <c r="N38" s="257">
        <f>IF(C38="","",COUNTIFS(Başvuru!$D:$D,C38,Başvuru!$L:$L,"RET",Başvuru!$F:$F,"&lt;&gt;"&amp;""))</f>
        <v>0</v>
      </c>
      <c r="O38" s="258">
        <f>IF(C38="","",COUNTIFS(Başvuru!$D:$D,C38,Başvuru!$L:$L,"KAPSAM DIŞI",Başvuru!$F:$F,"&lt;&gt;"&amp;""))</f>
        <v>0</v>
      </c>
      <c r="P38" s="259">
        <f>IF(C38="","",COUNTIFS(Başvuru!$D:$D,C38,Başvuru!$L:$L,"GERİ ÇEKİLDİ",Başvuru!$F:$F,"&lt;&gt;"&amp;""))</f>
        <v>0</v>
      </c>
      <c r="Q38" s="260" t="s">
        <v>150</v>
      </c>
      <c r="R38" s="261">
        <f>COUNTIFS(Başvuru!$D:$D,Q38,Başvuru!$F:$F,"&lt;&gt;"&amp;"")</f>
        <v>5</v>
      </c>
      <c r="S38" s="261">
        <f>RANK(R38,$R$6:$R$78,0)+COUNTIF($R$6:R38,R38)-1</f>
        <v>30</v>
      </c>
    </row>
    <row r="39" spans="2:19" ht="15" customHeight="1" x14ac:dyDescent="0.25">
      <c r="B39" s="262">
        <v>34</v>
      </c>
      <c r="C39" s="263" t="str">
        <f>IFERROR(INDEX($Q$6:$Q$78,MATCH(34,$S$6:$S$78,0)),"")</f>
        <v>Enfeksiyon Hastalıkları ve Klinik Mikrobiyoloji Anabilim Dalı</v>
      </c>
      <c r="D39" s="264">
        <f>IF(C39="","",COUNTIFS(Başvuru!$D:$D,C39,Başvuru!$F:$F,"&lt;&gt;"&amp;""))</f>
        <v>3</v>
      </c>
      <c r="E39" s="262" t="str">
        <f>IF(D39&gt;0,TEXT(D39/COUNTIF(Başvuru!$F:$F,"&lt;&gt;"&amp;"")*100,"0.0")&amp;"%","-")</f>
        <v>00%</v>
      </c>
      <c r="F39" s="265">
        <f>IF(C39="","",COUNTIFS(Başvuru!$D:$D,C39,Başvuru!$G:$G,"Bireysel Araştırma",Başvuru!$F:$F,"&lt;&gt;"&amp;""))</f>
        <v>2</v>
      </c>
      <c r="G39" s="265">
        <f>IF(C39="","",COUNTIFS(Başvuru!$D:$D,C39,Başvuru!$G:$G,"Uzmanlık Tezi",Başvuru!$F:$F,"&lt;&gt;"&amp;""))</f>
        <v>1</v>
      </c>
      <c r="H39" s="265">
        <f>IF(C39="","",COUNTIFS(Başvuru!$D:$D,C39,Başvuru!$G:$G,"Doktora Tezi",Başvuru!$F:$F,"&lt;&gt;"&amp;""))</f>
        <v>0</v>
      </c>
      <c r="I39" s="265">
        <f>IF(C39="","",COUNTIFS(Başvuru!$D:$D,C39,Başvuru!$G:$G,"Yüksek Lisans Tezi",Başvuru!$F:$F,"&lt;&gt;"&amp;""))</f>
        <v>0</v>
      </c>
      <c r="J39" s="266">
        <f>IF(C39="","",COUNTIFS(Başvuru!$D:$D,C39,Başvuru!$L:$L,"ONAY",Başvuru!$F:$F,"&lt;&gt;"&amp;""))</f>
        <v>3</v>
      </c>
      <c r="K39" s="267">
        <f>IF(C39="","",COUNTIFS(Başvuru!$D:$D,C39,Başvuru!$L:$L,"DÜZELTME",Başvuru!$F:$F,"&lt;&gt;"&amp;""))</f>
        <v>0</v>
      </c>
      <c r="L39" s="268">
        <f>IF(C39="","",COUNTIFS(Başvuru!$D:$D,C39,Başvuru!$L:$L,"KAEK",Başvuru!$F:$F,"&lt;&gt;"&amp;""))</f>
        <v>0</v>
      </c>
      <c r="M39" s="269">
        <f>IF(C39="","",COUNTIFS(Başvuru!$D:$D,C39,Başvuru!$L:$L,"GÖRÜŞ",Başvuru!$F:$F,"&lt;&gt;"&amp;""))</f>
        <v>0</v>
      </c>
      <c r="N39" s="270">
        <f>IF(C39="","",COUNTIFS(Başvuru!$D:$D,C39,Başvuru!$L:$L,"RET",Başvuru!$F:$F,"&lt;&gt;"&amp;""))</f>
        <v>0</v>
      </c>
      <c r="O39" s="271">
        <f>IF(C39="","",COUNTIFS(Başvuru!$D:$D,C39,Başvuru!$L:$L,"KAPSAM DIŞI",Başvuru!$F:$F,"&lt;&gt;"&amp;""))</f>
        <v>0</v>
      </c>
      <c r="P39" s="272">
        <f>IF(C39="","",COUNTIFS(Başvuru!$D:$D,C39,Başvuru!$L:$L,"GERİ ÇEKİLDİ",Başvuru!$F:$F,"&lt;&gt;"&amp;""))</f>
        <v>0</v>
      </c>
      <c r="Q39" s="260" t="s">
        <v>241</v>
      </c>
      <c r="R39" s="261">
        <f>COUNTIFS(Başvuru!$D:$D,Q39,Başvuru!$F:$F,"&lt;&gt;"&amp;"")</f>
        <v>30</v>
      </c>
      <c r="S39" s="261">
        <f>RANK(R39,$R$6:$R$78,0)+COUNTIF($R$6:R39,R39)-1</f>
        <v>3</v>
      </c>
    </row>
    <row r="40" spans="2:19" ht="15" customHeight="1" x14ac:dyDescent="0.25">
      <c r="B40" s="249">
        <v>35</v>
      </c>
      <c r="C40" s="250" t="str">
        <f>IFERROR(INDEX($Q$6:$Q$78,MATCH(35,$S$6:$S$78,0)),"")</f>
        <v>Göğüs Cerrahisi Anabilim Dalı</v>
      </c>
      <c r="D40" s="251">
        <f>IF(C40="","",COUNTIFS(Başvuru!$D:$D,C40,Başvuru!$F:$F,"&lt;&gt;"&amp;""))</f>
        <v>3</v>
      </c>
      <c r="E40" s="249" t="str">
        <f>IF(D40&gt;0,TEXT(D40/COUNTIF(Başvuru!$F:$F,"&lt;&gt;"&amp;"")*100,"0.0")&amp;"%","-")</f>
        <v>00%</v>
      </c>
      <c r="F40" s="252">
        <f>IF(C40="","",COUNTIFS(Başvuru!$D:$D,C40,Başvuru!$G:$G,"Bireysel Araştırma",Başvuru!$F:$F,"&lt;&gt;"&amp;""))</f>
        <v>3</v>
      </c>
      <c r="G40" s="252">
        <f>IF(C40="","",COUNTIFS(Başvuru!$D:$D,C40,Başvuru!$G:$G,"Uzmanlık Tezi",Başvuru!$F:$F,"&lt;&gt;"&amp;""))</f>
        <v>0</v>
      </c>
      <c r="H40" s="252">
        <f>IF(C40="","",COUNTIFS(Başvuru!$D:$D,C40,Başvuru!$G:$G,"Doktora Tezi",Başvuru!$F:$F,"&lt;&gt;"&amp;""))</f>
        <v>0</v>
      </c>
      <c r="I40" s="252">
        <f>IF(C40="","",COUNTIFS(Başvuru!$D:$D,C40,Başvuru!$G:$G,"Yüksek Lisans Tezi",Başvuru!$F:$F,"&lt;&gt;"&amp;""))</f>
        <v>0</v>
      </c>
      <c r="J40" s="253">
        <f>IF(C40="","",COUNTIFS(Başvuru!$D:$D,C40,Başvuru!$L:$L,"ONAY",Başvuru!$F:$F,"&lt;&gt;"&amp;""))</f>
        <v>2</v>
      </c>
      <c r="K40" s="254">
        <f>IF(C40="","",COUNTIFS(Başvuru!$D:$D,C40,Başvuru!$L:$L,"DÜZELTME",Başvuru!$F:$F,"&lt;&gt;"&amp;""))</f>
        <v>1</v>
      </c>
      <c r="L40" s="255">
        <f>IF(C40="","",COUNTIFS(Başvuru!$D:$D,C40,Başvuru!$L:$L,"KAEK",Başvuru!$F:$F,"&lt;&gt;"&amp;""))</f>
        <v>0</v>
      </c>
      <c r="M40" s="256">
        <f>IF(C40="","",COUNTIFS(Başvuru!$D:$D,C40,Başvuru!$L:$L,"GÖRÜŞ",Başvuru!$F:$F,"&lt;&gt;"&amp;""))</f>
        <v>0</v>
      </c>
      <c r="N40" s="257">
        <f>IF(C40="","",COUNTIFS(Başvuru!$D:$D,C40,Başvuru!$L:$L,"RET",Başvuru!$F:$F,"&lt;&gt;"&amp;""))</f>
        <v>0</v>
      </c>
      <c r="O40" s="258">
        <f>IF(C40="","",COUNTIFS(Başvuru!$D:$D,C40,Başvuru!$L:$L,"KAPSAM DIŞI",Başvuru!$F:$F,"&lt;&gt;"&amp;""))</f>
        <v>0</v>
      </c>
      <c r="P40" s="259">
        <f>IF(C40="","",COUNTIFS(Başvuru!$D:$D,C40,Başvuru!$L:$L,"GERİ ÇEKİLDİ",Başvuru!$F:$F,"&lt;&gt;"&amp;""))</f>
        <v>0</v>
      </c>
      <c r="Q40" s="260" t="s">
        <v>248</v>
      </c>
      <c r="R40" s="261">
        <f>COUNTIFS(Başvuru!$D:$D,Q40,Başvuru!$F:$F,"&lt;&gt;"&amp;"")</f>
        <v>18</v>
      </c>
      <c r="S40" s="261">
        <f>RANK(R40,$R$6:$R$78,0)+COUNTIF($R$6:R40,R40)-1</f>
        <v>5</v>
      </c>
    </row>
    <row r="41" spans="2:19" ht="15" customHeight="1" x14ac:dyDescent="0.25">
      <c r="B41" s="262">
        <v>36</v>
      </c>
      <c r="C41" s="263" t="str">
        <f>IFERROR(INDEX($Q$6:$Q$78,MATCH(36,$S$6:$S$78,0)),"")</f>
        <v>Hareket ve Antrenman Bilimleri Anabilim Dalı</v>
      </c>
      <c r="D41" s="264">
        <f>IF(C41="","",COUNTIFS(Başvuru!$D:$D,C41,Başvuru!$F:$F,"&lt;&gt;"&amp;""))</f>
        <v>3</v>
      </c>
      <c r="E41" s="262" t="str">
        <f>IF(D41&gt;0,TEXT(D41/COUNTIF(Başvuru!$F:$F,"&lt;&gt;"&amp;"")*100,"0.0")&amp;"%","-")</f>
        <v>00%</v>
      </c>
      <c r="F41" s="265">
        <f>IF(C41="","",COUNTIFS(Başvuru!$D:$D,C41,Başvuru!$G:$G,"Bireysel Araştırma",Başvuru!$F:$F,"&lt;&gt;"&amp;""))</f>
        <v>2</v>
      </c>
      <c r="G41" s="265">
        <f>IF(C41="","",COUNTIFS(Başvuru!$D:$D,C41,Başvuru!$G:$G,"Uzmanlık Tezi",Başvuru!$F:$F,"&lt;&gt;"&amp;""))</f>
        <v>0</v>
      </c>
      <c r="H41" s="265">
        <f>IF(C41="","",COUNTIFS(Başvuru!$D:$D,C41,Başvuru!$G:$G,"Doktora Tezi",Başvuru!$F:$F,"&lt;&gt;"&amp;""))</f>
        <v>1</v>
      </c>
      <c r="I41" s="265">
        <f>IF(C41="","",COUNTIFS(Başvuru!$D:$D,C41,Başvuru!$G:$G,"Yüksek Lisans Tezi",Başvuru!$F:$F,"&lt;&gt;"&amp;""))</f>
        <v>0</v>
      </c>
      <c r="J41" s="266">
        <f>IF(C41="","",COUNTIFS(Başvuru!$D:$D,C41,Başvuru!$L:$L,"ONAY",Başvuru!$F:$F,"&lt;&gt;"&amp;""))</f>
        <v>1</v>
      </c>
      <c r="K41" s="267">
        <f>IF(C41="","",COUNTIFS(Başvuru!$D:$D,C41,Başvuru!$L:$L,"DÜZELTME",Başvuru!$F:$F,"&lt;&gt;"&amp;""))</f>
        <v>2</v>
      </c>
      <c r="L41" s="268">
        <f>IF(C41="","",COUNTIFS(Başvuru!$D:$D,C41,Başvuru!$L:$L,"KAEK",Başvuru!$F:$F,"&lt;&gt;"&amp;""))</f>
        <v>0</v>
      </c>
      <c r="M41" s="269">
        <f>IF(C41="","",COUNTIFS(Başvuru!$D:$D,C41,Başvuru!$L:$L,"GÖRÜŞ",Başvuru!$F:$F,"&lt;&gt;"&amp;""))</f>
        <v>0</v>
      </c>
      <c r="N41" s="270">
        <f>IF(C41="","",COUNTIFS(Başvuru!$D:$D,C41,Başvuru!$L:$L,"RET",Başvuru!$F:$F,"&lt;&gt;"&amp;""))</f>
        <v>0</v>
      </c>
      <c r="O41" s="271">
        <f>IF(C41="","",COUNTIFS(Başvuru!$D:$D,C41,Başvuru!$L:$L,"KAPSAM DIŞI",Başvuru!$F:$F,"&lt;&gt;"&amp;""))</f>
        <v>0</v>
      </c>
      <c r="P41" s="272">
        <f>IF(C41="","",COUNTIFS(Başvuru!$D:$D,C41,Başvuru!$L:$L,"GERİ ÇEKİLDİ",Başvuru!$F:$F,"&lt;&gt;"&amp;""))</f>
        <v>0</v>
      </c>
      <c r="Q41" s="260" t="s">
        <v>425</v>
      </c>
      <c r="R41" s="261">
        <f>COUNTIFS(Başvuru!$D:$D,Q41,Başvuru!$F:$F,"&lt;&gt;"&amp;"")</f>
        <v>14</v>
      </c>
      <c r="S41" s="261">
        <f>RANK(R41,$R$6:$R$78,0)+COUNTIF($R$6:R41,R41)-1</f>
        <v>10</v>
      </c>
    </row>
    <row r="42" spans="2:19" ht="15" customHeight="1" x14ac:dyDescent="0.25">
      <c r="B42" s="249">
        <v>37</v>
      </c>
      <c r="C42" s="250" t="str">
        <f>IFERROR(INDEX($Q$6:$Q$78,MATCH(37,$S$6:$S$78,0)),"")</f>
        <v>Spor Hekimliği Anabilim Dalı</v>
      </c>
      <c r="D42" s="251">
        <f>IF(C42="","",COUNTIFS(Başvuru!$D:$D,C42,Başvuru!$F:$F,"&lt;&gt;"&amp;""))</f>
        <v>3</v>
      </c>
      <c r="E42" s="249" t="str">
        <f>IF(D42&gt;0,TEXT(D42/COUNTIF(Başvuru!$F:$F,"&lt;&gt;"&amp;"")*100,"0.0")&amp;"%","-")</f>
        <v>00%</v>
      </c>
      <c r="F42" s="252">
        <f>IF(C42="","",COUNTIFS(Başvuru!$D:$D,C42,Başvuru!$G:$G,"Bireysel Araştırma",Başvuru!$F:$F,"&lt;&gt;"&amp;""))</f>
        <v>3</v>
      </c>
      <c r="G42" s="252">
        <f>IF(C42="","",COUNTIFS(Başvuru!$D:$D,C42,Başvuru!$G:$G,"Uzmanlık Tezi",Başvuru!$F:$F,"&lt;&gt;"&amp;""))</f>
        <v>0</v>
      </c>
      <c r="H42" s="252">
        <f>IF(C42="","",COUNTIFS(Başvuru!$D:$D,C42,Başvuru!$G:$G,"Doktora Tezi",Başvuru!$F:$F,"&lt;&gt;"&amp;""))</f>
        <v>0</v>
      </c>
      <c r="I42" s="252">
        <f>IF(C42="","",COUNTIFS(Başvuru!$D:$D,C42,Başvuru!$G:$G,"Yüksek Lisans Tezi",Başvuru!$F:$F,"&lt;&gt;"&amp;""))</f>
        <v>0</v>
      </c>
      <c r="J42" s="253">
        <f>IF(C42="","",COUNTIFS(Başvuru!$D:$D,C42,Başvuru!$L:$L,"ONAY",Başvuru!$F:$F,"&lt;&gt;"&amp;""))</f>
        <v>2</v>
      </c>
      <c r="K42" s="254">
        <f>IF(C42="","",COUNTIFS(Başvuru!$D:$D,C42,Başvuru!$L:$L,"DÜZELTME",Başvuru!$F:$F,"&lt;&gt;"&amp;""))</f>
        <v>1</v>
      </c>
      <c r="L42" s="255">
        <f>IF(C42="","",COUNTIFS(Başvuru!$D:$D,C42,Başvuru!$L:$L,"KAEK",Başvuru!$F:$F,"&lt;&gt;"&amp;""))</f>
        <v>0</v>
      </c>
      <c r="M42" s="256">
        <f>IF(C42="","",COUNTIFS(Başvuru!$D:$D,C42,Başvuru!$L:$L,"GÖRÜŞ",Başvuru!$F:$F,"&lt;&gt;"&amp;""))</f>
        <v>0</v>
      </c>
      <c r="N42" s="257">
        <f>IF(C42="","",COUNTIFS(Başvuru!$D:$D,C42,Başvuru!$L:$L,"RET",Başvuru!$F:$F,"&lt;&gt;"&amp;""))</f>
        <v>0</v>
      </c>
      <c r="O42" s="258">
        <f>IF(C42="","",COUNTIFS(Başvuru!$D:$D,C42,Başvuru!$L:$L,"KAPSAM DIŞI",Başvuru!$F:$F,"&lt;&gt;"&amp;""))</f>
        <v>0</v>
      </c>
      <c r="P42" s="259">
        <f>IF(C42="","",COUNTIFS(Başvuru!$D:$D,C42,Başvuru!$L:$L,"GERİ ÇEKİLDİ",Başvuru!$F:$F,"&lt;&gt;"&amp;""))</f>
        <v>0</v>
      </c>
      <c r="Q42" s="260" t="s">
        <v>2155</v>
      </c>
      <c r="R42" s="261">
        <f>COUNTIFS(Başvuru!$D:$D,Q42,Başvuru!$F:$F,"&lt;&gt;"&amp;"")</f>
        <v>1</v>
      </c>
      <c r="S42" s="261">
        <f>RANK(R42,$R$6:$R$78,0)+COUNTIF($R$6:R42,R42)-1</f>
        <v>64</v>
      </c>
    </row>
    <row r="43" spans="2:19" ht="15" customHeight="1" x14ac:dyDescent="0.25">
      <c r="B43" s="262">
        <v>38</v>
      </c>
      <c r="C43" s="263" t="str">
        <f>IFERROR(INDEX($Q$6:$Q$78,MATCH(38,$S$6:$S$78,0)),"")</f>
        <v>Tıbbi Biyokimya Anabilim Dalı</v>
      </c>
      <c r="D43" s="264">
        <f>IF(C43="","",COUNTIFS(Başvuru!$D:$D,C43,Başvuru!$F:$F,"&lt;&gt;"&amp;""))</f>
        <v>3</v>
      </c>
      <c r="E43" s="262" t="str">
        <f>IF(D43&gt;0,TEXT(D43/COUNTIF(Başvuru!$F:$F,"&lt;&gt;"&amp;"")*100,"0.0")&amp;"%","-")</f>
        <v>00%</v>
      </c>
      <c r="F43" s="265">
        <f>IF(C43="","",COUNTIFS(Başvuru!$D:$D,C43,Başvuru!$G:$G,"Bireysel Araştırma",Başvuru!$F:$F,"&lt;&gt;"&amp;""))</f>
        <v>1</v>
      </c>
      <c r="G43" s="265">
        <f>IF(C43="","",COUNTIFS(Başvuru!$D:$D,C43,Başvuru!$G:$G,"Uzmanlık Tezi",Başvuru!$F:$F,"&lt;&gt;"&amp;""))</f>
        <v>2</v>
      </c>
      <c r="H43" s="265">
        <f>IF(C43="","",COUNTIFS(Başvuru!$D:$D,C43,Başvuru!$G:$G,"Doktora Tezi",Başvuru!$F:$F,"&lt;&gt;"&amp;""))</f>
        <v>0</v>
      </c>
      <c r="I43" s="265">
        <f>IF(C43="","",COUNTIFS(Başvuru!$D:$D,C43,Başvuru!$G:$G,"Yüksek Lisans Tezi",Başvuru!$F:$F,"&lt;&gt;"&amp;""))</f>
        <v>0</v>
      </c>
      <c r="J43" s="266">
        <f>IF(C43="","",COUNTIFS(Başvuru!$D:$D,C43,Başvuru!$L:$L,"ONAY",Başvuru!$F:$F,"&lt;&gt;"&amp;""))</f>
        <v>0</v>
      </c>
      <c r="K43" s="267">
        <f>IF(C43="","",COUNTIFS(Başvuru!$D:$D,C43,Başvuru!$L:$L,"DÜZELTME",Başvuru!$F:$F,"&lt;&gt;"&amp;""))</f>
        <v>2</v>
      </c>
      <c r="L43" s="268">
        <f>IF(C43="","",COUNTIFS(Başvuru!$D:$D,C43,Başvuru!$L:$L,"KAEK",Başvuru!$F:$F,"&lt;&gt;"&amp;""))</f>
        <v>0</v>
      </c>
      <c r="M43" s="269">
        <f>IF(C43="","",COUNTIFS(Başvuru!$D:$D,C43,Başvuru!$L:$L,"GÖRÜŞ",Başvuru!$F:$F,"&lt;&gt;"&amp;""))</f>
        <v>0</v>
      </c>
      <c r="N43" s="270">
        <f>IF(C43="","",COUNTIFS(Başvuru!$D:$D,C43,Başvuru!$L:$L,"RET",Başvuru!$F:$F,"&lt;&gt;"&amp;""))</f>
        <v>1</v>
      </c>
      <c r="O43" s="271">
        <f>IF(C43="","",COUNTIFS(Başvuru!$D:$D,C43,Başvuru!$L:$L,"KAPSAM DIŞI",Başvuru!$F:$F,"&lt;&gt;"&amp;""))</f>
        <v>0</v>
      </c>
      <c r="P43" s="272">
        <f>IF(C43="","",COUNTIFS(Başvuru!$D:$D,C43,Başvuru!$L:$L,"GERİ ÇEKİLDİ",Başvuru!$F:$F,"&lt;&gt;"&amp;""))</f>
        <v>0</v>
      </c>
      <c r="Q43" s="260" t="s">
        <v>317</v>
      </c>
      <c r="R43" s="261">
        <f>COUNTIFS(Başvuru!$D:$D,Q43,Başvuru!$F:$F,"&lt;&gt;"&amp;"")</f>
        <v>11</v>
      </c>
      <c r="S43" s="261">
        <f>RANK(R43,$R$6:$R$78,0)+COUNTIF($R$6:R43,R43)-1</f>
        <v>14</v>
      </c>
    </row>
    <row r="44" spans="2:19" ht="15" customHeight="1" x14ac:dyDescent="0.25">
      <c r="B44" s="249">
        <v>39</v>
      </c>
      <c r="C44" s="250" t="str">
        <f>IFERROR(INDEX($Q$6:$Q$78,MATCH(39,$S$6:$S$78,0)),"")</f>
        <v>Adli Tıp Anabilim Dalı</v>
      </c>
      <c r="D44" s="251">
        <f>IF(C44="","",COUNTIFS(Başvuru!$D:$D,C44,Başvuru!$F:$F,"&lt;&gt;"&amp;""))</f>
        <v>2</v>
      </c>
      <c r="E44" s="249" t="str">
        <f>IF(D44&gt;0,TEXT(D44/COUNTIF(Başvuru!$F:$F,"&lt;&gt;"&amp;"")*100,"0.0")&amp;"%","-")</f>
        <v>00%</v>
      </c>
      <c r="F44" s="252">
        <f>IF(C44="","",COUNTIFS(Başvuru!$D:$D,C44,Başvuru!$G:$G,"Bireysel Araştırma",Başvuru!$F:$F,"&lt;&gt;"&amp;""))</f>
        <v>1</v>
      </c>
      <c r="G44" s="252">
        <f>IF(C44="","",COUNTIFS(Başvuru!$D:$D,C44,Başvuru!$G:$G,"Uzmanlık Tezi",Başvuru!$F:$F,"&lt;&gt;"&amp;""))</f>
        <v>1</v>
      </c>
      <c r="H44" s="252">
        <f>IF(C44="","",COUNTIFS(Başvuru!$D:$D,C44,Başvuru!$G:$G,"Doktora Tezi",Başvuru!$F:$F,"&lt;&gt;"&amp;""))</f>
        <v>0</v>
      </c>
      <c r="I44" s="252">
        <f>IF(C44="","",COUNTIFS(Başvuru!$D:$D,C44,Başvuru!$G:$G,"Yüksek Lisans Tezi",Başvuru!$F:$F,"&lt;&gt;"&amp;""))</f>
        <v>0</v>
      </c>
      <c r="J44" s="253">
        <f>IF(C44="","",COUNTIFS(Başvuru!$D:$D,C44,Başvuru!$L:$L,"ONAY",Başvuru!$F:$F,"&lt;&gt;"&amp;""))</f>
        <v>1</v>
      </c>
      <c r="K44" s="254">
        <f>IF(C44="","",COUNTIFS(Başvuru!$D:$D,C44,Başvuru!$L:$L,"DÜZELTME",Başvuru!$F:$F,"&lt;&gt;"&amp;""))</f>
        <v>0</v>
      </c>
      <c r="L44" s="255">
        <f>IF(C44="","",COUNTIFS(Başvuru!$D:$D,C44,Başvuru!$L:$L,"KAEK",Başvuru!$F:$F,"&lt;&gt;"&amp;""))</f>
        <v>0</v>
      </c>
      <c r="M44" s="256">
        <f>IF(C44="","",COUNTIFS(Başvuru!$D:$D,C44,Başvuru!$L:$L,"GÖRÜŞ",Başvuru!$F:$F,"&lt;&gt;"&amp;""))</f>
        <v>0</v>
      </c>
      <c r="N44" s="257">
        <f>IF(C44="","",COUNTIFS(Başvuru!$D:$D,C44,Başvuru!$L:$L,"RET",Başvuru!$F:$F,"&lt;&gt;"&amp;""))</f>
        <v>0</v>
      </c>
      <c r="O44" s="258">
        <f>IF(C44="","",COUNTIFS(Başvuru!$D:$D,C44,Başvuru!$L:$L,"KAPSAM DIŞI",Başvuru!$F:$F,"&lt;&gt;"&amp;""))</f>
        <v>0</v>
      </c>
      <c r="P44" s="259">
        <f>IF(C44="","",COUNTIFS(Başvuru!$D:$D,C44,Başvuru!$L:$L,"GERİ ÇEKİLDİ",Başvuru!$F:$F,"&lt;&gt;"&amp;""))</f>
        <v>0</v>
      </c>
      <c r="Q44" s="260" t="s">
        <v>1190</v>
      </c>
      <c r="R44" s="261">
        <f>COUNTIFS(Başvuru!$D:$D,Q44,Başvuru!$F:$F,"&lt;&gt;"&amp;"")</f>
        <v>2</v>
      </c>
      <c r="S44" s="261">
        <f>RANK(R44,$R$6:$R$78,0)+COUNTIF($R$6:R44,R44)-1</f>
        <v>47</v>
      </c>
    </row>
    <row r="45" spans="2:19" ht="15" customHeight="1" x14ac:dyDescent="0.25">
      <c r="B45" s="262">
        <v>40</v>
      </c>
      <c r="C45" s="263" t="str">
        <f>IFERROR(INDEX($Q$6:$Q$78,MATCH(40,$S$6:$S$78,0)),"")</f>
        <v>Beyin ve Sinir Cerrahisi Anabilim Dalı</v>
      </c>
      <c r="D45" s="264">
        <f>IF(C45="","",COUNTIFS(Başvuru!$D:$D,C45,Başvuru!$F:$F,"&lt;&gt;"&amp;""))</f>
        <v>2</v>
      </c>
      <c r="E45" s="262" t="str">
        <f>IF(D45&gt;0,TEXT(D45/COUNTIF(Başvuru!$F:$F,"&lt;&gt;"&amp;"")*100,"0.0")&amp;"%","-")</f>
        <v>00%</v>
      </c>
      <c r="F45" s="265">
        <f>IF(C45="","",COUNTIFS(Başvuru!$D:$D,C45,Başvuru!$G:$G,"Bireysel Araştırma",Başvuru!$F:$F,"&lt;&gt;"&amp;""))</f>
        <v>1</v>
      </c>
      <c r="G45" s="265">
        <f>IF(C45="","",COUNTIFS(Başvuru!$D:$D,C45,Başvuru!$G:$G,"Uzmanlık Tezi",Başvuru!$F:$F,"&lt;&gt;"&amp;""))</f>
        <v>0</v>
      </c>
      <c r="H45" s="265">
        <f>IF(C45="","",COUNTIFS(Başvuru!$D:$D,C45,Başvuru!$G:$G,"Doktora Tezi",Başvuru!$F:$F,"&lt;&gt;"&amp;""))</f>
        <v>0</v>
      </c>
      <c r="I45" s="265">
        <f>IF(C45="","",COUNTIFS(Başvuru!$D:$D,C45,Başvuru!$G:$G,"Yüksek Lisans Tezi",Başvuru!$F:$F,"&lt;&gt;"&amp;""))</f>
        <v>1</v>
      </c>
      <c r="J45" s="266">
        <f>IF(C45="","",COUNTIFS(Başvuru!$D:$D,C45,Başvuru!$L:$L,"ONAY",Başvuru!$F:$F,"&lt;&gt;"&amp;""))</f>
        <v>0</v>
      </c>
      <c r="K45" s="267">
        <f>IF(C45="","",COUNTIFS(Başvuru!$D:$D,C45,Başvuru!$L:$L,"DÜZELTME",Başvuru!$F:$F,"&lt;&gt;"&amp;""))</f>
        <v>0</v>
      </c>
      <c r="L45" s="268">
        <f>IF(C45="","",COUNTIFS(Başvuru!$D:$D,C45,Başvuru!$L:$L,"KAEK",Başvuru!$F:$F,"&lt;&gt;"&amp;""))</f>
        <v>0</v>
      </c>
      <c r="M45" s="269">
        <f>IF(C45="","",COUNTIFS(Başvuru!$D:$D,C45,Başvuru!$L:$L,"GÖRÜŞ",Başvuru!$F:$F,"&lt;&gt;"&amp;""))</f>
        <v>0</v>
      </c>
      <c r="N45" s="270">
        <f>IF(C45="","",COUNTIFS(Başvuru!$D:$D,C45,Başvuru!$L:$L,"RET",Başvuru!$F:$F,"&lt;&gt;"&amp;""))</f>
        <v>0</v>
      </c>
      <c r="O45" s="271">
        <f>IF(C45="","",COUNTIFS(Başvuru!$D:$D,C45,Başvuru!$L:$L,"KAPSAM DIŞI",Başvuru!$F:$F,"&lt;&gt;"&amp;""))</f>
        <v>0</v>
      </c>
      <c r="P45" s="272">
        <f>IF(C45="","",COUNTIFS(Başvuru!$D:$D,C45,Başvuru!$L:$L,"GERİ ÇEKİLDİ",Başvuru!$F:$F,"&lt;&gt;"&amp;""))</f>
        <v>0</v>
      </c>
      <c r="Q45" s="260" t="s">
        <v>88</v>
      </c>
      <c r="R45" s="261">
        <f>COUNTIFS(Başvuru!$D:$D,Q45,Başvuru!$F:$F,"&lt;&gt;"&amp;"")</f>
        <v>2</v>
      </c>
      <c r="S45" s="261">
        <f>RANK(R45,$R$6:$R$78,0)+COUNTIF($R$6:R45,R45)-1</f>
        <v>48</v>
      </c>
    </row>
    <row r="46" spans="2:19" ht="15" customHeight="1" x14ac:dyDescent="0.25">
      <c r="B46" s="249">
        <v>41</v>
      </c>
      <c r="C46" s="250" t="str">
        <f>IFERROR(INDEX($Q$6:$Q$78,MATCH(41,$S$6:$S$78,0)),"")</f>
        <v>Biyoistatistik Anabilim Dalı</v>
      </c>
      <c r="D46" s="251">
        <f>IF(C46="","",COUNTIFS(Başvuru!$D:$D,C46,Başvuru!$F:$F,"&lt;&gt;"&amp;""))</f>
        <v>2</v>
      </c>
      <c r="E46" s="249" t="str">
        <f>IF(D46&gt;0,TEXT(D46/COUNTIF(Başvuru!$F:$F,"&lt;&gt;"&amp;"")*100,"0.0")&amp;"%","-")</f>
        <v>00%</v>
      </c>
      <c r="F46" s="252">
        <f>IF(C46="","",COUNTIFS(Başvuru!$D:$D,C46,Başvuru!$G:$G,"Bireysel Araştırma",Başvuru!$F:$F,"&lt;&gt;"&amp;""))</f>
        <v>1</v>
      </c>
      <c r="G46" s="252">
        <f>IF(C46="","",COUNTIFS(Başvuru!$D:$D,C46,Başvuru!$G:$G,"Uzmanlık Tezi",Başvuru!$F:$F,"&lt;&gt;"&amp;""))</f>
        <v>0</v>
      </c>
      <c r="H46" s="252">
        <f>IF(C46="","",COUNTIFS(Başvuru!$D:$D,C46,Başvuru!$G:$G,"Doktora Tezi",Başvuru!$F:$F,"&lt;&gt;"&amp;""))</f>
        <v>1</v>
      </c>
      <c r="I46" s="252">
        <f>IF(C46="","",COUNTIFS(Başvuru!$D:$D,C46,Başvuru!$G:$G,"Yüksek Lisans Tezi",Başvuru!$F:$F,"&lt;&gt;"&amp;""))</f>
        <v>0</v>
      </c>
      <c r="J46" s="253">
        <f>IF(C46="","",COUNTIFS(Başvuru!$D:$D,C46,Başvuru!$L:$L,"ONAY",Başvuru!$F:$F,"&lt;&gt;"&amp;""))</f>
        <v>1</v>
      </c>
      <c r="K46" s="254">
        <f>IF(C46="","",COUNTIFS(Başvuru!$D:$D,C46,Başvuru!$L:$L,"DÜZELTME",Başvuru!$F:$F,"&lt;&gt;"&amp;""))</f>
        <v>0</v>
      </c>
      <c r="L46" s="255">
        <f>IF(C46="","",COUNTIFS(Başvuru!$D:$D,C46,Başvuru!$L:$L,"KAEK",Başvuru!$F:$F,"&lt;&gt;"&amp;""))</f>
        <v>0</v>
      </c>
      <c r="M46" s="256">
        <f>IF(C46="","",COUNTIFS(Başvuru!$D:$D,C46,Başvuru!$L:$L,"GÖRÜŞ",Başvuru!$F:$F,"&lt;&gt;"&amp;""))</f>
        <v>1</v>
      </c>
      <c r="N46" s="257">
        <f>IF(C46="","",COUNTIFS(Başvuru!$D:$D,C46,Başvuru!$L:$L,"RET",Başvuru!$F:$F,"&lt;&gt;"&amp;""))</f>
        <v>0</v>
      </c>
      <c r="O46" s="258">
        <f>IF(C46="","",COUNTIFS(Başvuru!$D:$D,C46,Başvuru!$L:$L,"KAPSAM DIŞI",Başvuru!$F:$F,"&lt;&gt;"&amp;""))</f>
        <v>0</v>
      </c>
      <c r="P46" s="259">
        <f>IF(C46="","",COUNTIFS(Başvuru!$D:$D,C46,Başvuru!$L:$L,"GERİ ÇEKİLDİ",Başvuru!$F:$F,"&lt;&gt;"&amp;""))</f>
        <v>0</v>
      </c>
      <c r="Q46" s="260" t="s">
        <v>71</v>
      </c>
      <c r="R46" s="261">
        <f>COUNTIFS(Başvuru!$D:$D,Q46,Başvuru!$F:$F,"&lt;&gt;"&amp;"")</f>
        <v>1</v>
      </c>
      <c r="S46" s="261">
        <f>RANK(R46,$R$6:$R$78,0)+COUNTIF($R$6:R46,R46)-1</f>
        <v>65</v>
      </c>
    </row>
    <row r="47" spans="2:19" ht="15" customHeight="1" x14ac:dyDescent="0.25">
      <c r="B47" s="262">
        <v>42</v>
      </c>
      <c r="C47" s="263" t="str">
        <f>IFERROR(INDEX($Q$6:$Q$78,MATCH(42,$S$6:$S$78,0)),"")</f>
        <v>Farmasötik Mikrobiyoloji Anabilim Dalı</v>
      </c>
      <c r="D47" s="264">
        <f>IF(C47="","",COUNTIFS(Başvuru!$D:$D,C47,Başvuru!$F:$F,"&lt;&gt;"&amp;""))</f>
        <v>2</v>
      </c>
      <c r="E47" s="262" t="str">
        <f>IF(D47&gt;0,TEXT(D47/COUNTIF(Başvuru!$F:$F,"&lt;&gt;"&amp;"")*100,"0.0")&amp;"%","-")</f>
        <v>00%</v>
      </c>
      <c r="F47" s="265">
        <f>IF(C47="","",COUNTIFS(Başvuru!$D:$D,C47,Başvuru!$G:$G,"Bireysel Araştırma",Başvuru!$F:$F,"&lt;&gt;"&amp;""))</f>
        <v>1</v>
      </c>
      <c r="G47" s="265">
        <f>IF(C47="","",COUNTIFS(Başvuru!$D:$D,C47,Başvuru!$G:$G,"Uzmanlık Tezi",Başvuru!$F:$F,"&lt;&gt;"&amp;""))</f>
        <v>0</v>
      </c>
      <c r="H47" s="265">
        <f>IF(C47="","",COUNTIFS(Başvuru!$D:$D,C47,Başvuru!$G:$G,"Doktora Tezi",Başvuru!$F:$F,"&lt;&gt;"&amp;""))</f>
        <v>1</v>
      </c>
      <c r="I47" s="265">
        <f>IF(C47="","",COUNTIFS(Başvuru!$D:$D,C47,Başvuru!$G:$G,"Yüksek Lisans Tezi",Başvuru!$F:$F,"&lt;&gt;"&amp;""))</f>
        <v>0</v>
      </c>
      <c r="J47" s="266">
        <f>IF(C47="","",COUNTIFS(Başvuru!$D:$D,C47,Başvuru!$L:$L,"ONAY",Başvuru!$F:$F,"&lt;&gt;"&amp;""))</f>
        <v>0</v>
      </c>
      <c r="K47" s="267">
        <f>IF(C47="","",COUNTIFS(Başvuru!$D:$D,C47,Başvuru!$L:$L,"DÜZELTME",Başvuru!$F:$F,"&lt;&gt;"&amp;""))</f>
        <v>2</v>
      </c>
      <c r="L47" s="268">
        <f>IF(C47="","",COUNTIFS(Başvuru!$D:$D,C47,Başvuru!$L:$L,"KAEK",Başvuru!$F:$F,"&lt;&gt;"&amp;""))</f>
        <v>0</v>
      </c>
      <c r="M47" s="269">
        <f>IF(C47="","",COUNTIFS(Başvuru!$D:$D,C47,Başvuru!$L:$L,"GÖRÜŞ",Başvuru!$F:$F,"&lt;&gt;"&amp;""))</f>
        <v>0</v>
      </c>
      <c r="N47" s="270">
        <f>IF(C47="","",COUNTIFS(Başvuru!$D:$D,C47,Başvuru!$L:$L,"RET",Başvuru!$F:$F,"&lt;&gt;"&amp;""))</f>
        <v>0</v>
      </c>
      <c r="O47" s="271">
        <f>IF(C47="","",COUNTIFS(Başvuru!$D:$D,C47,Başvuru!$L:$L,"KAPSAM DIŞI",Başvuru!$F:$F,"&lt;&gt;"&amp;""))</f>
        <v>0</v>
      </c>
      <c r="P47" s="272">
        <f>IF(C47="","",COUNTIFS(Başvuru!$D:$D,C47,Başvuru!$L:$L,"GERİ ÇEKİLDİ",Başvuru!$F:$F,"&lt;&gt;"&amp;""))</f>
        <v>0</v>
      </c>
      <c r="Q47" s="260" t="s">
        <v>392</v>
      </c>
      <c r="R47" s="261">
        <f>COUNTIFS(Başvuru!$D:$D,Q47,Başvuru!$F:$F,"&lt;&gt;"&amp;"")</f>
        <v>20</v>
      </c>
      <c r="S47" s="261">
        <f>RANK(R47,$R$6:$R$78,0)+COUNTIF($R$6:R47,R47)-1</f>
        <v>4</v>
      </c>
    </row>
    <row r="48" spans="2:19" ht="15" customHeight="1" x14ac:dyDescent="0.25">
      <c r="B48" s="249">
        <v>43</v>
      </c>
      <c r="C48" s="250" t="str">
        <f>IFERROR(INDEX($Q$6:$Q$78,MATCH(43,$S$6:$S$78,0)),"")</f>
        <v>Farmasötik Toksikoloji Anabilim Dalı</v>
      </c>
      <c r="D48" s="251">
        <f>IF(C48="","",COUNTIFS(Başvuru!$D:$D,C48,Başvuru!$F:$F,"&lt;&gt;"&amp;""))</f>
        <v>2</v>
      </c>
      <c r="E48" s="249" t="str">
        <f>IF(D48&gt;0,TEXT(D48/COUNTIF(Başvuru!$F:$F,"&lt;&gt;"&amp;"")*100,"0.0")&amp;"%","-")</f>
        <v>00%</v>
      </c>
      <c r="F48" s="252">
        <f>IF(C48="","",COUNTIFS(Başvuru!$D:$D,C48,Başvuru!$G:$G,"Bireysel Araştırma",Başvuru!$F:$F,"&lt;&gt;"&amp;""))</f>
        <v>1</v>
      </c>
      <c r="G48" s="252">
        <f>IF(C48="","",COUNTIFS(Başvuru!$D:$D,C48,Başvuru!$G:$G,"Uzmanlık Tezi",Başvuru!$F:$F,"&lt;&gt;"&amp;""))</f>
        <v>0</v>
      </c>
      <c r="H48" s="252">
        <f>IF(C48="","",COUNTIFS(Başvuru!$D:$D,C48,Başvuru!$G:$G,"Doktora Tezi",Başvuru!$F:$F,"&lt;&gt;"&amp;""))</f>
        <v>1</v>
      </c>
      <c r="I48" s="252">
        <f>IF(C48="","",COUNTIFS(Başvuru!$D:$D,C48,Başvuru!$G:$G,"Yüksek Lisans Tezi",Başvuru!$F:$F,"&lt;&gt;"&amp;""))</f>
        <v>0</v>
      </c>
      <c r="J48" s="253">
        <f>IF(C48="","",COUNTIFS(Başvuru!$D:$D,C48,Başvuru!$L:$L,"ONAY",Başvuru!$F:$F,"&lt;&gt;"&amp;""))</f>
        <v>0</v>
      </c>
      <c r="K48" s="254">
        <f>IF(C48="","",COUNTIFS(Başvuru!$D:$D,C48,Başvuru!$L:$L,"DÜZELTME",Başvuru!$F:$F,"&lt;&gt;"&amp;""))</f>
        <v>1</v>
      </c>
      <c r="L48" s="255">
        <f>IF(C48="","",COUNTIFS(Başvuru!$D:$D,C48,Başvuru!$L:$L,"KAEK",Başvuru!$F:$F,"&lt;&gt;"&amp;""))</f>
        <v>0</v>
      </c>
      <c r="M48" s="256">
        <f>IF(C48="","",COUNTIFS(Başvuru!$D:$D,C48,Başvuru!$L:$L,"GÖRÜŞ",Başvuru!$F:$F,"&lt;&gt;"&amp;""))</f>
        <v>0</v>
      </c>
      <c r="N48" s="257">
        <f>IF(C48="","",COUNTIFS(Başvuru!$D:$D,C48,Başvuru!$L:$L,"RET",Başvuru!$F:$F,"&lt;&gt;"&amp;""))</f>
        <v>0</v>
      </c>
      <c r="O48" s="258">
        <f>IF(C48="","",COUNTIFS(Başvuru!$D:$D,C48,Başvuru!$L:$L,"KAPSAM DIŞI",Başvuru!$F:$F,"&lt;&gt;"&amp;""))</f>
        <v>0</v>
      </c>
      <c r="P48" s="259">
        <f>IF(C48="","",COUNTIFS(Başvuru!$D:$D,C48,Başvuru!$L:$L,"GERİ ÇEKİLDİ",Başvuru!$F:$F,"&lt;&gt;"&amp;""))</f>
        <v>0</v>
      </c>
      <c r="Q48" s="260" t="s">
        <v>304</v>
      </c>
      <c r="R48" s="261">
        <f>COUNTIFS(Başvuru!$D:$D,Q48,Başvuru!$F:$F,"&lt;&gt;"&amp;"")</f>
        <v>6</v>
      </c>
      <c r="S48" s="261">
        <f>RANK(R48,$R$6:$R$78,0)+COUNTIF($R$6:R48,R48)-1</f>
        <v>26</v>
      </c>
    </row>
    <row r="49" spans="2:19" ht="15" customHeight="1" x14ac:dyDescent="0.25">
      <c r="B49" s="262">
        <v>44</v>
      </c>
      <c r="C49" s="263" t="str">
        <f>IFERROR(INDEX($Q$6:$Q$78,MATCH(44,$S$6:$S$78,0)),"")</f>
        <v>Fizyoloji Anabilim Dalı</v>
      </c>
      <c r="D49" s="264">
        <f>IF(C49="","",COUNTIFS(Başvuru!$D:$D,C49,Başvuru!$F:$F,"&lt;&gt;"&amp;""))</f>
        <v>2</v>
      </c>
      <c r="E49" s="262" t="str">
        <f>IF(D49&gt;0,TEXT(D49/COUNTIF(Başvuru!$F:$F,"&lt;&gt;"&amp;"")*100,"0.0")&amp;"%","-")</f>
        <v>00%</v>
      </c>
      <c r="F49" s="265">
        <f>IF(C49="","",COUNTIFS(Başvuru!$D:$D,C49,Başvuru!$G:$G,"Bireysel Araştırma",Başvuru!$F:$F,"&lt;&gt;"&amp;""))</f>
        <v>2</v>
      </c>
      <c r="G49" s="265">
        <f>IF(C49="","",COUNTIFS(Başvuru!$D:$D,C49,Başvuru!$G:$G,"Uzmanlık Tezi",Başvuru!$F:$F,"&lt;&gt;"&amp;""))</f>
        <v>0</v>
      </c>
      <c r="H49" s="265">
        <f>IF(C49="","",COUNTIFS(Başvuru!$D:$D,C49,Başvuru!$G:$G,"Doktora Tezi",Başvuru!$F:$F,"&lt;&gt;"&amp;""))</f>
        <v>0</v>
      </c>
      <c r="I49" s="265">
        <f>IF(C49="","",COUNTIFS(Başvuru!$D:$D,C49,Başvuru!$G:$G,"Yüksek Lisans Tezi",Başvuru!$F:$F,"&lt;&gt;"&amp;""))</f>
        <v>0</v>
      </c>
      <c r="J49" s="266">
        <f>IF(C49="","",COUNTIFS(Başvuru!$D:$D,C49,Başvuru!$L:$L,"ONAY",Başvuru!$F:$F,"&lt;&gt;"&amp;""))</f>
        <v>0</v>
      </c>
      <c r="K49" s="267">
        <f>IF(C49="","",COUNTIFS(Başvuru!$D:$D,C49,Başvuru!$L:$L,"DÜZELTME",Başvuru!$F:$F,"&lt;&gt;"&amp;""))</f>
        <v>1</v>
      </c>
      <c r="L49" s="268">
        <f>IF(C49="","",COUNTIFS(Başvuru!$D:$D,C49,Başvuru!$L:$L,"KAEK",Başvuru!$F:$F,"&lt;&gt;"&amp;""))</f>
        <v>0</v>
      </c>
      <c r="M49" s="269">
        <f>IF(C49="","",COUNTIFS(Başvuru!$D:$D,C49,Başvuru!$L:$L,"GÖRÜŞ",Başvuru!$F:$F,"&lt;&gt;"&amp;""))</f>
        <v>0</v>
      </c>
      <c r="N49" s="270">
        <f>IF(C49="","",COUNTIFS(Başvuru!$D:$D,C49,Başvuru!$L:$L,"RET",Başvuru!$F:$F,"&lt;&gt;"&amp;""))</f>
        <v>0</v>
      </c>
      <c r="O49" s="271">
        <f>IF(C49="","",COUNTIFS(Başvuru!$D:$D,C49,Başvuru!$L:$L,"KAPSAM DIŞI",Başvuru!$F:$F,"&lt;&gt;"&amp;""))</f>
        <v>0</v>
      </c>
      <c r="P49" s="272">
        <f>IF(C49="","",COUNTIFS(Başvuru!$D:$D,C49,Başvuru!$L:$L,"GERİ ÇEKİLDİ",Başvuru!$F:$F,"&lt;&gt;"&amp;""))</f>
        <v>0</v>
      </c>
      <c r="Q49" s="260" t="s">
        <v>324</v>
      </c>
      <c r="R49" s="261">
        <f>COUNTIFS(Başvuru!$D:$D,Q49,Başvuru!$F:$F,"&lt;&gt;"&amp;"")</f>
        <v>9</v>
      </c>
      <c r="S49" s="261">
        <f>RANK(R49,$R$6:$R$78,0)+COUNTIF($R$6:R49,R49)-1</f>
        <v>18</v>
      </c>
    </row>
    <row r="50" spans="2:19" ht="15" customHeight="1" x14ac:dyDescent="0.25">
      <c r="B50" s="249">
        <v>45</v>
      </c>
      <c r="C50" s="250" t="str">
        <f>IFERROR(INDEX($Q$6:$Q$78,MATCH(45,$S$6:$S$78,0)),"")</f>
        <v>Gülhane Sağlık Bilimleri Üniversitesi
Hemşirelik Fakültesi
Doğum ve Kadın Hastalıkları Hemşireliği Anabilim Dalı</v>
      </c>
      <c r="D50" s="251">
        <f>IF(C50="","",COUNTIFS(Başvuru!$D:$D,C50,Başvuru!$F:$F,"&lt;&gt;"&amp;""))</f>
        <v>2</v>
      </c>
      <c r="E50" s="249" t="str">
        <f>IF(D50&gt;0,TEXT(D50/COUNTIF(Başvuru!$F:$F,"&lt;&gt;"&amp;"")*100,"0.0")&amp;"%","-")</f>
        <v>00%</v>
      </c>
      <c r="F50" s="252">
        <f>IF(C50="","",COUNTIFS(Başvuru!$D:$D,C50,Başvuru!$G:$G,"Bireysel Araştırma",Başvuru!$F:$F,"&lt;&gt;"&amp;""))</f>
        <v>2</v>
      </c>
      <c r="G50" s="252">
        <f>IF(C50="","",COUNTIFS(Başvuru!$D:$D,C50,Başvuru!$G:$G,"Uzmanlık Tezi",Başvuru!$F:$F,"&lt;&gt;"&amp;""))</f>
        <v>0</v>
      </c>
      <c r="H50" s="252">
        <f>IF(C50="","",COUNTIFS(Başvuru!$D:$D,C50,Başvuru!$G:$G,"Doktora Tezi",Başvuru!$F:$F,"&lt;&gt;"&amp;""))</f>
        <v>0</v>
      </c>
      <c r="I50" s="252">
        <f>IF(C50="","",COUNTIFS(Başvuru!$D:$D,C50,Başvuru!$G:$G,"Yüksek Lisans Tezi",Başvuru!$F:$F,"&lt;&gt;"&amp;""))</f>
        <v>0</v>
      </c>
      <c r="J50" s="253">
        <f>IF(C50="","",COUNTIFS(Başvuru!$D:$D,C50,Başvuru!$L:$L,"ONAY",Başvuru!$F:$F,"&lt;&gt;"&amp;""))</f>
        <v>1</v>
      </c>
      <c r="K50" s="254">
        <f>IF(C50="","",COUNTIFS(Başvuru!$D:$D,C50,Başvuru!$L:$L,"DÜZELTME",Başvuru!$F:$F,"&lt;&gt;"&amp;""))</f>
        <v>1</v>
      </c>
      <c r="L50" s="255">
        <f>IF(C50="","",COUNTIFS(Başvuru!$D:$D,C50,Başvuru!$L:$L,"KAEK",Başvuru!$F:$F,"&lt;&gt;"&amp;""))</f>
        <v>0</v>
      </c>
      <c r="M50" s="256">
        <f>IF(C50="","",COUNTIFS(Başvuru!$D:$D,C50,Başvuru!$L:$L,"GÖRÜŞ",Başvuru!$F:$F,"&lt;&gt;"&amp;""))</f>
        <v>0</v>
      </c>
      <c r="N50" s="257">
        <f>IF(C50="","",COUNTIFS(Başvuru!$D:$D,C50,Başvuru!$L:$L,"RET",Başvuru!$F:$F,"&lt;&gt;"&amp;""))</f>
        <v>0</v>
      </c>
      <c r="O50" s="258">
        <f>IF(C50="","",COUNTIFS(Başvuru!$D:$D,C50,Başvuru!$L:$L,"KAPSAM DIŞI",Başvuru!$F:$F,"&lt;&gt;"&amp;""))</f>
        <v>0</v>
      </c>
      <c r="P50" s="259">
        <f>IF(C50="","",COUNTIFS(Başvuru!$D:$D,C50,Başvuru!$L:$L,"GERİ ÇEKİLDİ",Başvuru!$F:$F,"&lt;&gt;"&amp;""))</f>
        <v>0</v>
      </c>
      <c r="Q50" s="260" t="s">
        <v>419</v>
      </c>
      <c r="R50" s="261">
        <f>COUNTIFS(Başvuru!$D:$D,Q50,Başvuru!$F:$F,"&lt;&gt;"&amp;"")</f>
        <v>16</v>
      </c>
      <c r="S50" s="261">
        <f>RANK(R50,$R$6:$R$78,0)+COUNTIF($R$6:R50,R50)-1</f>
        <v>7</v>
      </c>
    </row>
    <row r="51" spans="2:19" ht="15" customHeight="1" x14ac:dyDescent="0.25">
      <c r="B51" s="262">
        <v>46</v>
      </c>
      <c r="C51" s="263" t="str">
        <f>IFERROR(INDEX($Q$6:$Q$78,MATCH(46,$S$6:$S$78,0)),"")</f>
        <v>Gıda Bilimleri Anabilim Dalı</v>
      </c>
      <c r="D51" s="264">
        <f>IF(C51="","",COUNTIFS(Başvuru!$D:$D,C51,Başvuru!$F:$F,"&lt;&gt;"&amp;""))</f>
        <v>2</v>
      </c>
      <c r="E51" s="262" t="str">
        <f>IF(D51&gt;0,TEXT(D51/COUNTIF(Başvuru!$F:$F,"&lt;&gt;"&amp;"")*100,"0.0")&amp;"%","-")</f>
        <v>00%</v>
      </c>
      <c r="F51" s="265">
        <f>IF(C51="","",COUNTIFS(Başvuru!$D:$D,C51,Başvuru!$G:$G,"Bireysel Araştırma",Başvuru!$F:$F,"&lt;&gt;"&amp;""))</f>
        <v>1</v>
      </c>
      <c r="G51" s="265">
        <f>IF(C51="","",COUNTIFS(Başvuru!$D:$D,C51,Başvuru!$G:$G,"Uzmanlık Tezi",Başvuru!$F:$F,"&lt;&gt;"&amp;""))</f>
        <v>0</v>
      </c>
      <c r="H51" s="265">
        <f>IF(C51="","",COUNTIFS(Başvuru!$D:$D,C51,Başvuru!$G:$G,"Doktora Tezi",Başvuru!$F:$F,"&lt;&gt;"&amp;""))</f>
        <v>0</v>
      </c>
      <c r="I51" s="265">
        <f>IF(C51="","",COUNTIFS(Başvuru!$D:$D,C51,Başvuru!$G:$G,"Yüksek Lisans Tezi",Başvuru!$F:$F,"&lt;&gt;"&amp;""))</f>
        <v>1</v>
      </c>
      <c r="J51" s="266">
        <f>IF(C51="","",COUNTIFS(Başvuru!$D:$D,C51,Başvuru!$L:$L,"ONAY",Başvuru!$F:$F,"&lt;&gt;"&amp;""))</f>
        <v>1</v>
      </c>
      <c r="K51" s="267">
        <f>IF(C51="","",COUNTIFS(Başvuru!$D:$D,C51,Başvuru!$L:$L,"DÜZELTME",Başvuru!$F:$F,"&lt;&gt;"&amp;""))</f>
        <v>1</v>
      </c>
      <c r="L51" s="268">
        <f>IF(C51="","",COUNTIFS(Başvuru!$D:$D,C51,Başvuru!$L:$L,"KAEK",Başvuru!$F:$F,"&lt;&gt;"&amp;""))</f>
        <v>0</v>
      </c>
      <c r="M51" s="269">
        <f>IF(C51="","",COUNTIFS(Başvuru!$D:$D,C51,Başvuru!$L:$L,"GÖRÜŞ",Başvuru!$F:$F,"&lt;&gt;"&amp;""))</f>
        <v>0</v>
      </c>
      <c r="N51" s="270">
        <f>IF(C51="","",COUNTIFS(Başvuru!$D:$D,C51,Başvuru!$L:$L,"RET",Başvuru!$F:$F,"&lt;&gt;"&amp;""))</f>
        <v>0</v>
      </c>
      <c r="O51" s="271">
        <f>IF(C51="","",COUNTIFS(Başvuru!$D:$D,C51,Başvuru!$L:$L,"KAPSAM DIŞI",Başvuru!$F:$F,"&lt;&gt;"&amp;""))</f>
        <v>0</v>
      </c>
      <c r="P51" s="272">
        <f>IF(C51="","",COUNTIFS(Başvuru!$D:$D,C51,Başvuru!$L:$L,"GERİ ÇEKİLDİ",Başvuru!$F:$F,"&lt;&gt;"&amp;""))</f>
        <v>0</v>
      </c>
      <c r="Q51" s="260" t="s">
        <v>726</v>
      </c>
      <c r="R51" s="261">
        <f>COUNTIFS(Başvuru!$D:$D,Q51,Başvuru!$F:$F,"&lt;&gt;"&amp;"")</f>
        <v>2</v>
      </c>
      <c r="S51" s="261">
        <f>RANK(R51,$R$6:$R$78,0)+COUNTIF($R$6:R51,R51)-1</f>
        <v>49</v>
      </c>
    </row>
    <row r="52" spans="2:19" ht="15" customHeight="1" x14ac:dyDescent="0.25">
      <c r="B52" s="249">
        <v>47</v>
      </c>
      <c r="C52" s="250" t="str">
        <f>IFERROR(INDEX($Q$6:$Q$78,MATCH(47,$S$6:$S$78,0)),"")</f>
        <v>Kök Hücre Bilimleri Anabilim Dalı</v>
      </c>
      <c r="D52" s="251">
        <f>IF(C52="","",COUNTIFS(Başvuru!$D:$D,C52,Başvuru!$F:$F,"&lt;&gt;"&amp;""))</f>
        <v>2</v>
      </c>
      <c r="E52" s="249" t="str">
        <f>IF(D52&gt;0,TEXT(D52/COUNTIF(Başvuru!$F:$F,"&lt;&gt;"&amp;"")*100,"0.0")&amp;"%","-")</f>
        <v>00%</v>
      </c>
      <c r="F52" s="252">
        <f>IF(C52="","",COUNTIFS(Başvuru!$D:$D,C52,Başvuru!$G:$G,"Bireysel Araştırma",Başvuru!$F:$F,"&lt;&gt;"&amp;""))</f>
        <v>2</v>
      </c>
      <c r="G52" s="252">
        <f>IF(C52="","",COUNTIFS(Başvuru!$D:$D,C52,Başvuru!$G:$G,"Uzmanlık Tezi",Başvuru!$F:$F,"&lt;&gt;"&amp;""))</f>
        <v>0</v>
      </c>
      <c r="H52" s="252">
        <f>IF(C52="","",COUNTIFS(Başvuru!$D:$D,C52,Başvuru!$G:$G,"Doktora Tezi",Başvuru!$F:$F,"&lt;&gt;"&amp;""))</f>
        <v>0</v>
      </c>
      <c r="I52" s="252">
        <f>IF(C52="","",COUNTIFS(Başvuru!$D:$D,C52,Başvuru!$G:$G,"Yüksek Lisans Tezi",Başvuru!$F:$F,"&lt;&gt;"&amp;""))</f>
        <v>0</v>
      </c>
      <c r="J52" s="253">
        <f>IF(C52="","",COUNTIFS(Başvuru!$D:$D,C52,Başvuru!$L:$L,"ONAY",Başvuru!$F:$F,"&lt;&gt;"&amp;""))</f>
        <v>2</v>
      </c>
      <c r="K52" s="254">
        <f>IF(C52="","",COUNTIFS(Başvuru!$D:$D,C52,Başvuru!$L:$L,"DÜZELTME",Başvuru!$F:$F,"&lt;&gt;"&amp;""))</f>
        <v>0</v>
      </c>
      <c r="L52" s="255">
        <f>IF(C52="","",COUNTIFS(Başvuru!$D:$D,C52,Başvuru!$L:$L,"KAEK",Başvuru!$F:$F,"&lt;&gt;"&amp;""))</f>
        <v>0</v>
      </c>
      <c r="M52" s="256">
        <f>IF(C52="","",COUNTIFS(Başvuru!$D:$D,C52,Başvuru!$L:$L,"GÖRÜŞ",Başvuru!$F:$F,"&lt;&gt;"&amp;""))</f>
        <v>0</v>
      </c>
      <c r="N52" s="257">
        <f>IF(C52="","",COUNTIFS(Başvuru!$D:$D,C52,Başvuru!$L:$L,"RET",Başvuru!$F:$F,"&lt;&gt;"&amp;""))</f>
        <v>0</v>
      </c>
      <c r="O52" s="258">
        <f>IF(C52="","",COUNTIFS(Başvuru!$D:$D,C52,Başvuru!$L:$L,"KAPSAM DIŞI",Başvuru!$F:$F,"&lt;&gt;"&amp;""))</f>
        <v>0</v>
      </c>
      <c r="P52" s="259">
        <f>IF(C52="","",COUNTIFS(Başvuru!$D:$D,C52,Başvuru!$L:$L,"GERİ ÇEKİLDİ",Başvuru!$F:$F,"&lt;&gt;"&amp;""))</f>
        <v>0</v>
      </c>
      <c r="Q52" s="260" t="s">
        <v>1623</v>
      </c>
      <c r="R52" s="261">
        <f>COUNTIFS(Başvuru!$D:$D,Q52,Başvuru!$F:$F,"&lt;&gt;"&amp;"")</f>
        <v>2</v>
      </c>
      <c r="S52" s="261">
        <f>RANK(R52,$R$6:$R$78,0)+COUNTIF($R$6:R52,R52)-1</f>
        <v>50</v>
      </c>
    </row>
    <row r="53" spans="2:19" ht="15" customHeight="1" x14ac:dyDescent="0.25">
      <c r="B53" s="262">
        <v>48</v>
      </c>
      <c r="C53" s="263" t="str">
        <f>IFERROR(INDEX($Q$6:$Q$78,MATCH(48,$S$6:$S$78,0)),"")</f>
        <v>Lokman Hekim Üniversitesi
Sağlık Hizmetleri Meslek Yüksekokulu</v>
      </c>
      <c r="D53" s="264">
        <f>IF(C53="","",COUNTIFS(Başvuru!$D:$D,C53,Başvuru!$F:$F,"&lt;&gt;"&amp;""))</f>
        <v>2</v>
      </c>
      <c r="E53" s="262" t="str">
        <f>IF(D53&gt;0,TEXT(D53/COUNTIF(Başvuru!$F:$F,"&lt;&gt;"&amp;"")*100,"0.0")&amp;"%","-")</f>
        <v>00%</v>
      </c>
      <c r="F53" s="265">
        <f>IF(C53="","",COUNTIFS(Başvuru!$D:$D,C53,Başvuru!$G:$G,"Bireysel Araştırma",Başvuru!$F:$F,"&lt;&gt;"&amp;""))</f>
        <v>0</v>
      </c>
      <c r="G53" s="265">
        <f>IF(C53="","",COUNTIFS(Başvuru!$D:$D,C53,Başvuru!$G:$G,"Uzmanlık Tezi",Başvuru!$F:$F,"&lt;&gt;"&amp;""))</f>
        <v>0</v>
      </c>
      <c r="H53" s="265">
        <f>IF(C53="","",COUNTIFS(Başvuru!$D:$D,C53,Başvuru!$G:$G,"Doktora Tezi",Başvuru!$F:$F,"&lt;&gt;"&amp;""))</f>
        <v>1</v>
      </c>
      <c r="I53" s="265">
        <f>IF(C53="","",COUNTIFS(Başvuru!$D:$D,C53,Başvuru!$G:$G,"Yüksek Lisans Tezi",Başvuru!$F:$F,"&lt;&gt;"&amp;""))</f>
        <v>1</v>
      </c>
      <c r="J53" s="266">
        <f>IF(C53="","",COUNTIFS(Başvuru!$D:$D,C53,Başvuru!$L:$L,"ONAY",Başvuru!$F:$F,"&lt;&gt;"&amp;""))</f>
        <v>0</v>
      </c>
      <c r="K53" s="267">
        <f>IF(C53="","",COUNTIFS(Başvuru!$D:$D,C53,Başvuru!$L:$L,"DÜZELTME",Başvuru!$F:$F,"&lt;&gt;"&amp;""))</f>
        <v>1</v>
      </c>
      <c r="L53" s="268">
        <f>IF(C53="","",COUNTIFS(Başvuru!$D:$D,C53,Başvuru!$L:$L,"KAEK",Başvuru!$F:$F,"&lt;&gt;"&amp;""))</f>
        <v>0</v>
      </c>
      <c r="M53" s="269">
        <f>IF(C53="","",COUNTIFS(Başvuru!$D:$D,C53,Başvuru!$L:$L,"GÖRÜŞ",Başvuru!$F:$F,"&lt;&gt;"&amp;""))</f>
        <v>0</v>
      </c>
      <c r="N53" s="270">
        <f>IF(C53="","",COUNTIFS(Başvuru!$D:$D,C53,Başvuru!$L:$L,"RET",Başvuru!$F:$F,"&lt;&gt;"&amp;""))</f>
        <v>1</v>
      </c>
      <c r="O53" s="271">
        <f>IF(C53="","",COUNTIFS(Başvuru!$D:$D,C53,Başvuru!$L:$L,"KAPSAM DIŞI",Başvuru!$F:$F,"&lt;&gt;"&amp;""))</f>
        <v>0</v>
      </c>
      <c r="P53" s="272">
        <f>IF(C53="","",COUNTIFS(Başvuru!$D:$D,C53,Başvuru!$L:$L,"GERİ ÇEKİLDİ",Başvuru!$F:$F,"&lt;&gt;"&amp;""))</f>
        <v>0</v>
      </c>
      <c r="Q53" s="260" t="s">
        <v>567</v>
      </c>
      <c r="R53" s="261">
        <f>COUNTIFS(Başvuru!$D:$D,Q53,Başvuru!$F:$F,"&lt;&gt;"&amp;"")</f>
        <v>7</v>
      </c>
      <c r="S53" s="261">
        <f>RANK(R53,$R$6:$R$78,0)+COUNTIF($R$6:R53,R53)-1</f>
        <v>20</v>
      </c>
    </row>
    <row r="54" spans="2:19" ht="15" customHeight="1" x14ac:dyDescent="0.25">
      <c r="B54" s="249">
        <v>49</v>
      </c>
      <c r="C54" s="250" t="str">
        <f>IFERROR(INDEX($Q$6:$Q$78,MATCH(49,$S$6:$S$78,0)),"")</f>
        <v>Pediatrik Temel Bilimler Anabilim Dalı</v>
      </c>
      <c r="D54" s="251">
        <f>IF(C54="","",COUNTIFS(Başvuru!$D:$D,C54,Başvuru!$F:$F,"&lt;&gt;"&amp;""))</f>
        <v>2</v>
      </c>
      <c r="E54" s="249" t="str">
        <f>IF(D54&gt;0,TEXT(D54/COUNTIF(Başvuru!$F:$F,"&lt;&gt;"&amp;"")*100,"0.0")&amp;"%","-")</f>
        <v>00%</v>
      </c>
      <c r="F54" s="252">
        <f>IF(C54="","",COUNTIFS(Başvuru!$D:$D,C54,Başvuru!$G:$G,"Bireysel Araştırma",Başvuru!$F:$F,"&lt;&gt;"&amp;""))</f>
        <v>1</v>
      </c>
      <c r="G54" s="252">
        <f>IF(C54="","",COUNTIFS(Başvuru!$D:$D,C54,Başvuru!$G:$G,"Uzmanlık Tezi",Başvuru!$F:$F,"&lt;&gt;"&amp;""))</f>
        <v>0</v>
      </c>
      <c r="H54" s="252">
        <f>IF(C54="","",COUNTIFS(Başvuru!$D:$D,C54,Başvuru!$G:$G,"Doktora Tezi",Başvuru!$F:$F,"&lt;&gt;"&amp;""))</f>
        <v>0</v>
      </c>
      <c r="I54" s="252">
        <f>IF(C54="","",COUNTIFS(Başvuru!$D:$D,C54,Başvuru!$G:$G,"Yüksek Lisans Tezi",Başvuru!$F:$F,"&lt;&gt;"&amp;""))</f>
        <v>1</v>
      </c>
      <c r="J54" s="253">
        <f>IF(C54="","",COUNTIFS(Başvuru!$D:$D,C54,Başvuru!$L:$L,"ONAY",Başvuru!$F:$F,"&lt;&gt;"&amp;""))</f>
        <v>0</v>
      </c>
      <c r="K54" s="254">
        <f>IF(C54="","",COUNTIFS(Başvuru!$D:$D,C54,Başvuru!$L:$L,"DÜZELTME",Başvuru!$F:$F,"&lt;&gt;"&amp;""))</f>
        <v>2</v>
      </c>
      <c r="L54" s="255">
        <f>IF(C54="","",COUNTIFS(Başvuru!$D:$D,C54,Başvuru!$L:$L,"KAEK",Başvuru!$F:$F,"&lt;&gt;"&amp;""))</f>
        <v>0</v>
      </c>
      <c r="M54" s="256">
        <f>IF(C54="","",COUNTIFS(Başvuru!$D:$D,C54,Başvuru!$L:$L,"GÖRÜŞ",Başvuru!$F:$F,"&lt;&gt;"&amp;""))</f>
        <v>0</v>
      </c>
      <c r="N54" s="257">
        <f>IF(C54="","",COUNTIFS(Başvuru!$D:$D,C54,Başvuru!$L:$L,"RET",Başvuru!$F:$F,"&lt;&gt;"&amp;""))</f>
        <v>0</v>
      </c>
      <c r="O54" s="258">
        <f>IF(C54="","",COUNTIFS(Başvuru!$D:$D,C54,Başvuru!$L:$L,"KAPSAM DIŞI",Başvuru!$F:$F,"&lt;&gt;"&amp;""))</f>
        <v>0</v>
      </c>
      <c r="P54" s="259">
        <f>IF(C54="","",COUNTIFS(Başvuru!$D:$D,C54,Başvuru!$L:$L,"GERİ ÇEKİLDİ",Başvuru!$F:$F,"&lt;&gt;"&amp;""))</f>
        <v>0</v>
      </c>
      <c r="Q54" s="260" t="s">
        <v>1171</v>
      </c>
      <c r="R54" s="261">
        <f>COUNTIFS(Başvuru!$D:$D,Q54,Başvuru!$F:$F,"&lt;&gt;"&amp;"")</f>
        <v>5</v>
      </c>
      <c r="S54" s="261">
        <f>RANK(R54,$R$6:$R$78,0)+COUNTIF($R$6:R54,R54)-1</f>
        <v>31</v>
      </c>
    </row>
    <row r="55" spans="2:19" ht="15" customHeight="1" x14ac:dyDescent="0.25">
      <c r="B55" s="262">
        <v>50</v>
      </c>
      <c r="C55" s="263" t="str">
        <f>IFERROR(INDEX($Q$6:$Q$78,MATCH(50,$S$6:$S$78,0)),"")</f>
        <v>Pedodonti Anabilim Dalı</v>
      </c>
      <c r="D55" s="264">
        <f>IF(C55="","",COUNTIFS(Başvuru!$D:$D,C55,Başvuru!$F:$F,"&lt;&gt;"&amp;""))</f>
        <v>2</v>
      </c>
      <c r="E55" s="262" t="str">
        <f>IF(D55&gt;0,TEXT(D55/COUNTIF(Başvuru!$F:$F,"&lt;&gt;"&amp;"")*100,"0.0")&amp;"%","-")</f>
        <v>00%</v>
      </c>
      <c r="F55" s="265">
        <f>IF(C55="","",COUNTIFS(Başvuru!$D:$D,C55,Başvuru!$G:$G,"Bireysel Araştırma",Başvuru!$F:$F,"&lt;&gt;"&amp;""))</f>
        <v>1</v>
      </c>
      <c r="G55" s="265">
        <f>IF(C55="","",COUNTIFS(Başvuru!$D:$D,C55,Başvuru!$G:$G,"Uzmanlık Tezi",Başvuru!$F:$F,"&lt;&gt;"&amp;""))</f>
        <v>1</v>
      </c>
      <c r="H55" s="265">
        <f>IF(C55="","",COUNTIFS(Başvuru!$D:$D,C55,Başvuru!$G:$G,"Doktora Tezi",Başvuru!$F:$F,"&lt;&gt;"&amp;""))</f>
        <v>0</v>
      </c>
      <c r="I55" s="265">
        <f>IF(C55="","",COUNTIFS(Başvuru!$D:$D,C55,Başvuru!$G:$G,"Yüksek Lisans Tezi",Başvuru!$F:$F,"&lt;&gt;"&amp;""))</f>
        <v>0</v>
      </c>
      <c r="J55" s="266">
        <f>IF(C55="","",COUNTIFS(Başvuru!$D:$D,C55,Başvuru!$L:$L,"ONAY",Başvuru!$F:$F,"&lt;&gt;"&amp;""))</f>
        <v>2</v>
      </c>
      <c r="K55" s="267">
        <f>IF(C55="","",COUNTIFS(Başvuru!$D:$D,C55,Başvuru!$L:$L,"DÜZELTME",Başvuru!$F:$F,"&lt;&gt;"&amp;""))</f>
        <v>0</v>
      </c>
      <c r="L55" s="268">
        <f>IF(C55="","",COUNTIFS(Başvuru!$D:$D,C55,Başvuru!$L:$L,"KAEK",Başvuru!$F:$F,"&lt;&gt;"&amp;""))</f>
        <v>0</v>
      </c>
      <c r="M55" s="269">
        <f>IF(C55="","",COUNTIFS(Başvuru!$D:$D,C55,Başvuru!$L:$L,"GÖRÜŞ",Başvuru!$F:$F,"&lt;&gt;"&amp;""))</f>
        <v>0</v>
      </c>
      <c r="N55" s="270">
        <f>IF(C55="","",COUNTIFS(Başvuru!$D:$D,C55,Başvuru!$L:$L,"RET",Başvuru!$F:$F,"&lt;&gt;"&amp;""))</f>
        <v>0</v>
      </c>
      <c r="O55" s="271">
        <f>IF(C55="","",COUNTIFS(Başvuru!$D:$D,C55,Başvuru!$L:$L,"KAPSAM DIŞI",Başvuru!$F:$F,"&lt;&gt;"&amp;""))</f>
        <v>0</v>
      </c>
      <c r="P55" s="272">
        <f>IF(C55="","",COUNTIFS(Başvuru!$D:$D,C55,Başvuru!$L:$L,"GERİ ÇEKİLDİ",Başvuru!$F:$F,"&lt;&gt;"&amp;""))</f>
        <v>0</v>
      </c>
      <c r="Q55" s="260" t="s">
        <v>442</v>
      </c>
      <c r="R55" s="261">
        <f>COUNTIFS(Başvuru!$D:$D,Q55,Başvuru!$F:$F,"&lt;&gt;"&amp;"")</f>
        <v>5</v>
      </c>
      <c r="S55" s="261">
        <f>RANK(R55,$R$6:$R$78,0)+COUNTIF($R$6:R55,R55)-1</f>
        <v>32</v>
      </c>
    </row>
    <row r="56" spans="2:19" ht="15" customHeight="1" x14ac:dyDescent="0.25">
      <c r="B56" s="249">
        <v>51</v>
      </c>
      <c r="C56" s="250" t="str">
        <f>IFERROR(INDEX($Q$6:$Q$78,MATCH(51,$S$6:$S$78,0)),"")</f>
        <v>Restoratif Diş Tedavisi Anabilim Dalı</v>
      </c>
      <c r="D56" s="251">
        <f>IF(C56="","",COUNTIFS(Başvuru!$D:$D,C56,Başvuru!$F:$F,"&lt;&gt;"&amp;""))</f>
        <v>2</v>
      </c>
      <c r="E56" s="249" t="str">
        <f>IF(D56&gt;0,TEXT(D56/COUNTIF(Başvuru!$F:$F,"&lt;&gt;"&amp;"")*100,"0.0")&amp;"%","-")</f>
        <v>00%</v>
      </c>
      <c r="F56" s="252">
        <f>IF(C56="","",COUNTIFS(Başvuru!$D:$D,C56,Başvuru!$G:$G,"Bireysel Araştırma",Başvuru!$F:$F,"&lt;&gt;"&amp;""))</f>
        <v>2</v>
      </c>
      <c r="G56" s="252">
        <f>IF(C56="","",COUNTIFS(Başvuru!$D:$D,C56,Başvuru!$G:$G,"Uzmanlık Tezi",Başvuru!$F:$F,"&lt;&gt;"&amp;""))</f>
        <v>0</v>
      </c>
      <c r="H56" s="252">
        <f>IF(C56="","",COUNTIFS(Başvuru!$D:$D,C56,Başvuru!$G:$G,"Doktora Tezi",Başvuru!$F:$F,"&lt;&gt;"&amp;""))</f>
        <v>0</v>
      </c>
      <c r="I56" s="252">
        <f>IF(C56="","",COUNTIFS(Başvuru!$D:$D,C56,Başvuru!$G:$G,"Yüksek Lisans Tezi",Başvuru!$F:$F,"&lt;&gt;"&amp;""))</f>
        <v>0</v>
      </c>
      <c r="J56" s="253">
        <f>IF(C56="","",COUNTIFS(Başvuru!$D:$D,C56,Başvuru!$L:$L,"ONAY",Başvuru!$F:$F,"&lt;&gt;"&amp;""))</f>
        <v>1</v>
      </c>
      <c r="K56" s="254">
        <f>IF(C56="","",COUNTIFS(Başvuru!$D:$D,C56,Başvuru!$L:$L,"DÜZELTME",Başvuru!$F:$F,"&lt;&gt;"&amp;""))</f>
        <v>1</v>
      </c>
      <c r="L56" s="255">
        <f>IF(C56="","",COUNTIFS(Başvuru!$D:$D,C56,Başvuru!$L:$L,"KAEK",Başvuru!$F:$F,"&lt;&gt;"&amp;""))</f>
        <v>0</v>
      </c>
      <c r="M56" s="256">
        <f>IF(C56="","",COUNTIFS(Başvuru!$D:$D,C56,Başvuru!$L:$L,"GÖRÜŞ",Başvuru!$F:$F,"&lt;&gt;"&amp;""))</f>
        <v>0</v>
      </c>
      <c r="N56" s="257">
        <f>IF(C56="","",COUNTIFS(Başvuru!$D:$D,C56,Başvuru!$L:$L,"RET",Başvuru!$F:$F,"&lt;&gt;"&amp;""))</f>
        <v>0</v>
      </c>
      <c r="O56" s="258">
        <f>IF(C56="","",COUNTIFS(Başvuru!$D:$D,C56,Başvuru!$L:$L,"KAPSAM DIŞI",Başvuru!$F:$F,"&lt;&gt;"&amp;""))</f>
        <v>0</v>
      </c>
      <c r="P56" s="259">
        <f>IF(C56="","",COUNTIFS(Başvuru!$D:$D,C56,Başvuru!$L:$L,"GERİ ÇEKİLDİ",Başvuru!$F:$F,"&lt;&gt;"&amp;""))</f>
        <v>0</v>
      </c>
      <c r="Q56" s="260" t="s">
        <v>79</v>
      </c>
      <c r="R56" s="261">
        <f>COUNTIFS(Başvuru!$D:$D,Q56,Başvuru!$F:$F,"&lt;&gt;"&amp;"")</f>
        <v>18</v>
      </c>
      <c r="S56" s="261">
        <f>RANK(R56,$R$6:$R$78,0)+COUNTIF($R$6:R56,R56)-1</f>
        <v>6</v>
      </c>
    </row>
    <row r="57" spans="2:19" ht="15" customHeight="1" x14ac:dyDescent="0.25">
      <c r="B57" s="262">
        <v>52</v>
      </c>
      <c r="C57" s="263" t="str">
        <f>IFERROR(INDEX($Q$6:$Q$78,MATCH(52,$S$6:$S$78,0)),"")</f>
        <v>Tıbbi Mikrobiyoloji Anabilim Dalı</v>
      </c>
      <c r="D57" s="264">
        <f>IF(C57="","",COUNTIFS(Başvuru!$D:$D,C57,Başvuru!$F:$F,"&lt;&gt;"&amp;""))</f>
        <v>2</v>
      </c>
      <c r="E57" s="262" t="str">
        <f>IF(D57&gt;0,TEXT(D57/COUNTIF(Başvuru!$F:$F,"&lt;&gt;"&amp;"")*100,"0.0")&amp;"%","-")</f>
        <v>00%</v>
      </c>
      <c r="F57" s="265">
        <f>IF(C57="","",COUNTIFS(Başvuru!$D:$D,C57,Başvuru!$G:$G,"Bireysel Araştırma",Başvuru!$F:$F,"&lt;&gt;"&amp;""))</f>
        <v>1</v>
      </c>
      <c r="G57" s="265">
        <f>IF(C57="","",COUNTIFS(Başvuru!$D:$D,C57,Başvuru!$G:$G,"Uzmanlık Tezi",Başvuru!$F:$F,"&lt;&gt;"&amp;""))</f>
        <v>0</v>
      </c>
      <c r="H57" s="265">
        <f>IF(C57="","",COUNTIFS(Başvuru!$D:$D,C57,Başvuru!$G:$G,"Doktora Tezi",Başvuru!$F:$F,"&lt;&gt;"&amp;""))</f>
        <v>1</v>
      </c>
      <c r="I57" s="265">
        <f>IF(C57="","",COUNTIFS(Başvuru!$D:$D,C57,Başvuru!$G:$G,"Yüksek Lisans Tezi",Başvuru!$F:$F,"&lt;&gt;"&amp;""))</f>
        <v>0</v>
      </c>
      <c r="J57" s="266">
        <f>IF(C57="","",COUNTIFS(Başvuru!$D:$D,C57,Başvuru!$L:$L,"ONAY",Başvuru!$F:$F,"&lt;&gt;"&amp;""))</f>
        <v>0</v>
      </c>
      <c r="K57" s="267">
        <f>IF(C57="","",COUNTIFS(Başvuru!$D:$D,C57,Başvuru!$L:$L,"DÜZELTME",Başvuru!$F:$F,"&lt;&gt;"&amp;""))</f>
        <v>1</v>
      </c>
      <c r="L57" s="268">
        <f>IF(C57="","",COUNTIFS(Başvuru!$D:$D,C57,Başvuru!$L:$L,"KAEK",Başvuru!$F:$F,"&lt;&gt;"&amp;""))</f>
        <v>0</v>
      </c>
      <c r="M57" s="269">
        <f>IF(C57="","",COUNTIFS(Başvuru!$D:$D,C57,Başvuru!$L:$L,"GÖRÜŞ",Başvuru!$F:$F,"&lt;&gt;"&amp;""))</f>
        <v>0</v>
      </c>
      <c r="N57" s="270">
        <f>IF(C57="","",COUNTIFS(Başvuru!$D:$D,C57,Başvuru!$L:$L,"RET",Başvuru!$F:$F,"&lt;&gt;"&amp;""))</f>
        <v>0</v>
      </c>
      <c r="O57" s="271">
        <f>IF(C57="","",COUNTIFS(Başvuru!$D:$D,C57,Başvuru!$L:$L,"KAPSAM DIŞI",Başvuru!$F:$F,"&lt;&gt;"&amp;""))</f>
        <v>0</v>
      </c>
      <c r="P57" s="272">
        <f>IF(C57="","",COUNTIFS(Başvuru!$D:$D,C57,Başvuru!$L:$L,"GERİ ÇEKİLDİ",Başvuru!$F:$F,"&lt;&gt;"&amp;""))</f>
        <v>0</v>
      </c>
      <c r="Q57" s="260" t="s">
        <v>1019</v>
      </c>
      <c r="R57" s="261">
        <f>COUNTIFS(Başvuru!$D:$D,Q57,Başvuru!$F:$F,"&lt;&gt;"&amp;"")</f>
        <v>2</v>
      </c>
      <c r="S57" s="261">
        <f>RANK(R57,$R$6:$R$78,0)+COUNTIF($R$6:R57,R57)-1</f>
        <v>51</v>
      </c>
    </row>
    <row r="58" spans="2:19" ht="15" customHeight="1" x14ac:dyDescent="0.25">
      <c r="B58" s="249">
        <v>53</v>
      </c>
      <c r="C58" s="250" t="str">
        <f>IFERROR(INDEX($Q$6:$Q$78,MATCH(53,$S$6:$S$78,0)),"")</f>
        <v>Tıp Eğitimi ve Bilişimi Anabilim Dalı</v>
      </c>
      <c r="D58" s="251">
        <f>IF(C58="","",COUNTIFS(Başvuru!$D:$D,C58,Başvuru!$F:$F,"&lt;&gt;"&amp;""))</f>
        <v>2</v>
      </c>
      <c r="E58" s="249" t="str">
        <f>IF(D58&gt;0,TEXT(D58/COUNTIF(Başvuru!$F:$F,"&lt;&gt;"&amp;"")*100,"0.0")&amp;"%","-")</f>
        <v>00%</v>
      </c>
      <c r="F58" s="252">
        <f>IF(C58="","",COUNTIFS(Başvuru!$D:$D,C58,Başvuru!$G:$G,"Bireysel Araştırma",Başvuru!$F:$F,"&lt;&gt;"&amp;""))</f>
        <v>1</v>
      </c>
      <c r="G58" s="252">
        <f>IF(C58="","",COUNTIFS(Başvuru!$D:$D,C58,Başvuru!$G:$G,"Uzmanlık Tezi",Başvuru!$F:$F,"&lt;&gt;"&amp;""))</f>
        <v>0</v>
      </c>
      <c r="H58" s="252">
        <f>IF(C58="","",COUNTIFS(Başvuru!$D:$D,C58,Başvuru!$G:$G,"Doktora Tezi",Başvuru!$F:$F,"&lt;&gt;"&amp;""))</f>
        <v>0</v>
      </c>
      <c r="I58" s="252">
        <f>IF(C58="","",COUNTIFS(Başvuru!$D:$D,C58,Başvuru!$G:$G,"Yüksek Lisans Tezi",Başvuru!$F:$F,"&lt;&gt;"&amp;""))</f>
        <v>1</v>
      </c>
      <c r="J58" s="253">
        <f>IF(C58="","",COUNTIFS(Başvuru!$D:$D,C58,Başvuru!$L:$L,"ONAY",Başvuru!$F:$F,"&lt;&gt;"&amp;""))</f>
        <v>1</v>
      </c>
      <c r="K58" s="254">
        <f>IF(C58="","",COUNTIFS(Başvuru!$D:$D,C58,Başvuru!$L:$L,"DÜZELTME",Başvuru!$F:$F,"&lt;&gt;"&amp;""))</f>
        <v>1</v>
      </c>
      <c r="L58" s="255">
        <f>IF(C58="","",COUNTIFS(Başvuru!$D:$D,C58,Başvuru!$L:$L,"KAEK",Başvuru!$F:$F,"&lt;&gt;"&amp;""))</f>
        <v>0</v>
      </c>
      <c r="M58" s="256">
        <f>IF(C58="","",COUNTIFS(Başvuru!$D:$D,C58,Başvuru!$L:$L,"GÖRÜŞ",Başvuru!$F:$F,"&lt;&gt;"&amp;""))</f>
        <v>0</v>
      </c>
      <c r="N58" s="257">
        <f>IF(C58="","",COUNTIFS(Başvuru!$D:$D,C58,Başvuru!$L:$L,"RET",Başvuru!$F:$F,"&lt;&gt;"&amp;""))</f>
        <v>0</v>
      </c>
      <c r="O58" s="258">
        <f>IF(C58="","",COUNTIFS(Başvuru!$D:$D,C58,Başvuru!$L:$L,"KAPSAM DIŞI",Başvuru!$F:$F,"&lt;&gt;"&amp;""))</f>
        <v>0</v>
      </c>
      <c r="P58" s="259">
        <f>IF(C58="","",COUNTIFS(Başvuru!$D:$D,C58,Başvuru!$L:$L,"GERİ ÇEKİLDİ",Başvuru!$F:$F,"&lt;&gt;"&amp;""))</f>
        <v>0</v>
      </c>
      <c r="Q58" s="260" t="s">
        <v>458</v>
      </c>
      <c r="R58" s="261">
        <f>COUNTIFS(Başvuru!$D:$D,Q58,Başvuru!$F:$F,"&lt;&gt;"&amp;"")</f>
        <v>6</v>
      </c>
      <c r="S58" s="261">
        <f>RANK(R58,$R$6:$R$78,0)+COUNTIF($R$6:R58,R58)-1</f>
        <v>27</v>
      </c>
    </row>
    <row r="59" spans="2:19" ht="15" customHeight="1" x14ac:dyDescent="0.25">
      <c r="B59" s="262">
        <v>54</v>
      </c>
      <c r="C59" s="263" t="str">
        <f>IFERROR(INDEX($Q$6:$Q$78,MATCH(54,$S$6:$S$78,0)),"")</f>
        <v>Amasya Üniversitesi
Hemşirelik Fakültesi
İç Hastalıkları Hemşireliği Anabilim Dalı</v>
      </c>
      <c r="D59" s="264">
        <f>IF(C59="","",COUNTIFS(Başvuru!$D:$D,C59,Başvuru!$F:$F,"&lt;&gt;"&amp;""))</f>
        <v>1</v>
      </c>
      <c r="E59" s="262" t="str">
        <f>IF(D59&gt;0,TEXT(D59/COUNTIF(Başvuru!$F:$F,"&lt;&gt;"&amp;"")*100,"0.0")&amp;"%","-")</f>
        <v>00%</v>
      </c>
      <c r="F59" s="265">
        <f>IF(C59="","",COUNTIFS(Başvuru!$D:$D,C59,Başvuru!$G:$G,"Bireysel Araştırma",Başvuru!$F:$F,"&lt;&gt;"&amp;""))</f>
        <v>0</v>
      </c>
      <c r="G59" s="265">
        <f>IF(C59="","",COUNTIFS(Başvuru!$D:$D,C59,Başvuru!$G:$G,"Uzmanlık Tezi",Başvuru!$F:$F,"&lt;&gt;"&amp;""))</f>
        <v>0</v>
      </c>
      <c r="H59" s="265">
        <f>IF(C59="","",COUNTIFS(Başvuru!$D:$D,C59,Başvuru!$G:$G,"Doktora Tezi",Başvuru!$F:$F,"&lt;&gt;"&amp;""))</f>
        <v>0</v>
      </c>
      <c r="I59" s="265">
        <f>IF(C59="","",COUNTIFS(Başvuru!$D:$D,C59,Başvuru!$G:$G,"Yüksek Lisans Tezi",Başvuru!$F:$F,"&lt;&gt;"&amp;""))</f>
        <v>1</v>
      </c>
      <c r="J59" s="266">
        <f>IF(C59="","",COUNTIFS(Başvuru!$D:$D,C59,Başvuru!$L:$L,"ONAY",Başvuru!$F:$F,"&lt;&gt;"&amp;""))</f>
        <v>0</v>
      </c>
      <c r="K59" s="267">
        <f>IF(C59="","",COUNTIFS(Başvuru!$D:$D,C59,Başvuru!$L:$L,"DÜZELTME",Başvuru!$F:$F,"&lt;&gt;"&amp;""))</f>
        <v>0</v>
      </c>
      <c r="L59" s="268">
        <f>IF(C59="","",COUNTIFS(Başvuru!$D:$D,C59,Başvuru!$L:$L,"KAEK",Başvuru!$F:$F,"&lt;&gt;"&amp;""))</f>
        <v>0</v>
      </c>
      <c r="M59" s="269">
        <f>IF(C59="","",COUNTIFS(Başvuru!$D:$D,C59,Başvuru!$L:$L,"GÖRÜŞ",Başvuru!$F:$F,"&lt;&gt;"&amp;""))</f>
        <v>0</v>
      </c>
      <c r="N59" s="270">
        <f>IF(C59="","",COUNTIFS(Başvuru!$D:$D,C59,Başvuru!$L:$L,"RET",Başvuru!$F:$F,"&lt;&gt;"&amp;""))</f>
        <v>0</v>
      </c>
      <c r="O59" s="271">
        <f>IF(C59="","",COUNTIFS(Başvuru!$D:$D,C59,Başvuru!$L:$L,"KAPSAM DIŞI",Başvuru!$F:$F,"&lt;&gt;"&amp;""))</f>
        <v>0</v>
      </c>
      <c r="P59" s="272">
        <f>IF(C59="","",COUNTIFS(Başvuru!$D:$D,C59,Başvuru!$L:$L,"GERİ ÇEKİLDİ",Başvuru!$F:$F,"&lt;&gt;"&amp;""))</f>
        <v>0</v>
      </c>
      <c r="Q59" s="260" t="s">
        <v>381</v>
      </c>
      <c r="R59" s="261">
        <f>COUNTIFS(Başvuru!$D:$D,Q59,Başvuru!$F:$F,"&lt;&gt;"&amp;"")</f>
        <v>1</v>
      </c>
      <c r="S59" s="261">
        <f>RANK(R59,$R$6:$R$78,0)+COUNTIF($R$6:R59,R59)-1</f>
        <v>66</v>
      </c>
    </row>
    <row r="60" spans="2:19" ht="15" customHeight="1" x14ac:dyDescent="0.25">
      <c r="B60" s="249">
        <v>55</v>
      </c>
      <c r="C60" s="250" t="str">
        <f>IFERROR(INDEX($Q$6:$Q$78,MATCH(55,$S$6:$S$78,0)),"")</f>
        <v>Analitik Kimya Anabilim Dalı</v>
      </c>
      <c r="D60" s="251">
        <f>IF(C60="","",COUNTIFS(Başvuru!$D:$D,C60,Başvuru!$F:$F,"&lt;&gt;"&amp;""))</f>
        <v>1</v>
      </c>
      <c r="E60" s="249" t="str">
        <f>IF(D60&gt;0,TEXT(D60/COUNTIF(Başvuru!$F:$F,"&lt;&gt;"&amp;"")*100,"0.0")&amp;"%","-")</f>
        <v>00%</v>
      </c>
      <c r="F60" s="252">
        <f>IF(C60="","",COUNTIFS(Başvuru!$D:$D,C60,Başvuru!$G:$G,"Bireysel Araştırma",Başvuru!$F:$F,"&lt;&gt;"&amp;""))</f>
        <v>1</v>
      </c>
      <c r="G60" s="252">
        <f>IF(C60="","",COUNTIFS(Başvuru!$D:$D,C60,Başvuru!$G:$G,"Uzmanlık Tezi",Başvuru!$F:$F,"&lt;&gt;"&amp;""))</f>
        <v>0</v>
      </c>
      <c r="H60" s="252">
        <f>IF(C60="","",COUNTIFS(Başvuru!$D:$D,C60,Başvuru!$G:$G,"Doktora Tezi",Başvuru!$F:$F,"&lt;&gt;"&amp;""))</f>
        <v>0</v>
      </c>
      <c r="I60" s="252">
        <f>IF(C60="","",COUNTIFS(Başvuru!$D:$D,C60,Başvuru!$G:$G,"Yüksek Lisans Tezi",Başvuru!$F:$F,"&lt;&gt;"&amp;""))</f>
        <v>0</v>
      </c>
      <c r="J60" s="253">
        <f>IF(C60="","",COUNTIFS(Başvuru!$D:$D,C60,Başvuru!$L:$L,"ONAY",Başvuru!$F:$F,"&lt;&gt;"&amp;""))</f>
        <v>0</v>
      </c>
      <c r="K60" s="254">
        <f>IF(C60="","",COUNTIFS(Başvuru!$D:$D,C60,Başvuru!$L:$L,"DÜZELTME",Başvuru!$F:$F,"&lt;&gt;"&amp;""))</f>
        <v>0</v>
      </c>
      <c r="L60" s="255">
        <f>IF(C60="","",COUNTIFS(Başvuru!$D:$D,C60,Başvuru!$L:$L,"KAEK",Başvuru!$F:$F,"&lt;&gt;"&amp;""))</f>
        <v>0</v>
      </c>
      <c r="M60" s="256">
        <f>IF(C60="","",COUNTIFS(Başvuru!$D:$D,C60,Başvuru!$L:$L,"GÖRÜŞ",Başvuru!$F:$F,"&lt;&gt;"&amp;""))</f>
        <v>1</v>
      </c>
      <c r="N60" s="257">
        <f>IF(C60="","",COUNTIFS(Başvuru!$D:$D,C60,Başvuru!$L:$L,"RET",Başvuru!$F:$F,"&lt;&gt;"&amp;""))</f>
        <v>0</v>
      </c>
      <c r="O60" s="258">
        <f>IF(C60="","",COUNTIFS(Başvuru!$D:$D,C60,Başvuru!$L:$L,"KAPSAM DIŞI",Başvuru!$F:$F,"&lt;&gt;"&amp;""))</f>
        <v>0</v>
      </c>
      <c r="P60" s="259">
        <f>IF(C60="","",COUNTIFS(Başvuru!$D:$D,C60,Başvuru!$L:$L,"GERİ ÇEKİLDİ",Başvuru!$F:$F,"&lt;&gt;"&amp;""))</f>
        <v>0</v>
      </c>
      <c r="Q60" s="260" t="s">
        <v>61</v>
      </c>
      <c r="R60" s="261">
        <f>COUNTIFS(Başvuru!$D:$D,Q60,Başvuru!$F:$F,"&lt;&gt;"&amp;"")</f>
        <v>1</v>
      </c>
      <c r="S60" s="261">
        <f>RANK(R60,$R$6:$R$78,0)+COUNTIF($R$6:R60,R60)-1</f>
        <v>67</v>
      </c>
    </row>
    <row r="61" spans="2:19" ht="15" customHeight="1" x14ac:dyDescent="0.25">
      <c r="B61" s="262">
        <v>56</v>
      </c>
      <c r="C61" s="263" t="str">
        <f>IFERROR(INDEX($Q$6:$Q$78,MATCH(56,$S$6:$S$78,0)),"")</f>
        <v>Barcelona Institute for Global Health</v>
      </c>
      <c r="D61" s="264">
        <f>IF(C61="","",COUNTIFS(Başvuru!$D:$D,C61,Başvuru!$F:$F,"&lt;&gt;"&amp;""))</f>
        <v>1</v>
      </c>
      <c r="E61" s="262" t="str">
        <f>IF(D61&gt;0,TEXT(D61/COUNTIF(Başvuru!$F:$F,"&lt;&gt;"&amp;"")*100,"0.0")&amp;"%","-")</f>
        <v>00%</v>
      </c>
      <c r="F61" s="265">
        <f>IF(C61="","",COUNTIFS(Başvuru!$D:$D,C61,Başvuru!$G:$G,"Bireysel Araştırma",Başvuru!$F:$F,"&lt;&gt;"&amp;""))</f>
        <v>1</v>
      </c>
      <c r="G61" s="265">
        <f>IF(C61="","",COUNTIFS(Başvuru!$D:$D,C61,Başvuru!$G:$G,"Uzmanlık Tezi",Başvuru!$F:$F,"&lt;&gt;"&amp;""))</f>
        <v>0</v>
      </c>
      <c r="H61" s="265">
        <f>IF(C61="","",COUNTIFS(Başvuru!$D:$D,C61,Başvuru!$G:$G,"Doktora Tezi",Başvuru!$F:$F,"&lt;&gt;"&amp;""))</f>
        <v>0</v>
      </c>
      <c r="I61" s="265">
        <f>IF(C61="","",COUNTIFS(Başvuru!$D:$D,C61,Başvuru!$G:$G,"Yüksek Lisans Tezi",Başvuru!$F:$F,"&lt;&gt;"&amp;""))</f>
        <v>0</v>
      </c>
      <c r="J61" s="266">
        <f>IF(C61="","",COUNTIFS(Başvuru!$D:$D,C61,Başvuru!$L:$L,"ONAY",Başvuru!$F:$F,"&lt;&gt;"&amp;""))</f>
        <v>0</v>
      </c>
      <c r="K61" s="267">
        <f>IF(C61="","",COUNTIFS(Başvuru!$D:$D,C61,Başvuru!$L:$L,"DÜZELTME",Başvuru!$F:$F,"&lt;&gt;"&amp;""))</f>
        <v>1</v>
      </c>
      <c r="L61" s="268">
        <f>IF(C61="","",COUNTIFS(Başvuru!$D:$D,C61,Başvuru!$L:$L,"KAEK",Başvuru!$F:$F,"&lt;&gt;"&amp;""))</f>
        <v>0</v>
      </c>
      <c r="M61" s="269">
        <f>IF(C61="","",COUNTIFS(Başvuru!$D:$D,C61,Başvuru!$L:$L,"GÖRÜŞ",Başvuru!$F:$F,"&lt;&gt;"&amp;""))</f>
        <v>0</v>
      </c>
      <c r="N61" s="270">
        <f>IF(C61="","",COUNTIFS(Başvuru!$D:$D,C61,Başvuru!$L:$L,"RET",Başvuru!$F:$F,"&lt;&gt;"&amp;""))</f>
        <v>0</v>
      </c>
      <c r="O61" s="271">
        <f>IF(C61="","",COUNTIFS(Başvuru!$D:$D,C61,Başvuru!$L:$L,"KAPSAM DIŞI",Başvuru!$F:$F,"&lt;&gt;"&amp;""))</f>
        <v>0</v>
      </c>
      <c r="P61" s="272">
        <f>IF(C61="","",COUNTIFS(Başvuru!$D:$D,C61,Başvuru!$L:$L,"GERİ ÇEKİLDİ",Başvuru!$F:$F,"&lt;&gt;"&amp;""))</f>
        <v>0</v>
      </c>
      <c r="Q61" s="260" t="s">
        <v>2297</v>
      </c>
      <c r="R61" s="261">
        <f>COUNTIFS(Başvuru!$D:$D,Q61,Başvuru!$F:$F,"&lt;&gt;"&amp;"")</f>
        <v>1</v>
      </c>
      <c r="S61" s="261">
        <f>RANK(R61,$R$6:$R$78,0)+COUNTIF($R$6:R61,R61)-1</f>
        <v>68</v>
      </c>
    </row>
    <row r="62" spans="2:19" ht="15" customHeight="1" x14ac:dyDescent="0.25">
      <c r="B62" s="249">
        <v>57</v>
      </c>
      <c r="C62" s="250" t="str">
        <f>IFERROR(INDEX($Q$6:$Q$78,MATCH(57,$S$6:$S$78,0)),"")</f>
        <v>Bilişim ve Enformasyon Teknolojileri Anabilim Dalı</v>
      </c>
      <c r="D62" s="251">
        <f>IF(C62="","",COUNTIFS(Başvuru!$D:$D,C62,Başvuru!$F:$F,"&lt;&gt;"&amp;""))</f>
        <v>1</v>
      </c>
      <c r="E62" s="249" t="str">
        <f>IF(D62&gt;0,TEXT(D62/COUNTIF(Başvuru!$F:$F,"&lt;&gt;"&amp;"")*100,"0.0")&amp;"%","-")</f>
        <v>00%</v>
      </c>
      <c r="F62" s="252">
        <f>IF(C62="","",COUNTIFS(Başvuru!$D:$D,C62,Başvuru!$G:$G,"Bireysel Araştırma",Başvuru!$F:$F,"&lt;&gt;"&amp;""))</f>
        <v>0</v>
      </c>
      <c r="G62" s="252">
        <f>IF(C62="","",COUNTIFS(Başvuru!$D:$D,C62,Başvuru!$G:$G,"Uzmanlık Tezi",Başvuru!$F:$F,"&lt;&gt;"&amp;""))</f>
        <v>0</v>
      </c>
      <c r="H62" s="252">
        <f>IF(C62="","",COUNTIFS(Başvuru!$D:$D,C62,Başvuru!$G:$G,"Doktora Tezi",Başvuru!$F:$F,"&lt;&gt;"&amp;""))</f>
        <v>0</v>
      </c>
      <c r="I62" s="252">
        <f>IF(C62="","",COUNTIFS(Başvuru!$D:$D,C62,Başvuru!$G:$G,"Yüksek Lisans Tezi",Başvuru!$F:$F,"&lt;&gt;"&amp;""))</f>
        <v>1</v>
      </c>
      <c r="J62" s="253">
        <f>IF(C62="","",COUNTIFS(Başvuru!$D:$D,C62,Başvuru!$L:$L,"ONAY",Başvuru!$F:$F,"&lt;&gt;"&amp;""))</f>
        <v>0</v>
      </c>
      <c r="K62" s="254">
        <f>IF(C62="","",COUNTIFS(Başvuru!$D:$D,C62,Başvuru!$L:$L,"DÜZELTME",Başvuru!$F:$F,"&lt;&gt;"&amp;""))</f>
        <v>0</v>
      </c>
      <c r="L62" s="255">
        <f>IF(C62="","",COUNTIFS(Başvuru!$D:$D,C62,Başvuru!$L:$L,"KAEK",Başvuru!$F:$F,"&lt;&gt;"&amp;""))</f>
        <v>0</v>
      </c>
      <c r="M62" s="256">
        <f>IF(C62="","",COUNTIFS(Başvuru!$D:$D,C62,Başvuru!$L:$L,"GÖRÜŞ",Başvuru!$F:$F,"&lt;&gt;"&amp;""))</f>
        <v>0</v>
      </c>
      <c r="N62" s="257">
        <f>IF(C62="","",COUNTIFS(Başvuru!$D:$D,C62,Başvuru!$L:$L,"RET",Başvuru!$F:$F,"&lt;&gt;"&amp;""))</f>
        <v>0</v>
      </c>
      <c r="O62" s="258">
        <f>IF(C62="","",COUNTIFS(Başvuru!$D:$D,C62,Başvuru!$L:$L,"KAPSAM DIŞI",Başvuru!$F:$F,"&lt;&gt;"&amp;""))</f>
        <v>0</v>
      </c>
      <c r="P62" s="259">
        <f>IF(C62="","",COUNTIFS(Başvuru!$D:$D,C62,Başvuru!$L:$L,"GERİ ÇEKİLDİ",Başvuru!$F:$F,"&lt;&gt;"&amp;""))</f>
        <v>0</v>
      </c>
      <c r="Q62" s="260" t="s">
        <v>212</v>
      </c>
      <c r="R62" s="261">
        <f>COUNTIFS(Başvuru!$D:$D,Q62,Başvuru!$F:$F,"&lt;&gt;"&amp;"")</f>
        <v>7</v>
      </c>
      <c r="S62" s="261">
        <f>RANK(R62,$R$6:$R$78,0)+COUNTIF($R$6:R62,R62)-1</f>
        <v>21</v>
      </c>
    </row>
    <row r="63" spans="2:19" ht="15" customHeight="1" x14ac:dyDescent="0.25">
      <c r="B63" s="262">
        <v>58</v>
      </c>
      <c r="C63" s="263" t="str">
        <f>IFERROR(INDEX($Q$6:$Q$78,MATCH(58,$S$6:$S$78,0)),"")</f>
        <v>Biyofizik Anabilim Dalı</v>
      </c>
      <c r="D63" s="264">
        <f>IF(C63="","",COUNTIFS(Başvuru!$D:$D,C63,Başvuru!$F:$F,"&lt;&gt;"&amp;""))</f>
        <v>1</v>
      </c>
      <c r="E63" s="262" t="str">
        <f>IF(D63&gt;0,TEXT(D63/COUNTIF(Başvuru!$F:$F,"&lt;&gt;"&amp;"")*100,"0.0")&amp;"%","-")</f>
        <v>00%</v>
      </c>
      <c r="F63" s="265">
        <f>IF(C63="","",COUNTIFS(Başvuru!$D:$D,C63,Başvuru!$G:$G,"Bireysel Araştırma",Başvuru!$F:$F,"&lt;&gt;"&amp;""))</f>
        <v>0</v>
      </c>
      <c r="G63" s="265">
        <f>IF(C63="","",COUNTIFS(Başvuru!$D:$D,C63,Başvuru!$G:$G,"Uzmanlık Tezi",Başvuru!$F:$F,"&lt;&gt;"&amp;""))</f>
        <v>0</v>
      </c>
      <c r="H63" s="265">
        <f>IF(C63="","",COUNTIFS(Başvuru!$D:$D,C63,Başvuru!$G:$G,"Doktora Tezi",Başvuru!$F:$F,"&lt;&gt;"&amp;""))</f>
        <v>1</v>
      </c>
      <c r="I63" s="265">
        <f>IF(C63="","",COUNTIFS(Başvuru!$D:$D,C63,Başvuru!$G:$G,"Yüksek Lisans Tezi",Başvuru!$F:$F,"&lt;&gt;"&amp;""))</f>
        <v>0</v>
      </c>
      <c r="J63" s="266">
        <f>IF(C63="","",COUNTIFS(Başvuru!$D:$D,C63,Başvuru!$L:$L,"ONAY",Başvuru!$F:$F,"&lt;&gt;"&amp;""))</f>
        <v>1</v>
      </c>
      <c r="K63" s="267">
        <f>IF(C63="","",COUNTIFS(Başvuru!$D:$D,C63,Başvuru!$L:$L,"DÜZELTME",Başvuru!$F:$F,"&lt;&gt;"&amp;""))</f>
        <v>0</v>
      </c>
      <c r="L63" s="268">
        <f>IF(C63="","",COUNTIFS(Başvuru!$D:$D,C63,Başvuru!$L:$L,"KAEK",Başvuru!$F:$F,"&lt;&gt;"&amp;""))</f>
        <v>0</v>
      </c>
      <c r="M63" s="269">
        <f>IF(C63="","",COUNTIFS(Başvuru!$D:$D,C63,Başvuru!$L:$L,"GÖRÜŞ",Başvuru!$F:$F,"&lt;&gt;"&amp;""))</f>
        <v>0</v>
      </c>
      <c r="N63" s="270">
        <f>IF(C63="","",COUNTIFS(Başvuru!$D:$D,C63,Başvuru!$L:$L,"RET",Başvuru!$F:$F,"&lt;&gt;"&amp;""))</f>
        <v>0</v>
      </c>
      <c r="O63" s="271">
        <f>IF(C63="","",COUNTIFS(Başvuru!$D:$D,C63,Başvuru!$L:$L,"KAPSAM DIŞI",Başvuru!$F:$F,"&lt;&gt;"&amp;""))</f>
        <v>0</v>
      </c>
      <c r="P63" s="272">
        <f>IF(C63="","",COUNTIFS(Başvuru!$D:$D,C63,Başvuru!$L:$L,"GERİ ÇEKİLDİ",Başvuru!$F:$F,"&lt;&gt;"&amp;""))</f>
        <v>0</v>
      </c>
      <c r="Q63" s="260" t="s">
        <v>612</v>
      </c>
      <c r="R63" s="261">
        <f>COUNTIFS(Başvuru!$D:$D,Q63,Başvuru!$F:$F,"&lt;&gt;"&amp;"")</f>
        <v>5</v>
      </c>
      <c r="S63" s="261">
        <f>RANK(R63,$R$6:$R$78,0)+COUNTIF($R$6:R63,R63)-1</f>
        <v>33</v>
      </c>
    </row>
    <row r="64" spans="2:19" ht="15" customHeight="1" x14ac:dyDescent="0.25">
      <c r="B64" s="249">
        <v>59</v>
      </c>
      <c r="C64" s="250" t="str">
        <f>IFERROR(INDEX($Q$6:$Q$78,MATCH(59,$S$6:$S$78,0)),"")</f>
        <v>Biyoinformatik Anabilim Dalı</v>
      </c>
      <c r="D64" s="251">
        <f>IF(C64="","",COUNTIFS(Başvuru!$D:$D,C64,Başvuru!$F:$F,"&lt;&gt;"&amp;""))</f>
        <v>1</v>
      </c>
      <c r="E64" s="249" t="str">
        <f>IF(D64&gt;0,TEXT(D64/COUNTIF(Başvuru!$F:$F,"&lt;&gt;"&amp;"")*100,"0.0")&amp;"%","-")</f>
        <v>00%</v>
      </c>
      <c r="F64" s="252">
        <f>IF(C64="","",COUNTIFS(Başvuru!$D:$D,C64,Başvuru!$G:$G,"Bireysel Araştırma",Başvuru!$F:$F,"&lt;&gt;"&amp;""))</f>
        <v>0</v>
      </c>
      <c r="G64" s="252">
        <f>IF(C64="","",COUNTIFS(Başvuru!$D:$D,C64,Başvuru!$G:$G,"Uzmanlık Tezi",Başvuru!$F:$F,"&lt;&gt;"&amp;""))</f>
        <v>0</v>
      </c>
      <c r="H64" s="252">
        <f>IF(C64="","",COUNTIFS(Başvuru!$D:$D,C64,Başvuru!$G:$G,"Doktora Tezi",Başvuru!$F:$F,"&lt;&gt;"&amp;""))</f>
        <v>0</v>
      </c>
      <c r="I64" s="252">
        <f>IF(C64="","",COUNTIFS(Başvuru!$D:$D,C64,Başvuru!$G:$G,"Yüksek Lisans Tezi",Başvuru!$F:$F,"&lt;&gt;"&amp;""))</f>
        <v>1</v>
      </c>
      <c r="J64" s="253">
        <f>IF(C64="","",COUNTIFS(Başvuru!$D:$D,C64,Başvuru!$L:$L,"ONAY",Başvuru!$F:$F,"&lt;&gt;"&amp;""))</f>
        <v>1</v>
      </c>
      <c r="K64" s="254">
        <f>IF(C64="","",COUNTIFS(Başvuru!$D:$D,C64,Başvuru!$L:$L,"DÜZELTME",Başvuru!$F:$F,"&lt;&gt;"&amp;""))</f>
        <v>0</v>
      </c>
      <c r="L64" s="255">
        <f>IF(C64="","",COUNTIFS(Başvuru!$D:$D,C64,Başvuru!$L:$L,"KAEK",Başvuru!$F:$F,"&lt;&gt;"&amp;""))</f>
        <v>0</v>
      </c>
      <c r="M64" s="256">
        <f>IF(C64="","",COUNTIFS(Başvuru!$D:$D,C64,Başvuru!$L:$L,"GÖRÜŞ",Başvuru!$F:$F,"&lt;&gt;"&amp;""))</f>
        <v>0</v>
      </c>
      <c r="N64" s="257">
        <f>IF(C64="","",COUNTIFS(Başvuru!$D:$D,C64,Başvuru!$L:$L,"RET",Başvuru!$F:$F,"&lt;&gt;"&amp;""))</f>
        <v>0</v>
      </c>
      <c r="O64" s="258">
        <f>IF(C64="","",COUNTIFS(Başvuru!$D:$D,C64,Başvuru!$L:$L,"KAPSAM DIŞI",Başvuru!$F:$F,"&lt;&gt;"&amp;""))</f>
        <v>0</v>
      </c>
      <c r="P64" s="259">
        <f>IF(C64="","",COUNTIFS(Başvuru!$D:$D,C64,Başvuru!$L:$L,"GERİ ÇEKİLDİ",Başvuru!$F:$F,"&lt;&gt;"&amp;""))</f>
        <v>0</v>
      </c>
      <c r="Q64" s="260" t="s">
        <v>506</v>
      </c>
      <c r="R64" s="261">
        <f>COUNTIFS(Başvuru!$D:$D,Q64,Başvuru!$F:$F,"&lt;&gt;"&amp;"")</f>
        <v>1</v>
      </c>
      <c r="S64" s="261">
        <f>RANK(R64,$R$6:$R$78,0)+COUNTIF($R$6:R64,R64)-1</f>
        <v>69</v>
      </c>
    </row>
    <row r="65" spans="2:19" ht="15" customHeight="1" x14ac:dyDescent="0.25">
      <c r="B65" s="262">
        <v>60</v>
      </c>
      <c r="C65" s="263" t="str">
        <f>IFERROR(INDEX($Q$6:$Q$78,MATCH(60,$S$6:$S$78,0)),"")</f>
        <v>Egzersizde Beslenme ve Metabolizma Anabilim Dalı</v>
      </c>
      <c r="D65" s="264">
        <f>IF(C65="","",COUNTIFS(Başvuru!$D:$D,C65,Başvuru!$F:$F,"&lt;&gt;"&amp;""))</f>
        <v>1</v>
      </c>
      <c r="E65" s="262" t="str">
        <f>IF(D65&gt;0,TEXT(D65/COUNTIF(Başvuru!$F:$F,"&lt;&gt;"&amp;"")*100,"0.0")&amp;"%","-")</f>
        <v>00%</v>
      </c>
      <c r="F65" s="265">
        <f>IF(C65="","",COUNTIFS(Başvuru!$D:$D,C65,Başvuru!$G:$G,"Bireysel Araştırma",Başvuru!$F:$F,"&lt;&gt;"&amp;""))</f>
        <v>0</v>
      </c>
      <c r="G65" s="265">
        <f>IF(C65="","",COUNTIFS(Başvuru!$D:$D,C65,Başvuru!$G:$G,"Uzmanlık Tezi",Başvuru!$F:$F,"&lt;&gt;"&amp;""))</f>
        <v>0</v>
      </c>
      <c r="H65" s="265">
        <f>IF(C65="","",COUNTIFS(Başvuru!$D:$D,C65,Başvuru!$G:$G,"Doktora Tezi",Başvuru!$F:$F,"&lt;&gt;"&amp;""))</f>
        <v>0</v>
      </c>
      <c r="I65" s="265">
        <f>IF(C65="","",COUNTIFS(Başvuru!$D:$D,C65,Başvuru!$G:$G,"Yüksek Lisans Tezi",Başvuru!$F:$F,"&lt;&gt;"&amp;""))</f>
        <v>1</v>
      </c>
      <c r="J65" s="266">
        <f>IF(C65="","",COUNTIFS(Başvuru!$D:$D,C65,Başvuru!$L:$L,"ONAY",Başvuru!$F:$F,"&lt;&gt;"&amp;""))</f>
        <v>0</v>
      </c>
      <c r="K65" s="267">
        <f>IF(C65="","",COUNTIFS(Başvuru!$D:$D,C65,Başvuru!$L:$L,"DÜZELTME",Başvuru!$F:$F,"&lt;&gt;"&amp;""))</f>
        <v>1</v>
      </c>
      <c r="L65" s="268">
        <f>IF(C65="","",COUNTIFS(Başvuru!$D:$D,C65,Başvuru!$L:$L,"KAEK",Başvuru!$F:$F,"&lt;&gt;"&amp;""))</f>
        <v>0</v>
      </c>
      <c r="M65" s="269">
        <f>IF(C65="","",COUNTIFS(Başvuru!$D:$D,C65,Başvuru!$L:$L,"GÖRÜŞ",Başvuru!$F:$F,"&lt;&gt;"&amp;""))</f>
        <v>0</v>
      </c>
      <c r="N65" s="270">
        <f>IF(C65="","",COUNTIFS(Başvuru!$D:$D,C65,Başvuru!$L:$L,"RET",Başvuru!$F:$F,"&lt;&gt;"&amp;""))</f>
        <v>0</v>
      </c>
      <c r="O65" s="271">
        <f>IF(C65="","",COUNTIFS(Başvuru!$D:$D,C65,Başvuru!$L:$L,"KAPSAM DIŞI",Başvuru!$F:$F,"&lt;&gt;"&amp;""))</f>
        <v>0</v>
      </c>
      <c r="P65" s="272">
        <f>IF(C65="","",COUNTIFS(Başvuru!$D:$D,C65,Başvuru!$L:$L,"GERİ ÇEKİLDİ",Başvuru!$F:$F,"&lt;&gt;"&amp;""))</f>
        <v>0</v>
      </c>
      <c r="Q65" s="260" t="s">
        <v>165</v>
      </c>
      <c r="R65" s="261">
        <f>COUNTIFS(Başvuru!$D:$D,Q65,Başvuru!$F:$F,"&lt;&gt;"&amp;"")</f>
        <v>3</v>
      </c>
      <c r="S65" s="261">
        <f>RANK(R65,$R$6:$R$78,0)+COUNTIF($R$6:R65,R65)-1</f>
        <v>37</v>
      </c>
    </row>
    <row r="66" spans="2:19" ht="15" customHeight="1" x14ac:dyDescent="0.25">
      <c r="B66" s="249">
        <v>61</v>
      </c>
      <c r="C66" s="250" t="str">
        <f>IFERROR(INDEX($Q$6:$Q$78,MATCH(61,$S$6:$S$78,0)),"")</f>
        <v>Fizikokimya Anabilim Dalı</v>
      </c>
      <c r="D66" s="251">
        <f>IF(C66="","",COUNTIFS(Başvuru!$D:$D,C66,Başvuru!$F:$F,"&lt;&gt;"&amp;""))</f>
        <v>1</v>
      </c>
      <c r="E66" s="249" t="str">
        <f>IF(D66&gt;0,TEXT(D66/COUNTIF(Başvuru!$F:$F,"&lt;&gt;"&amp;"")*100,"0.0")&amp;"%","-")</f>
        <v>00%</v>
      </c>
      <c r="F66" s="252">
        <f>IF(C66="","",COUNTIFS(Başvuru!$D:$D,C66,Başvuru!$G:$G,"Bireysel Araştırma",Başvuru!$F:$F,"&lt;&gt;"&amp;""))</f>
        <v>0</v>
      </c>
      <c r="G66" s="252">
        <f>IF(C66="","",COUNTIFS(Başvuru!$D:$D,C66,Başvuru!$G:$G,"Uzmanlık Tezi",Başvuru!$F:$F,"&lt;&gt;"&amp;""))</f>
        <v>0</v>
      </c>
      <c r="H66" s="252">
        <f>IF(C66="","",COUNTIFS(Başvuru!$D:$D,C66,Başvuru!$G:$G,"Doktora Tezi",Başvuru!$F:$F,"&lt;&gt;"&amp;""))</f>
        <v>1</v>
      </c>
      <c r="I66" s="252">
        <f>IF(C66="","",COUNTIFS(Başvuru!$D:$D,C66,Başvuru!$G:$G,"Yüksek Lisans Tezi",Başvuru!$F:$F,"&lt;&gt;"&amp;""))</f>
        <v>0</v>
      </c>
      <c r="J66" s="253">
        <f>IF(C66="","",COUNTIFS(Başvuru!$D:$D,C66,Başvuru!$L:$L,"ONAY",Başvuru!$F:$F,"&lt;&gt;"&amp;""))</f>
        <v>0</v>
      </c>
      <c r="K66" s="254">
        <f>IF(C66="","",COUNTIFS(Başvuru!$D:$D,C66,Başvuru!$L:$L,"DÜZELTME",Başvuru!$F:$F,"&lt;&gt;"&amp;""))</f>
        <v>1</v>
      </c>
      <c r="L66" s="255">
        <f>IF(C66="","",COUNTIFS(Başvuru!$D:$D,C66,Başvuru!$L:$L,"KAEK",Başvuru!$F:$F,"&lt;&gt;"&amp;""))</f>
        <v>0</v>
      </c>
      <c r="M66" s="256">
        <f>IF(C66="","",COUNTIFS(Başvuru!$D:$D,C66,Başvuru!$L:$L,"GÖRÜŞ",Başvuru!$F:$F,"&lt;&gt;"&amp;""))</f>
        <v>0</v>
      </c>
      <c r="N66" s="257">
        <f>IF(C66="","",COUNTIFS(Başvuru!$D:$D,C66,Başvuru!$L:$L,"RET",Başvuru!$F:$F,"&lt;&gt;"&amp;""))</f>
        <v>0</v>
      </c>
      <c r="O66" s="258">
        <f>IF(C66="","",COUNTIFS(Başvuru!$D:$D,C66,Başvuru!$L:$L,"KAPSAM DIŞI",Başvuru!$F:$F,"&lt;&gt;"&amp;""))</f>
        <v>0</v>
      </c>
      <c r="P66" s="259">
        <f>IF(C66="","",COUNTIFS(Başvuru!$D:$D,C66,Başvuru!$L:$L,"GERİ ÇEKİLDİ",Başvuru!$F:$F,"&lt;&gt;"&amp;""))</f>
        <v>0</v>
      </c>
      <c r="Q66" s="260" t="s">
        <v>1692</v>
      </c>
      <c r="R66" s="261">
        <f>COUNTIFS(Başvuru!$D:$D,Q66,Başvuru!$F:$F,"&lt;&gt;"&amp;"")</f>
        <v>3</v>
      </c>
      <c r="S66" s="261">
        <f>RANK(R66,$R$6:$R$78,0)+COUNTIF($R$6:R66,R66)-1</f>
        <v>38</v>
      </c>
    </row>
    <row r="67" spans="2:19" ht="15" customHeight="1" x14ac:dyDescent="0.25">
      <c r="B67" s="262">
        <v>62</v>
      </c>
      <c r="C67" s="263" t="str">
        <f>IFERROR(INDEX($Q$6:$Q$78,MATCH(62,$S$6:$S$78,0)),"")</f>
        <v>Genel Cerrahi Anabilim Dalı</v>
      </c>
      <c r="D67" s="264">
        <f>IF(C67="","",COUNTIFS(Başvuru!$D:$D,C67,Başvuru!$F:$F,"&lt;&gt;"&amp;""))</f>
        <v>1</v>
      </c>
      <c r="E67" s="262" t="str">
        <f>IF(D67&gt;0,TEXT(D67/COUNTIF(Başvuru!$F:$F,"&lt;&gt;"&amp;"")*100,"0.0")&amp;"%","-")</f>
        <v>00%</v>
      </c>
      <c r="F67" s="265">
        <f>IF(C67="","",COUNTIFS(Başvuru!$D:$D,C67,Başvuru!$G:$G,"Bireysel Araştırma",Başvuru!$F:$F,"&lt;&gt;"&amp;""))</f>
        <v>1</v>
      </c>
      <c r="G67" s="265">
        <f>IF(C67="","",COUNTIFS(Başvuru!$D:$D,C67,Başvuru!$G:$G,"Uzmanlık Tezi",Başvuru!$F:$F,"&lt;&gt;"&amp;""))</f>
        <v>0</v>
      </c>
      <c r="H67" s="265">
        <f>IF(C67="","",COUNTIFS(Başvuru!$D:$D,C67,Başvuru!$G:$G,"Doktora Tezi",Başvuru!$F:$F,"&lt;&gt;"&amp;""))</f>
        <v>0</v>
      </c>
      <c r="I67" s="265">
        <f>IF(C67="","",COUNTIFS(Başvuru!$D:$D,C67,Başvuru!$G:$G,"Yüksek Lisans Tezi",Başvuru!$F:$F,"&lt;&gt;"&amp;""))</f>
        <v>0</v>
      </c>
      <c r="J67" s="266">
        <f>IF(C67="","",COUNTIFS(Başvuru!$D:$D,C67,Başvuru!$L:$L,"ONAY",Başvuru!$F:$F,"&lt;&gt;"&amp;""))</f>
        <v>1</v>
      </c>
      <c r="K67" s="267">
        <f>IF(C67="","",COUNTIFS(Başvuru!$D:$D,C67,Başvuru!$L:$L,"DÜZELTME",Başvuru!$F:$F,"&lt;&gt;"&amp;""))</f>
        <v>0</v>
      </c>
      <c r="L67" s="268">
        <f>IF(C67="","",COUNTIFS(Başvuru!$D:$D,C67,Başvuru!$L:$L,"KAEK",Başvuru!$F:$F,"&lt;&gt;"&amp;""))</f>
        <v>0</v>
      </c>
      <c r="M67" s="269">
        <f>IF(C67="","",COUNTIFS(Başvuru!$D:$D,C67,Başvuru!$L:$L,"GÖRÜŞ",Başvuru!$F:$F,"&lt;&gt;"&amp;""))</f>
        <v>0</v>
      </c>
      <c r="N67" s="270">
        <f>IF(C67="","",COUNTIFS(Başvuru!$D:$D,C67,Başvuru!$L:$L,"RET",Başvuru!$F:$F,"&lt;&gt;"&amp;""))</f>
        <v>0</v>
      </c>
      <c r="O67" s="271">
        <f>IF(C67="","",COUNTIFS(Başvuru!$D:$D,C67,Başvuru!$L:$L,"KAPSAM DIŞI",Başvuru!$F:$F,"&lt;&gt;"&amp;""))</f>
        <v>0</v>
      </c>
      <c r="P67" s="272">
        <f>IF(C67="","",COUNTIFS(Başvuru!$D:$D,C67,Başvuru!$L:$L,"GERİ ÇEKİLDİ",Başvuru!$F:$F,"&lt;&gt;"&amp;""))</f>
        <v>0</v>
      </c>
      <c r="Q67" s="260" t="s">
        <v>2207</v>
      </c>
      <c r="R67" s="261">
        <f>COUNTIFS(Başvuru!$D:$D,Q67,Başvuru!$F:$F,"&lt;&gt;"&amp;"")</f>
        <v>1</v>
      </c>
      <c r="S67" s="261">
        <f>RANK(R67,$R$6:$R$78,0)+COUNTIF($R$6:R67,R67)-1</f>
        <v>70</v>
      </c>
    </row>
    <row r="68" spans="2:19" ht="15" customHeight="1" x14ac:dyDescent="0.25">
      <c r="B68" s="249">
        <v>63</v>
      </c>
      <c r="C68" s="250" t="str">
        <f>IFERROR(INDEX($Q$6:$Q$78,MATCH(63,$S$6:$S$78,0)),"")</f>
        <v>Gıda Mühendisliği Anabilim Dalı</v>
      </c>
      <c r="D68" s="251">
        <f>IF(C68="","",COUNTIFS(Başvuru!$D:$D,C68,Başvuru!$F:$F,"&lt;&gt;"&amp;""))</f>
        <v>1</v>
      </c>
      <c r="E68" s="249" t="str">
        <f>IF(D68&gt;0,TEXT(D68/COUNTIF(Başvuru!$F:$F,"&lt;&gt;"&amp;"")*100,"0.0")&amp;"%","-")</f>
        <v>00%</v>
      </c>
      <c r="F68" s="252">
        <f>IF(C68="","",COUNTIFS(Başvuru!$D:$D,C68,Başvuru!$G:$G,"Bireysel Araştırma",Başvuru!$F:$F,"&lt;&gt;"&amp;""))</f>
        <v>0</v>
      </c>
      <c r="G68" s="252">
        <f>IF(C68="","",COUNTIFS(Başvuru!$D:$D,C68,Başvuru!$G:$G,"Uzmanlık Tezi",Başvuru!$F:$F,"&lt;&gt;"&amp;""))</f>
        <v>0</v>
      </c>
      <c r="H68" s="252">
        <f>IF(C68="","",COUNTIFS(Başvuru!$D:$D,C68,Başvuru!$G:$G,"Doktora Tezi",Başvuru!$F:$F,"&lt;&gt;"&amp;""))</f>
        <v>0</v>
      </c>
      <c r="I68" s="252">
        <f>IF(C68="","",COUNTIFS(Başvuru!$D:$D,C68,Başvuru!$G:$G,"Yüksek Lisans Tezi",Başvuru!$F:$F,"&lt;&gt;"&amp;""))</f>
        <v>1</v>
      </c>
      <c r="J68" s="253">
        <f>IF(C68="","",COUNTIFS(Başvuru!$D:$D,C68,Başvuru!$L:$L,"ONAY",Başvuru!$F:$F,"&lt;&gt;"&amp;""))</f>
        <v>0</v>
      </c>
      <c r="K68" s="254">
        <f>IF(C68="","",COUNTIFS(Başvuru!$D:$D,C68,Başvuru!$L:$L,"DÜZELTME",Başvuru!$F:$F,"&lt;&gt;"&amp;""))</f>
        <v>1</v>
      </c>
      <c r="L68" s="255">
        <f>IF(C68="","",COUNTIFS(Başvuru!$D:$D,C68,Başvuru!$L:$L,"KAEK",Başvuru!$F:$F,"&lt;&gt;"&amp;""))</f>
        <v>0</v>
      </c>
      <c r="M68" s="256">
        <f>IF(C68="","",COUNTIFS(Başvuru!$D:$D,C68,Başvuru!$L:$L,"GÖRÜŞ",Başvuru!$F:$F,"&lt;&gt;"&amp;""))</f>
        <v>0</v>
      </c>
      <c r="N68" s="257">
        <f>IF(C68="","",COUNTIFS(Başvuru!$D:$D,C68,Başvuru!$L:$L,"RET",Başvuru!$F:$F,"&lt;&gt;"&amp;""))</f>
        <v>0</v>
      </c>
      <c r="O68" s="258">
        <f>IF(C68="","",COUNTIFS(Başvuru!$D:$D,C68,Başvuru!$L:$L,"KAPSAM DIŞI",Başvuru!$F:$F,"&lt;&gt;"&amp;""))</f>
        <v>0</v>
      </c>
      <c r="P68" s="259">
        <f>IF(C68="","",COUNTIFS(Başvuru!$D:$D,C68,Başvuru!$L:$L,"GERİ ÇEKİLDİ",Başvuru!$F:$F,"&lt;&gt;"&amp;""))</f>
        <v>0</v>
      </c>
      <c r="Q68" s="260" t="s">
        <v>1494</v>
      </c>
      <c r="R68" s="261">
        <f>COUNTIFS(Başvuru!$D:$D,Q68,Başvuru!$F:$F,"&lt;&gt;"&amp;"")</f>
        <v>1</v>
      </c>
      <c r="S68" s="261">
        <f>RANK(R68,$R$6:$R$78,0)+COUNTIF($R$6:R68,R68)-1</f>
        <v>71</v>
      </c>
    </row>
    <row r="69" spans="2:19" ht="15" customHeight="1" x14ac:dyDescent="0.25">
      <c r="B69" s="262">
        <v>64</v>
      </c>
      <c r="C69" s="263" t="str">
        <f>IFERROR(INDEX($Q$6:$Q$78,MATCH(64,$S$6:$S$78,0)),"")</f>
        <v>Klinik Psikoloji Anabilim Dalı</v>
      </c>
      <c r="D69" s="264">
        <f>IF(C69="","",COUNTIFS(Başvuru!$D:$D,C69,Başvuru!$F:$F,"&lt;&gt;"&amp;""))</f>
        <v>1</v>
      </c>
      <c r="E69" s="262" t="str">
        <f>IF(D69&gt;0,TEXT(D69/COUNTIF(Başvuru!$F:$F,"&lt;&gt;"&amp;"")*100,"0.0")&amp;"%","-")</f>
        <v>00%</v>
      </c>
      <c r="F69" s="265">
        <f>IF(C69="","",COUNTIFS(Başvuru!$D:$D,C69,Başvuru!$G:$G,"Bireysel Araştırma",Başvuru!$F:$F,"&lt;&gt;"&amp;""))</f>
        <v>0</v>
      </c>
      <c r="G69" s="265">
        <f>IF(C69="","",COUNTIFS(Başvuru!$D:$D,C69,Başvuru!$G:$G,"Uzmanlık Tezi",Başvuru!$F:$F,"&lt;&gt;"&amp;""))</f>
        <v>0</v>
      </c>
      <c r="H69" s="265">
        <f>IF(C69="","",COUNTIFS(Başvuru!$D:$D,C69,Başvuru!$G:$G,"Doktora Tezi",Başvuru!$F:$F,"&lt;&gt;"&amp;""))</f>
        <v>1</v>
      </c>
      <c r="I69" s="265">
        <f>IF(C69="","",COUNTIFS(Başvuru!$D:$D,C69,Başvuru!$G:$G,"Yüksek Lisans Tezi",Başvuru!$F:$F,"&lt;&gt;"&amp;""))</f>
        <v>0</v>
      </c>
      <c r="J69" s="266">
        <f>IF(C69="","",COUNTIFS(Başvuru!$D:$D,C69,Başvuru!$L:$L,"ONAY",Başvuru!$F:$F,"&lt;&gt;"&amp;""))</f>
        <v>1</v>
      </c>
      <c r="K69" s="267">
        <f>IF(C69="","",COUNTIFS(Başvuru!$D:$D,C69,Başvuru!$L:$L,"DÜZELTME",Başvuru!$F:$F,"&lt;&gt;"&amp;""))</f>
        <v>0</v>
      </c>
      <c r="L69" s="268">
        <f>IF(C69="","",COUNTIFS(Başvuru!$D:$D,C69,Başvuru!$L:$L,"KAEK",Başvuru!$F:$F,"&lt;&gt;"&amp;""))</f>
        <v>0</v>
      </c>
      <c r="M69" s="269">
        <f>IF(C69="","",COUNTIFS(Başvuru!$D:$D,C69,Başvuru!$L:$L,"GÖRÜŞ",Başvuru!$F:$F,"&lt;&gt;"&amp;""))</f>
        <v>0</v>
      </c>
      <c r="N69" s="270">
        <f>IF(C69="","",COUNTIFS(Başvuru!$D:$D,C69,Başvuru!$L:$L,"RET",Başvuru!$F:$F,"&lt;&gt;"&amp;""))</f>
        <v>0</v>
      </c>
      <c r="O69" s="271">
        <f>IF(C69="","",COUNTIFS(Başvuru!$D:$D,C69,Başvuru!$L:$L,"KAPSAM DIŞI",Başvuru!$F:$F,"&lt;&gt;"&amp;""))</f>
        <v>0</v>
      </c>
      <c r="P69" s="272">
        <f>IF(C69="","",COUNTIFS(Başvuru!$D:$D,C69,Başvuru!$L:$L,"GERİ ÇEKİLDİ",Başvuru!$F:$F,"&lt;&gt;"&amp;""))</f>
        <v>0</v>
      </c>
      <c r="Q69" s="260" t="s">
        <v>715</v>
      </c>
      <c r="R69" s="261">
        <f>COUNTIFS(Başvuru!$D:$D,Q69,Başvuru!$F:$F,"&lt;&gt;"&amp;"")</f>
        <v>1</v>
      </c>
      <c r="S69" s="261">
        <f>RANK(R69,$R$6:$R$78,0)+COUNTIF($R$6:R69,R69)-1</f>
        <v>72</v>
      </c>
    </row>
    <row r="70" spans="2:19" ht="15" customHeight="1" x14ac:dyDescent="0.25">
      <c r="B70" s="249">
        <v>65</v>
      </c>
      <c r="C70" s="250" t="str">
        <f>IFERROR(INDEX($Q$6:$Q$78,MATCH(65,$S$6:$S$78,0)),"")</f>
        <v>Moleküler Biyoloji Anabilim Dalı</v>
      </c>
      <c r="D70" s="251">
        <f>IF(C70="","",COUNTIFS(Başvuru!$D:$D,C70,Başvuru!$F:$F,"&lt;&gt;"&amp;""))</f>
        <v>1</v>
      </c>
      <c r="E70" s="249" t="str">
        <f>IF(D70&gt;0,TEXT(D70/COUNTIF(Başvuru!$F:$F,"&lt;&gt;"&amp;"")*100,"0.0")&amp;"%","-")</f>
        <v>00%</v>
      </c>
      <c r="F70" s="252">
        <f>IF(C70="","",COUNTIFS(Başvuru!$D:$D,C70,Başvuru!$G:$G,"Bireysel Araştırma",Başvuru!$F:$F,"&lt;&gt;"&amp;""))</f>
        <v>1</v>
      </c>
      <c r="G70" s="252">
        <f>IF(C70="","",COUNTIFS(Başvuru!$D:$D,C70,Başvuru!$G:$G,"Uzmanlık Tezi",Başvuru!$F:$F,"&lt;&gt;"&amp;""))</f>
        <v>0</v>
      </c>
      <c r="H70" s="252">
        <f>IF(C70="","",COUNTIFS(Başvuru!$D:$D,C70,Başvuru!$G:$G,"Doktora Tezi",Başvuru!$F:$F,"&lt;&gt;"&amp;""))</f>
        <v>0</v>
      </c>
      <c r="I70" s="252">
        <f>IF(C70="","",COUNTIFS(Başvuru!$D:$D,C70,Başvuru!$G:$G,"Yüksek Lisans Tezi",Başvuru!$F:$F,"&lt;&gt;"&amp;""))</f>
        <v>0</v>
      </c>
      <c r="J70" s="253">
        <f>IF(C70="","",COUNTIFS(Başvuru!$D:$D,C70,Başvuru!$L:$L,"ONAY",Başvuru!$F:$F,"&lt;&gt;"&amp;""))</f>
        <v>1</v>
      </c>
      <c r="K70" s="254">
        <f>IF(C70="","",COUNTIFS(Başvuru!$D:$D,C70,Başvuru!$L:$L,"DÜZELTME",Başvuru!$F:$F,"&lt;&gt;"&amp;""))</f>
        <v>0</v>
      </c>
      <c r="L70" s="255">
        <f>IF(C70="","",COUNTIFS(Başvuru!$D:$D,C70,Başvuru!$L:$L,"KAEK",Başvuru!$F:$F,"&lt;&gt;"&amp;""))</f>
        <v>0</v>
      </c>
      <c r="M70" s="256">
        <f>IF(C70="","",COUNTIFS(Başvuru!$D:$D,C70,Başvuru!$L:$L,"GÖRÜŞ",Başvuru!$F:$F,"&lt;&gt;"&amp;""))</f>
        <v>0</v>
      </c>
      <c r="N70" s="257">
        <f>IF(C70="","",COUNTIFS(Başvuru!$D:$D,C70,Başvuru!$L:$L,"RET",Başvuru!$F:$F,"&lt;&gt;"&amp;""))</f>
        <v>0</v>
      </c>
      <c r="O70" s="258">
        <f>IF(C70="","",COUNTIFS(Başvuru!$D:$D,C70,Başvuru!$L:$L,"KAPSAM DIŞI",Başvuru!$F:$F,"&lt;&gt;"&amp;""))</f>
        <v>0</v>
      </c>
      <c r="P70" s="259">
        <f>IF(C70="","",COUNTIFS(Başvuru!$D:$D,C70,Başvuru!$L:$L,"GERİ ÇEKİLDİ",Başvuru!$F:$F,"&lt;&gt;"&amp;""))</f>
        <v>0</v>
      </c>
      <c r="Q70" s="260" t="s">
        <v>137</v>
      </c>
      <c r="R70" s="261">
        <f>COUNTIFS(Başvuru!$D:$D,Q70,Başvuru!$F:$F,"&lt;&gt;"&amp;"")</f>
        <v>2</v>
      </c>
      <c r="S70" s="261">
        <f>RANK(R70,$R$6:$R$78,0)+COUNTIF($R$6:R70,R70)-1</f>
        <v>52</v>
      </c>
    </row>
    <row r="71" spans="2:19" ht="15" customHeight="1" x14ac:dyDescent="0.25">
      <c r="B71" s="262">
        <v>66</v>
      </c>
      <c r="C71" s="263" t="str">
        <f>IFERROR(INDEX($Q$6:$Q$78,MATCH(66,$S$6:$S$78,0)),"")</f>
        <v>Sağlık Araştırmaları Anabilim Dalı</v>
      </c>
      <c r="D71" s="264">
        <f>IF(C71="","",COUNTIFS(Başvuru!$D:$D,C71,Başvuru!$F:$F,"&lt;&gt;"&amp;""))</f>
        <v>1</v>
      </c>
      <c r="E71" s="262" t="str">
        <f>IF(D71&gt;0,TEXT(D71/COUNTIF(Başvuru!$F:$F,"&lt;&gt;"&amp;"")*100,"0.0")&amp;"%","-")</f>
        <v>00%</v>
      </c>
      <c r="F71" s="265">
        <f>IF(C71="","",COUNTIFS(Başvuru!$D:$D,C71,Başvuru!$G:$G,"Bireysel Araştırma",Başvuru!$F:$F,"&lt;&gt;"&amp;""))</f>
        <v>1</v>
      </c>
      <c r="G71" s="265">
        <f>IF(C71="","",COUNTIFS(Başvuru!$D:$D,C71,Başvuru!$G:$G,"Uzmanlık Tezi",Başvuru!$F:$F,"&lt;&gt;"&amp;""))</f>
        <v>0</v>
      </c>
      <c r="H71" s="265">
        <f>IF(C71="","",COUNTIFS(Başvuru!$D:$D,C71,Başvuru!$G:$G,"Doktora Tezi",Başvuru!$F:$F,"&lt;&gt;"&amp;""))</f>
        <v>0</v>
      </c>
      <c r="I71" s="265">
        <f>IF(C71="","",COUNTIFS(Başvuru!$D:$D,C71,Başvuru!$G:$G,"Yüksek Lisans Tezi",Başvuru!$F:$F,"&lt;&gt;"&amp;""))</f>
        <v>0</v>
      </c>
      <c r="J71" s="266">
        <f>IF(C71="","",COUNTIFS(Başvuru!$D:$D,C71,Başvuru!$L:$L,"ONAY",Başvuru!$F:$F,"&lt;&gt;"&amp;""))</f>
        <v>0</v>
      </c>
      <c r="K71" s="267">
        <f>IF(C71="","",COUNTIFS(Başvuru!$D:$D,C71,Başvuru!$L:$L,"DÜZELTME",Başvuru!$F:$F,"&lt;&gt;"&amp;""))</f>
        <v>1</v>
      </c>
      <c r="L71" s="268">
        <f>IF(C71="","",COUNTIFS(Başvuru!$D:$D,C71,Başvuru!$L:$L,"KAEK",Başvuru!$F:$F,"&lt;&gt;"&amp;""))</f>
        <v>0</v>
      </c>
      <c r="M71" s="269">
        <f>IF(C71="","",COUNTIFS(Başvuru!$D:$D,C71,Başvuru!$L:$L,"GÖRÜŞ",Başvuru!$F:$F,"&lt;&gt;"&amp;""))</f>
        <v>0</v>
      </c>
      <c r="N71" s="270">
        <f>IF(C71="","",COUNTIFS(Başvuru!$D:$D,C71,Başvuru!$L:$L,"RET",Başvuru!$F:$F,"&lt;&gt;"&amp;""))</f>
        <v>0</v>
      </c>
      <c r="O71" s="271">
        <f>IF(C71="","",COUNTIFS(Başvuru!$D:$D,C71,Başvuru!$L:$L,"KAPSAM DIŞI",Başvuru!$F:$F,"&lt;&gt;"&amp;""))</f>
        <v>0</v>
      </c>
      <c r="P71" s="272">
        <f>IF(C71="","",COUNTIFS(Başvuru!$D:$D,C71,Başvuru!$L:$L,"GERİ ÇEKİLDİ",Başvuru!$F:$F,"&lt;&gt;"&amp;""))</f>
        <v>0</v>
      </c>
      <c r="Q71" s="260" t="s">
        <v>1520</v>
      </c>
      <c r="R71" s="261">
        <f>COUNTIFS(Başvuru!$D:$D,Q71,Başvuru!$F:$F,"&lt;&gt;"&amp;"")</f>
        <v>6</v>
      </c>
      <c r="S71" s="261">
        <f>RANK(R71,$R$6:$R$78,0)+COUNTIF($R$6:R71,R71)-1</f>
        <v>28</v>
      </c>
    </row>
    <row r="72" spans="2:19" ht="15" customHeight="1" x14ac:dyDescent="0.25">
      <c r="B72" s="249">
        <v>67</v>
      </c>
      <c r="C72" s="250" t="str">
        <f>IFERROR(INDEX($Q$6:$Q$78,MATCH(67,$S$6:$S$78,0)),"")</f>
        <v>Sağlık Bilimleri Enstitüsü</v>
      </c>
      <c r="D72" s="251">
        <f>IF(C72="","",COUNTIFS(Başvuru!$D:$D,C72,Başvuru!$F:$F,"&lt;&gt;"&amp;""))</f>
        <v>1</v>
      </c>
      <c r="E72" s="249" t="str">
        <f>IF(D72&gt;0,TEXT(D72/COUNTIF(Başvuru!$F:$F,"&lt;&gt;"&amp;"")*100,"0.0")&amp;"%","-")</f>
        <v>00%</v>
      </c>
      <c r="F72" s="252">
        <f>IF(C72="","",COUNTIFS(Başvuru!$D:$D,C72,Başvuru!$G:$G,"Bireysel Araştırma",Başvuru!$F:$F,"&lt;&gt;"&amp;""))</f>
        <v>1</v>
      </c>
      <c r="G72" s="252">
        <f>IF(C72="","",COUNTIFS(Başvuru!$D:$D,C72,Başvuru!$G:$G,"Uzmanlık Tezi",Başvuru!$F:$F,"&lt;&gt;"&amp;""))</f>
        <v>0</v>
      </c>
      <c r="H72" s="252">
        <f>IF(C72="","",COUNTIFS(Başvuru!$D:$D,C72,Başvuru!$G:$G,"Doktora Tezi",Başvuru!$F:$F,"&lt;&gt;"&amp;""))</f>
        <v>0</v>
      </c>
      <c r="I72" s="252">
        <f>IF(C72="","",COUNTIFS(Başvuru!$D:$D,C72,Başvuru!$G:$G,"Yüksek Lisans Tezi",Başvuru!$F:$F,"&lt;&gt;"&amp;""))</f>
        <v>0</v>
      </c>
      <c r="J72" s="253">
        <f>IF(C72="","",COUNTIFS(Başvuru!$D:$D,C72,Başvuru!$L:$L,"ONAY",Başvuru!$F:$F,"&lt;&gt;"&amp;""))</f>
        <v>1</v>
      </c>
      <c r="K72" s="254">
        <f>IF(C72="","",COUNTIFS(Başvuru!$D:$D,C72,Başvuru!$L:$L,"DÜZELTME",Başvuru!$F:$F,"&lt;&gt;"&amp;""))</f>
        <v>0</v>
      </c>
      <c r="L72" s="255">
        <f>IF(C72="","",COUNTIFS(Başvuru!$D:$D,C72,Başvuru!$L:$L,"KAEK",Başvuru!$F:$F,"&lt;&gt;"&amp;""))</f>
        <v>0</v>
      </c>
      <c r="M72" s="256">
        <f>IF(C72="","",COUNTIFS(Başvuru!$D:$D,C72,Başvuru!$L:$L,"GÖRÜŞ",Başvuru!$F:$F,"&lt;&gt;"&amp;""))</f>
        <v>0</v>
      </c>
      <c r="N72" s="257">
        <f>IF(C72="","",COUNTIFS(Başvuru!$D:$D,C72,Başvuru!$L:$L,"RET",Başvuru!$F:$F,"&lt;&gt;"&amp;""))</f>
        <v>0</v>
      </c>
      <c r="O72" s="258">
        <f>IF(C72="","",COUNTIFS(Başvuru!$D:$D,C72,Başvuru!$L:$L,"KAPSAM DIŞI",Başvuru!$F:$F,"&lt;&gt;"&amp;""))</f>
        <v>0</v>
      </c>
      <c r="P72" s="259">
        <f>IF(C72="","",COUNTIFS(Başvuru!$D:$D,C72,Başvuru!$L:$L,"GERİ ÇEKİLDİ",Başvuru!$F:$F,"&lt;&gt;"&amp;""))</f>
        <v>0</v>
      </c>
      <c r="Q72" s="260" t="s">
        <v>158</v>
      </c>
      <c r="R72" s="261">
        <f>COUNTIFS(Başvuru!$D:$D,Q72,Başvuru!$F:$F,"&lt;&gt;"&amp;"")</f>
        <v>2</v>
      </c>
      <c r="S72" s="261">
        <f>RANK(R72,$R$6:$R$78,0)+COUNTIF($R$6:R72,R72)-1</f>
        <v>53</v>
      </c>
    </row>
    <row r="73" spans="2:19" ht="15" customHeight="1" x14ac:dyDescent="0.25">
      <c r="B73" s="262">
        <v>68</v>
      </c>
      <c r="C73" s="263" t="str">
        <f>IFERROR(INDEX($Q$6:$Q$78,MATCH(68,$S$6:$S$78,0)),"")</f>
        <v>Sağlık Bilişimi Anabilim Dalı</v>
      </c>
      <c r="D73" s="264">
        <f>IF(C73="","",COUNTIFS(Başvuru!$D:$D,C73,Başvuru!$F:$F,"&lt;&gt;"&amp;""))</f>
        <v>1</v>
      </c>
      <c r="E73" s="262" t="str">
        <f>IF(D73&gt;0,TEXT(D73/COUNTIF(Başvuru!$F:$F,"&lt;&gt;"&amp;"")*100,"0.0")&amp;"%","-")</f>
        <v>00%</v>
      </c>
      <c r="F73" s="265">
        <f>IF(C73="","",COUNTIFS(Başvuru!$D:$D,C73,Başvuru!$G:$G,"Bireysel Araştırma",Başvuru!$F:$F,"&lt;&gt;"&amp;""))</f>
        <v>0</v>
      </c>
      <c r="G73" s="265">
        <f>IF(C73="","",COUNTIFS(Başvuru!$D:$D,C73,Başvuru!$G:$G,"Uzmanlık Tezi",Başvuru!$F:$F,"&lt;&gt;"&amp;""))</f>
        <v>0</v>
      </c>
      <c r="H73" s="265">
        <f>IF(C73="","",COUNTIFS(Başvuru!$D:$D,C73,Başvuru!$G:$G,"Doktora Tezi",Başvuru!$F:$F,"&lt;&gt;"&amp;""))</f>
        <v>1</v>
      </c>
      <c r="I73" s="265">
        <f>IF(C73="","",COUNTIFS(Başvuru!$D:$D,C73,Başvuru!$G:$G,"Yüksek Lisans Tezi",Başvuru!$F:$F,"&lt;&gt;"&amp;""))</f>
        <v>0</v>
      </c>
      <c r="J73" s="266">
        <f>IF(C73="","",COUNTIFS(Başvuru!$D:$D,C73,Başvuru!$L:$L,"ONAY",Başvuru!$F:$F,"&lt;&gt;"&amp;""))</f>
        <v>1</v>
      </c>
      <c r="K73" s="267">
        <f>IF(C73="","",COUNTIFS(Başvuru!$D:$D,C73,Başvuru!$L:$L,"DÜZELTME",Başvuru!$F:$F,"&lt;&gt;"&amp;""))</f>
        <v>0</v>
      </c>
      <c r="L73" s="268">
        <f>IF(C73="","",COUNTIFS(Başvuru!$D:$D,C73,Başvuru!$L:$L,"KAEK",Başvuru!$F:$F,"&lt;&gt;"&amp;""))</f>
        <v>0</v>
      </c>
      <c r="M73" s="269">
        <f>IF(C73="","",COUNTIFS(Başvuru!$D:$D,C73,Başvuru!$L:$L,"GÖRÜŞ",Başvuru!$F:$F,"&lt;&gt;"&amp;""))</f>
        <v>0</v>
      </c>
      <c r="N73" s="270">
        <f>IF(C73="","",COUNTIFS(Başvuru!$D:$D,C73,Başvuru!$L:$L,"RET",Başvuru!$F:$F,"&lt;&gt;"&amp;""))</f>
        <v>0</v>
      </c>
      <c r="O73" s="271">
        <f>IF(C73="","",COUNTIFS(Başvuru!$D:$D,C73,Başvuru!$L:$L,"KAPSAM DIŞI",Başvuru!$F:$F,"&lt;&gt;"&amp;""))</f>
        <v>0</v>
      </c>
      <c r="P73" s="272">
        <f>IF(C73="","",COUNTIFS(Başvuru!$D:$D,C73,Başvuru!$L:$L,"GERİ ÇEKİLDİ",Başvuru!$F:$F,"&lt;&gt;"&amp;""))</f>
        <v>0</v>
      </c>
      <c r="Q73" s="260" t="s">
        <v>413</v>
      </c>
      <c r="R73" s="261">
        <f>COUNTIFS(Başvuru!$D:$D,Q73,Başvuru!$F:$F,"&lt;&gt;"&amp;"")</f>
        <v>12</v>
      </c>
      <c r="S73" s="261">
        <f>RANK(R73,$R$6:$R$78,0)+COUNTIF($R$6:R73,R73)-1</f>
        <v>12</v>
      </c>
    </row>
    <row r="74" spans="2:19" ht="15" customHeight="1" x14ac:dyDescent="0.25">
      <c r="B74" s="249">
        <v>69</v>
      </c>
      <c r="C74" s="250" t="str">
        <f>IFERROR(INDEX($Q$6:$Q$78,MATCH(69,$S$6:$S$78,0)),"")</f>
        <v>Sosyal Pediatri Anabilim Dalı</v>
      </c>
      <c r="D74" s="251">
        <f>IF(C74="","",COUNTIFS(Başvuru!$D:$D,C74,Başvuru!$F:$F,"&lt;&gt;"&amp;""))</f>
        <v>1</v>
      </c>
      <c r="E74" s="249" t="str">
        <f>IF(D74&gt;0,TEXT(D74/COUNTIF(Başvuru!$F:$F,"&lt;&gt;"&amp;"")*100,"0.0")&amp;"%","-")</f>
        <v>00%</v>
      </c>
      <c r="F74" s="252">
        <f>IF(C74="","",COUNTIFS(Başvuru!$D:$D,C74,Başvuru!$G:$G,"Bireysel Araştırma",Başvuru!$F:$F,"&lt;&gt;"&amp;""))</f>
        <v>0</v>
      </c>
      <c r="G74" s="252">
        <f>IF(C74="","",COUNTIFS(Başvuru!$D:$D,C74,Başvuru!$G:$G,"Uzmanlık Tezi",Başvuru!$F:$F,"&lt;&gt;"&amp;""))</f>
        <v>0</v>
      </c>
      <c r="H74" s="252">
        <f>IF(C74="","",COUNTIFS(Başvuru!$D:$D,C74,Başvuru!$G:$G,"Doktora Tezi",Başvuru!$F:$F,"&lt;&gt;"&amp;""))</f>
        <v>1</v>
      </c>
      <c r="I74" s="252">
        <f>IF(C74="","",COUNTIFS(Başvuru!$D:$D,C74,Başvuru!$G:$G,"Yüksek Lisans Tezi",Başvuru!$F:$F,"&lt;&gt;"&amp;""))</f>
        <v>0</v>
      </c>
      <c r="J74" s="253">
        <f>IF(C74="","",COUNTIFS(Başvuru!$D:$D,C74,Başvuru!$L:$L,"ONAY",Başvuru!$F:$F,"&lt;&gt;"&amp;""))</f>
        <v>1</v>
      </c>
      <c r="K74" s="254">
        <f>IF(C74="","",COUNTIFS(Başvuru!$D:$D,C74,Başvuru!$L:$L,"DÜZELTME",Başvuru!$F:$F,"&lt;&gt;"&amp;""))</f>
        <v>0</v>
      </c>
      <c r="L74" s="255">
        <f>IF(C74="","",COUNTIFS(Başvuru!$D:$D,C74,Başvuru!$L:$L,"KAEK",Başvuru!$F:$F,"&lt;&gt;"&amp;""))</f>
        <v>0</v>
      </c>
      <c r="M74" s="256">
        <f>IF(C74="","",COUNTIFS(Başvuru!$D:$D,C74,Başvuru!$L:$L,"GÖRÜŞ",Başvuru!$F:$F,"&lt;&gt;"&amp;""))</f>
        <v>0</v>
      </c>
      <c r="N74" s="257">
        <f>IF(C74="","",COUNTIFS(Başvuru!$D:$D,C74,Başvuru!$L:$L,"RET",Başvuru!$F:$F,"&lt;&gt;"&amp;""))</f>
        <v>0</v>
      </c>
      <c r="O74" s="258">
        <f>IF(C74="","",COUNTIFS(Başvuru!$D:$D,C74,Başvuru!$L:$L,"KAPSAM DIŞI",Başvuru!$F:$F,"&lt;&gt;"&amp;""))</f>
        <v>0</v>
      </c>
      <c r="P74" s="259">
        <f>IF(C74="","",COUNTIFS(Başvuru!$D:$D,C74,Başvuru!$L:$L,"GERİ ÇEKİLDİ",Başvuru!$F:$F,"&lt;&gt;"&amp;""))</f>
        <v>0</v>
      </c>
      <c r="Q74" s="260" t="s">
        <v>1220</v>
      </c>
      <c r="R74" s="261">
        <f>COUNTIFS(Başvuru!$D:$D,Q74,Başvuru!$F:$F,"&lt;&gt;"&amp;"")</f>
        <v>1</v>
      </c>
      <c r="S74" s="261">
        <f>RANK(R74,$R$6:$R$78,0)+COUNTIF($R$6:R74,R74)-1</f>
        <v>73</v>
      </c>
    </row>
    <row r="75" spans="2:19" ht="15" customHeight="1" x14ac:dyDescent="0.25">
      <c r="B75" s="262">
        <v>70</v>
      </c>
      <c r="C75" s="263" t="str">
        <f>IFERROR(INDEX($Q$6:$Q$78,MATCH(70,$S$6:$S$78,0)),"")</f>
        <v>Tıbbi Farmakoloji Anabilim Dalı</v>
      </c>
      <c r="D75" s="264">
        <f>IF(C75="","",COUNTIFS(Başvuru!$D:$D,C75,Başvuru!$F:$F,"&lt;&gt;"&amp;""))</f>
        <v>1</v>
      </c>
      <c r="E75" s="262" t="str">
        <f>IF(D75&gt;0,TEXT(D75/COUNTIF(Başvuru!$F:$F,"&lt;&gt;"&amp;"")*100,"0.0")&amp;"%","-")</f>
        <v>00%</v>
      </c>
      <c r="F75" s="265">
        <f>IF(C75="","",COUNTIFS(Başvuru!$D:$D,C75,Başvuru!$G:$G,"Bireysel Araştırma",Başvuru!$F:$F,"&lt;&gt;"&amp;""))</f>
        <v>0</v>
      </c>
      <c r="G75" s="265">
        <f>IF(C75="","",COUNTIFS(Başvuru!$D:$D,C75,Başvuru!$G:$G,"Uzmanlık Tezi",Başvuru!$F:$F,"&lt;&gt;"&amp;""))</f>
        <v>1</v>
      </c>
      <c r="H75" s="265">
        <f>IF(C75="","",COUNTIFS(Başvuru!$D:$D,C75,Başvuru!$G:$G,"Doktora Tezi",Başvuru!$F:$F,"&lt;&gt;"&amp;""))</f>
        <v>0</v>
      </c>
      <c r="I75" s="265">
        <f>IF(C75="","",COUNTIFS(Başvuru!$D:$D,C75,Başvuru!$G:$G,"Yüksek Lisans Tezi",Başvuru!$F:$F,"&lt;&gt;"&amp;""))</f>
        <v>0</v>
      </c>
      <c r="J75" s="266">
        <f>IF(C75="","",COUNTIFS(Başvuru!$D:$D,C75,Başvuru!$L:$L,"ONAY",Başvuru!$F:$F,"&lt;&gt;"&amp;""))</f>
        <v>1</v>
      </c>
      <c r="K75" s="267">
        <f>IF(C75="","",COUNTIFS(Başvuru!$D:$D,C75,Başvuru!$L:$L,"DÜZELTME",Başvuru!$F:$F,"&lt;&gt;"&amp;""))</f>
        <v>0</v>
      </c>
      <c r="L75" s="268">
        <f>IF(C75="","",COUNTIFS(Başvuru!$D:$D,C75,Başvuru!$L:$L,"KAEK",Başvuru!$F:$F,"&lt;&gt;"&amp;""))</f>
        <v>0</v>
      </c>
      <c r="M75" s="269">
        <f>IF(C75="","",COUNTIFS(Başvuru!$D:$D,C75,Başvuru!$L:$L,"GÖRÜŞ",Başvuru!$F:$F,"&lt;&gt;"&amp;""))</f>
        <v>0</v>
      </c>
      <c r="N75" s="270">
        <f>IF(C75="","",COUNTIFS(Başvuru!$D:$D,C75,Başvuru!$L:$L,"RET",Başvuru!$F:$F,"&lt;&gt;"&amp;""))</f>
        <v>0</v>
      </c>
      <c r="O75" s="271">
        <f>IF(C75="","",COUNTIFS(Başvuru!$D:$D,C75,Başvuru!$L:$L,"KAPSAM DIŞI",Başvuru!$F:$F,"&lt;&gt;"&amp;""))</f>
        <v>0</v>
      </c>
      <c r="P75" s="272">
        <f>IF(C75="","",COUNTIFS(Başvuru!$D:$D,C75,Başvuru!$L:$L,"GERİ ÇEKİLDİ",Başvuru!$F:$F,"&lt;&gt;"&amp;""))</f>
        <v>0</v>
      </c>
      <c r="Q75" s="260" t="s">
        <v>234</v>
      </c>
      <c r="R75" s="261">
        <f>COUNTIFS(Başvuru!$D:$D,Q75,Başvuru!$F:$F,"&lt;&gt;"&amp;"")</f>
        <v>93</v>
      </c>
      <c r="S75" s="261">
        <f>RANK(R75,$R$6:$R$78,0)+COUNTIF($R$6:R75,R75)-1</f>
        <v>2</v>
      </c>
    </row>
    <row r="76" spans="2:19" ht="15" customHeight="1" x14ac:dyDescent="0.25">
      <c r="B76" s="249">
        <v>71</v>
      </c>
      <c r="C76" s="250" t="str">
        <f>IFERROR(INDEX($Q$6:$Q$78,MATCH(71,$S$6:$S$78,0)),"")</f>
        <v>Tıbbi Genetik Anabilim Dalı</v>
      </c>
      <c r="D76" s="251">
        <f>IF(C76="","",COUNTIFS(Başvuru!$D:$D,C76,Başvuru!$F:$F,"&lt;&gt;"&amp;""))</f>
        <v>1</v>
      </c>
      <c r="E76" s="249" t="str">
        <f>IF(D76&gt;0,TEXT(D76/COUNTIF(Başvuru!$F:$F,"&lt;&gt;"&amp;"")*100,"0.0")&amp;"%","-")</f>
        <v>00%</v>
      </c>
      <c r="F76" s="252">
        <f>IF(C76="","",COUNTIFS(Başvuru!$D:$D,C76,Başvuru!$G:$G,"Bireysel Araştırma",Başvuru!$F:$F,"&lt;&gt;"&amp;""))</f>
        <v>0</v>
      </c>
      <c r="G76" s="252">
        <f>IF(C76="","",COUNTIFS(Başvuru!$D:$D,C76,Başvuru!$G:$G,"Uzmanlık Tezi",Başvuru!$F:$F,"&lt;&gt;"&amp;""))</f>
        <v>1</v>
      </c>
      <c r="H76" s="252">
        <f>IF(C76="","",COUNTIFS(Başvuru!$D:$D,C76,Başvuru!$G:$G,"Doktora Tezi",Başvuru!$F:$F,"&lt;&gt;"&amp;""))</f>
        <v>0</v>
      </c>
      <c r="I76" s="252">
        <f>IF(C76="","",COUNTIFS(Başvuru!$D:$D,C76,Başvuru!$G:$G,"Yüksek Lisans Tezi",Başvuru!$F:$F,"&lt;&gt;"&amp;""))</f>
        <v>0</v>
      </c>
      <c r="J76" s="253">
        <f>IF(C76="","",COUNTIFS(Başvuru!$D:$D,C76,Başvuru!$L:$L,"ONAY",Başvuru!$F:$F,"&lt;&gt;"&amp;""))</f>
        <v>1</v>
      </c>
      <c r="K76" s="254">
        <f>IF(C76="","",COUNTIFS(Başvuru!$D:$D,C76,Başvuru!$L:$L,"DÜZELTME",Başvuru!$F:$F,"&lt;&gt;"&amp;""))</f>
        <v>0</v>
      </c>
      <c r="L76" s="255">
        <f>IF(C76="","",COUNTIFS(Başvuru!$D:$D,C76,Başvuru!$L:$L,"KAEK",Başvuru!$F:$F,"&lt;&gt;"&amp;""))</f>
        <v>0</v>
      </c>
      <c r="M76" s="256">
        <f>IF(C76="","",COUNTIFS(Başvuru!$D:$D,C76,Başvuru!$L:$L,"GÖRÜŞ",Başvuru!$F:$F,"&lt;&gt;"&amp;""))</f>
        <v>0</v>
      </c>
      <c r="N76" s="257">
        <f>IF(C76="","",COUNTIFS(Başvuru!$D:$D,C76,Başvuru!$L:$L,"RET",Başvuru!$F:$F,"&lt;&gt;"&amp;""))</f>
        <v>0</v>
      </c>
      <c r="O76" s="258">
        <f>IF(C76="","",COUNTIFS(Başvuru!$D:$D,C76,Başvuru!$L:$L,"KAPSAM DIŞI",Başvuru!$F:$F,"&lt;&gt;"&amp;""))</f>
        <v>0</v>
      </c>
      <c r="P76" s="259">
        <f>IF(C76="","",COUNTIFS(Başvuru!$D:$D,C76,Başvuru!$L:$L,"GERİ ÇEKİLDİ",Başvuru!$F:$F,"&lt;&gt;"&amp;""))</f>
        <v>0</v>
      </c>
      <c r="Q76" s="260" t="s">
        <v>130</v>
      </c>
      <c r="R76" s="261">
        <f>COUNTIFS(Başvuru!$D:$D,Q76,Başvuru!$F:$F,"&lt;&gt;"&amp;"")</f>
        <v>14</v>
      </c>
      <c r="S76" s="261">
        <f>RANK(R76,$R$6:$R$78,0)+COUNTIF($R$6:R76,R76)-1</f>
        <v>11</v>
      </c>
    </row>
    <row r="77" spans="2:19" ht="15" customHeight="1" x14ac:dyDescent="0.25">
      <c r="B77" s="262">
        <v>72</v>
      </c>
      <c r="C77" s="263" t="str">
        <f>IFERROR(INDEX($Q$6:$Q$78,MATCH(72,$S$6:$S$78,0)),"")</f>
        <v>Tıbbi Laboratuvar Teknikleri Programı</v>
      </c>
      <c r="D77" s="264">
        <f>IF(C77="","",COUNTIFS(Başvuru!$D:$D,C77,Başvuru!$F:$F,"&lt;&gt;"&amp;""))</f>
        <v>1</v>
      </c>
      <c r="E77" s="262" t="str">
        <f>IF(D77&gt;0,TEXT(D77/COUNTIF(Başvuru!$F:$F,"&lt;&gt;"&amp;"")*100,"0.0")&amp;"%","-")</f>
        <v>00%</v>
      </c>
      <c r="F77" s="265">
        <f>IF(C77="","",COUNTIFS(Başvuru!$D:$D,C77,Başvuru!$G:$G,"Bireysel Araştırma",Başvuru!$F:$F,"&lt;&gt;"&amp;""))</f>
        <v>1</v>
      </c>
      <c r="G77" s="265">
        <f>IF(C77="","",COUNTIFS(Başvuru!$D:$D,C77,Başvuru!$G:$G,"Uzmanlık Tezi",Başvuru!$F:$F,"&lt;&gt;"&amp;""))</f>
        <v>0</v>
      </c>
      <c r="H77" s="265">
        <f>IF(C77="","",COUNTIFS(Başvuru!$D:$D,C77,Başvuru!$G:$G,"Doktora Tezi",Başvuru!$F:$F,"&lt;&gt;"&amp;""))</f>
        <v>0</v>
      </c>
      <c r="I77" s="265">
        <f>IF(C77="","",COUNTIFS(Başvuru!$D:$D,C77,Başvuru!$G:$G,"Yüksek Lisans Tezi",Başvuru!$F:$F,"&lt;&gt;"&amp;""))</f>
        <v>0</v>
      </c>
      <c r="J77" s="266">
        <f>IF(C77="","",COUNTIFS(Başvuru!$D:$D,C77,Başvuru!$L:$L,"ONAY",Başvuru!$F:$F,"&lt;&gt;"&amp;""))</f>
        <v>0</v>
      </c>
      <c r="K77" s="267">
        <f>IF(C77="","",COUNTIFS(Başvuru!$D:$D,C77,Başvuru!$L:$L,"DÜZELTME",Başvuru!$F:$F,"&lt;&gt;"&amp;""))</f>
        <v>1</v>
      </c>
      <c r="L77" s="268">
        <f>IF(C77="","",COUNTIFS(Başvuru!$D:$D,C77,Başvuru!$L:$L,"KAEK",Başvuru!$F:$F,"&lt;&gt;"&amp;""))</f>
        <v>0</v>
      </c>
      <c r="M77" s="269">
        <f>IF(C77="","",COUNTIFS(Başvuru!$D:$D,C77,Başvuru!$L:$L,"GÖRÜŞ",Başvuru!$F:$F,"&lt;&gt;"&amp;""))</f>
        <v>0</v>
      </c>
      <c r="N77" s="270">
        <f>IF(C77="","",COUNTIFS(Başvuru!$D:$D,C77,Başvuru!$L:$L,"RET",Başvuru!$F:$F,"&lt;&gt;"&amp;""))</f>
        <v>0</v>
      </c>
      <c r="O77" s="271">
        <f>IF(C77="","",COUNTIFS(Başvuru!$D:$D,C77,Başvuru!$L:$L,"KAPSAM DIŞI",Başvuru!$F:$F,"&lt;&gt;"&amp;""))</f>
        <v>0</v>
      </c>
      <c r="P77" s="272">
        <f>IF(C77="","",COUNTIFS(Başvuru!$D:$D,C77,Başvuru!$L:$L,"GERİ ÇEKİLDİ",Başvuru!$F:$F,"&lt;&gt;"&amp;""))</f>
        <v>0</v>
      </c>
      <c r="Q77" s="260" t="s">
        <v>432</v>
      </c>
      <c r="R77" s="261">
        <f>COUNTIFS(Başvuru!$D:$D,Q77,Başvuru!$F:$F,"&lt;&gt;"&amp;"")</f>
        <v>7</v>
      </c>
      <c r="S77" s="261">
        <f>RANK(R77,$R$6:$R$78,0)+COUNTIF($R$6:R77,R77)-1</f>
        <v>22</v>
      </c>
    </row>
    <row r="78" spans="2:19" ht="15" customHeight="1" x14ac:dyDescent="0.25">
      <c r="B78" s="249">
        <v>73</v>
      </c>
      <c r="C78" s="250" t="str">
        <f>IFERROR(INDEX($Q$6:$Q$78,MATCH(73,$S$6:$S$78,0)),"")</f>
        <v>Çocuk Sağlığı Entitüsü</v>
      </c>
      <c r="D78" s="251">
        <f>IF(C78="","",COUNTIFS(Başvuru!$D:$D,C78,Başvuru!$F:$F,"&lt;&gt;"&amp;""))</f>
        <v>1</v>
      </c>
      <c r="E78" s="249" t="str">
        <f>IF(D78&gt;0,TEXT(D78/COUNTIF(Başvuru!$F:$F,"&lt;&gt;"&amp;"")*100,"0.0")&amp;"%","-")</f>
        <v>00%</v>
      </c>
      <c r="F78" s="252">
        <f>IF(C78="","",COUNTIFS(Başvuru!$D:$D,C78,Başvuru!$G:$G,"Bireysel Araştırma",Başvuru!$F:$F,"&lt;&gt;"&amp;""))</f>
        <v>1</v>
      </c>
      <c r="G78" s="252">
        <f>IF(C78="","",COUNTIFS(Başvuru!$D:$D,C78,Başvuru!$G:$G,"Uzmanlık Tezi",Başvuru!$F:$F,"&lt;&gt;"&amp;""))</f>
        <v>0</v>
      </c>
      <c r="H78" s="252">
        <f>IF(C78="","",COUNTIFS(Başvuru!$D:$D,C78,Başvuru!$G:$G,"Doktora Tezi",Başvuru!$F:$F,"&lt;&gt;"&amp;""))</f>
        <v>0</v>
      </c>
      <c r="I78" s="252">
        <f>IF(C78="","",COUNTIFS(Başvuru!$D:$D,C78,Başvuru!$G:$G,"Yüksek Lisans Tezi",Başvuru!$F:$F,"&lt;&gt;"&amp;""))</f>
        <v>0</v>
      </c>
      <c r="J78" s="253">
        <f>IF(C78="","",COUNTIFS(Başvuru!$D:$D,C78,Başvuru!$L:$L,"ONAY",Başvuru!$F:$F,"&lt;&gt;"&amp;""))</f>
        <v>0</v>
      </c>
      <c r="K78" s="254">
        <f>IF(C78="","",COUNTIFS(Başvuru!$D:$D,C78,Başvuru!$L:$L,"DÜZELTME",Başvuru!$F:$F,"&lt;&gt;"&amp;""))</f>
        <v>1</v>
      </c>
      <c r="L78" s="255">
        <f>IF(C78="","",COUNTIFS(Başvuru!$D:$D,C78,Başvuru!$L:$L,"KAEK",Başvuru!$F:$F,"&lt;&gt;"&amp;""))</f>
        <v>0</v>
      </c>
      <c r="M78" s="256">
        <f>IF(C78="","",COUNTIFS(Başvuru!$D:$D,C78,Başvuru!$L:$L,"GÖRÜŞ",Başvuru!$F:$F,"&lt;&gt;"&amp;""))</f>
        <v>0</v>
      </c>
      <c r="N78" s="257">
        <f>IF(C78="","",COUNTIFS(Başvuru!$D:$D,C78,Başvuru!$L:$L,"RET",Başvuru!$F:$F,"&lt;&gt;"&amp;""))</f>
        <v>0</v>
      </c>
      <c r="O78" s="258">
        <f>IF(C78="","",COUNTIFS(Başvuru!$D:$D,C78,Başvuru!$L:$L,"KAPSAM DIŞI",Başvuru!$F:$F,"&lt;&gt;"&amp;""))</f>
        <v>0</v>
      </c>
      <c r="P78" s="259">
        <f>IF(C78="","",COUNTIFS(Başvuru!$D:$D,C78,Başvuru!$L:$L,"GERİ ÇEKİLDİ",Başvuru!$F:$F,"&lt;&gt;"&amp;""))</f>
        <v>0</v>
      </c>
      <c r="Q78" s="260" t="s">
        <v>107</v>
      </c>
      <c r="R78" s="261">
        <f>COUNTIFS(Başvuru!$D:$D,Q78,Başvuru!$F:$F,"&lt;&gt;"&amp;"")</f>
        <v>98</v>
      </c>
      <c r="S78" s="261">
        <f>RANK(R78,$R$6:$R$78,0)+COUNTIF($R$6:R78,R78)-1</f>
        <v>1</v>
      </c>
    </row>
    <row r="79" spans="2:19" ht="20.100000000000001" customHeight="1" x14ac:dyDescent="0.25">
      <c r="B79" s="273"/>
      <c r="C79" s="274" t="s">
        <v>4</v>
      </c>
      <c r="D79" s="275">
        <f>COUNTIF(Başvuru!$F:$F,"&lt;&gt;"&amp;"")-1</f>
        <v>1659</v>
      </c>
      <c r="E79" s="276" t="s">
        <v>5662</v>
      </c>
      <c r="F79" s="277">
        <f>COUNTIFS(Başvuru!$G:$G,"Bireysel Araştırma",Başvuru!$F:$F,"&lt;&gt;"&amp;"")</f>
        <v>435</v>
      </c>
      <c r="G79" s="277">
        <f>COUNTIFS(Başvuru!$G:$G,"Uzmanlık Tezi",Başvuru!$F:$F,"&lt;&gt;"&amp;"")</f>
        <v>100</v>
      </c>
      <c r="H79" s="277">
        <f>COUNTIFS(Başvuru!$G:$G,"Doktora Tezi",Başvuru!$F:$F,"&lt;&gt;"&amp;"")</f>
        <v>29</v>
      </c>
      <c r="I79" s="277">
        <f>COUNTIFS(Başvuru!$G:$G,"Yüksek Lisans Tezi",Başvuru!$F:$F,"&lt;&gt;"&amp;"")</f>
        <v>14</v>
      </c>
      <c r="J79" s="278">
        <f>COUNTIFS(Başvuru!$L:$L,"ONAY",Başvuru!$F:$F,"&lt;&gt;"&amp;"")</f>
        <v>266</v>
      </c>
      <c r="K79" s="279">
        <f>COUNTIFS(Başvuru!$L:$L,"DÜZELTME",Başvuru!$F:$F,"&lt;&gt;"&amp;"")</f>
        <v>165</v>
      </c>
      <c r="L79" s="280">
        <f>COUNTIFS(Başvuru!$L:$L,"KAEK",Başvuru!$F:$F,"&lt;&gt;"&amp;"")</f>
        <v>7</v>
      </c>
      <c r="M79" s="281">
        <f>COUNTIFS(Başvuru!$L:$L,"GÖRÜŞ",Başvuru!$F:$F,"&lt;&gt;"&amp;"")</f>
        <v>23</v>
      </c>
      <c r="N79" s="282">
        <f>COUNTIFS(Başvuru!$L:$L,"RET",Başvuru!$F:$F,"&lt;&gt;"&amp;"")</f>
        <v>18</v>
      </c>
      <c r="O79" s="283">
        <f>COUNTIFS(Başvuru!$L:$L,"KAPSAM DIŞI",Başvuru!$F:$F,"&lt;&gt;"&amp;"")</f>
        <v>7</v>
      </c>
      <c r="P79" s="284">
        <f>COUNTIFS(Başvuru!$L:$L,"GERİ ÇEKİLDİ",Başvuru!$F:$F,"&lt;&gt;"&amp;"")</f>
        <v>0</v>
      </c>
    </row>
  </sheetData>
  <autoFilter ref="B5:P78" xr:uid="{00000000-0009-0000-0000-00000C000000}"/>
  <mergeCells count="2">
    <mergeCell ref="B3:P3"/>
    <mergeCell ref="B2:P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O79"/>
  <sheetViews>
    <sheetView showZeros="0" zoomScaleNormal="100" workbookViewId="0">
      <selection activeCell="I9" sqref="I9"/>
    </sheetView>
  </sheetViews>
  <sheetFormatPr defaultColWidth="8.7109375" defaultRowHeight="15" x14ac:dyDescent="0.25"/>
  <cols>
    <col min="1" max="1" width="46" customWidth="1"/>
    <col min="2" max="15" width="10" customWidth="1"/>
  </cols>
  <sheetData>
    <row r="1" spans="1:15" ht="27.75" customHeight="1" x14ac:dyDescent="0.25">
      <c r="A1" s="325" t="s">
        <v>3764</v>
      </c>
      <c r="B1" s="294"/>
      <c r="C1" s="294"/>
      <c r="D1" s="294"/>
      <c r="E1" s="294"/>
      <c r="F1" s="294"/>
      <c r="G1" s="294"/>
      <c r="H1" s="294"/>
      <c r="I1" s="294"/>
      <c r="J1" s="294"/>
      <c r="K1" s="294"/>
      <c r="L1" s="294"/>
      <c r="M1" s="294"/>
      <c r="N1" s="294"/>
      <c r="O1" s="294"/>
    </row>
    <row r="2" spans="1:15" ht="19.5" customHeight="1" x14ac:dyDescent="0.25">
      <c r="A2" s="327" t="s">
        <v>3765</v>
      </c>
      <c r="B2" s="294"/>
      <c r="C2" s="294"/>
      <c r="D2" s="294"/>
      <c r="E2" s="294"/>
      <c r="F2" s="294"/>
      <c r="G2" s="294"/>
      <c r="H2" s="294"/>
      <c r="I2" s="294"/>
      <c r="J2" s="294"/>
      <c r="K2" s="294"/>
      <c r="L2" s="294"/>
      <c r="M2" s="294"/>
      <c r="N2" s="294"/>
      <c r="O2" s="294"/>
    </row>
    <row r="3" spans="1:15" ht="36" customHeight="1" x14ac:dyDescent="0.25">
      <c r="A3" s="98" t="s">
        <v>3766</v>
      </c>
      <c r="B3" s="99">
        <f>Toplantı!$B$4</f>
        <v>46028</v>
      </c>
      <c r="C3" s="99">
        <f>Toplantı!$B$5</f>
        <v>46042</v>
      </c>
      <c r="D3" s="99">
        <f>Toplantı!$B$6</f>
        <v>46057</v>
      </c>
      <c r="E3" s="99">
        <f>Toplantı!$B$7</f>
        <v>46070</v>
      </c>
      <c r="F3" s="99">
        <f>Toplantı!$B$8</f>
        <v>46084</v>
      </c>
      <c r="G3" s="99">
        <f>Toplantı!$B$9</f>
        <v>46098</v>
      </c>
      <c r="H3" s="99">
        <f>Toplantı!$B$10</f>
        <v>46112</v>
      </c>
      <c r="I3" s="99">
        <f>Toplantı!$B$11</f>
        <v>46126</v>
      </c>
      <c r="J3" s="99">
        <f>Toplantı!$B$12</f>
        <v>46140</v>
      </c>
      <c r="K3" s="99">
        <f>Toplantı!$B$13</f>
        <v>46154</v>
      </c>
      <c r="L3" s="99">
        <f>Toplantı!$B$14</f>
        <v>46175</v>
      </c>
      <c r="M3" s="99">
        <f>Toplantı!$B$15</f>
        <v>46196</v>
      </c>
      <c r="N3" s="99">
        <f>Toplantı!$B$16</f>
        <v>46217</v>
      </c>
      <c r="O3" s="98" t="s">
        <v>4</v>
      </c>
    </row>
    <row r="4" spans="1:15" ht="15.75" customHeight="1" x14ac:dyDescent="0.25">
      <c r="A4" s="100" t="s">
        <v>107</v>
      </c>
      <c r="B4" s="101">
        <f>COUNTIFS(Başvuru!$I:$I,Toplantı!$B$4,Başvuru!$D:$D,$A$4)</f>
        <v>6</v>
      </c>
      <c r="C4" s="101">
        <f>COUNTIFS(Başvuru!$I:$I,Toplantı!$B$5,Başvuru!$D:$D,$A$4)</f>
        <v>7</v>
      </c>
      <c r="D4" s="101">
        <f>COUNTIFS(Başvuru!$I:$I,Toplantı!$B$6,Başvuru!$D:$D,$A$4)</f>
        <v>7</v>
      </c>
      <c r="E4" s="101">
        <f>COUNTIFS(Başvuru!$I:$I,Toplantı!$B$7,Başvuru!$D:$D,$A$4)</f>
        <v>7</v>
      </c>
      <c r="F4" s="101">
        <f>COUNTIFS(Başvuru!$I:$I,Toplantı!$B$8,Başvuru!$D:$D,$A$4)</f>
        <v>5</v>
      </c>
      <c r="G4" s="101">
        <f>COUNTIFS(Başvuru!$I:$I,Toplantı!$B$9,Başvuru!$D:$D,$A$4)</f>
        <v>3</v>
      </c>
      <c r="H4" s="101">
        <f>COUNTIFS(Başvuru!$I:$I,Toplantı!$B$10,Başvuru!$D:$D,$A$4)</f>
        <v>7</v>
      </c>
      <c r="I4" s="101">
        <f>COUNTIFS(Başvuru!$I:$I,Toplantı!$B$11,Başvuru!$D:$D,$A$4)</f>
        <v>10</v>
      </c>
      <c r="J4" s="101">
        <f>COUNTIFS(Başvuru!$I:$I,Toplantı!$B$12,Başvuru!$D:$D,$A$4)</f>
        <v>9</v>
      </c>
      <c r="K4" s="101">
        <f>COUNTIFS(Başvuru!$I:$I,Toplantı!$B$13,Başvuru!$D:$D,$A$4)</f>
        <v>12</v>
      </c>
      <c r="L4" s="101">
        <f>COUNTIFS(Başvuru!$I:$I,Toplantı!$B$14,Başvuru!$D:$D,$A$4)</f>
        <v>9</v>
      </c>
      <c r="M4" s="101">
        <f>COUNTIFS(Başvuru!$I:$I,Toplantı!$B$15,Başvuru!$D:$D,$A$4)</f>
        <v>9</v>
      </c>
      <c r="N4" s="101">
        <f>COUNTIFS(Başvuru!$I:$I,Toplantı!$B$16,Başvuru!$D:$D,$A$4)</f>
        <v>7</v>
      </c>
      <c r="O4" s="102">
        <f t="shared" ref="O4:O35" si="0">SUM(B4:M4)</f>
        <v>91</v>
      </c>
    </row>
    <row r="5" spans="1:15" ht="15.75" customHeight="1" x14ac:dyDescent="0.25">
      <c r="A5" s="103" t="s">
        <v>234</v>
      </c>
      <c r="B5" s="104">
        <f>COUNTIFS(Başvuru!$I:$I,Toplantı!$B$4,Başvuru!$D:$D,$A$5)</f>
        <v>5</v>
      </c>
      <c r="C5" s="104">
        <f>COUNTIFS(Başvuru!$I:$I,Toplantı!$B$5,Başvuru!$D:$D,$A$5)</f>
        <v>9</v>
      </c>
      <c r="D5" s="104">
        <f>COUNTIFS(Başvuru!$I:$I,Toplantı!$B$6,Başvuru!$D:$D,$A$5)</f>
        <v>5</v>
      </c>
      <c r="E5" s="104">
        <f>COUNTIFS(Başvuru!$I:$I,Toplantı!$B$7,Başvuru!$D:$D,$A$5)</f>
        <v>4</v>
      </c>
      <c r="F5" s="104">
        <f>COUNTIFS(Başvuru!$I:$I,Toplantı!$B$8,Başvuru!$D:$D,$A$5)</f>
        <v>6</v>
      </c>
      <c r="G5" s="104">
        <f>COUNTIFS(Başvuru!$I:$I,Toplantı!$B$9,Başvuru!$D:$D,$A$5)</f>
        <v>10</v>
      </c>
      <c r="H5" s="104">
        <f>COUNTIFS(Başvuru!$I:$I,Toplantı!$B$10,Başvuru!$D:$D,$A$5)</f>
        <v>7</v>
      </c>
      <c r="I5" s="104">
        <f>COUNTIFS(Başvuru!$I:$I,Toplantı!$B$11,Başvuru!$D:$D,$A$5)</f>
        <v>3</v>
      </c>
      <c r="J5" s="104">
        <f>COUNTIFS(Başvuru!$I:$I,Toplantı!$B$12,Başvuru!$D:$D,$A$5)</f>
        <v>8</v>
      </c>
      <c r="K5" s="104">
        <f>COUNTIFS(Başvuru!$I:$I,Toplantı!$B$13,Başvuru!$D:$D,$A$5)</f>
        <v>12</v>
      </c>
      <c r="L5" s="104">
        <f>COUNTIFS(Başvuru!$I:$I,Toplantı!$B$14,Başvuru!$D:$D,$A$5)</f>
        <v>3</v>
      </c>
      <c r="M5" s="104">
        <f>COUNTIFS(Başvuru!$I:$I,Toplantı!$B$15,Başvuru!$D:$D,$A$5)</f>
        <v>6</v>
      </c>
      <c r="N5" s="104">
        <f>COUNTIFS(Başvuru!$I:$I,Toplantı!$B$16,Başvuru!$D:$D,$A$5)</f>
        <v>15</v>
      </c>
      <c r="O5" s="102">
        <f t="shared" si="0"/>
        <v>78</v>
      </c>
    </row>
    <row r="6" spans="1:15" ht="15.75" customHeight="1" x14ac:dyDescent="0.25">
      <c r="A6" s="100" t="s">
        <v>241</v>
      </c>
      <c r="B6" s="101">
        <f>COUNTIFS(Başvuru!$I:$I,Toplantı!$B$4,Başvuru!$D:$D,$A$6)</f>
        <v>2</v>
      </c>
      <c r="C6" s="101">
        <f>COUNTIFS(Başvuru!$I:$I,Toplantı!$B$5,Başvuru!$D:$D,$A$6)</f>
        <v>0</v>
      </c>
      <c r="D6" s="101">
        <f>COUNTIFS(Başvuru!$I:$I,Toplantı!$B$6,Başvuru!$D:$D,$A$6)</f>
        <v>2</v>
      </c>
      <c r="E6" s="101">
        <f>COUNTIFS(Başvuru!$I:$I,Toplantı!$B$7,Başvuru!$D:$D,$A$6)</f>
        <v>5</v>
      </c>
      <c r="F6" s="101">
        <f>COUNTIFS(Başvuru!$I:$I,Toplantı!$B$8,Başvuru!$D:$D,$A$6)</f>
        <v>1</v>
      </c>
      <c r="G6" s="101">
        <f>COUNTIFS(Başvuru!$I:$I,Toplantı!$B$9,Başvuru!$D:$D,$A$6)</f>
        <v>5</v>
      </c>
      <c r="H6" s="101">
        <f>COUNTIFS(Başvuru!$I:$I,Toplantı!$B$10,Başvuru!$D:$D,$A$6)</f>
        <v>4</v>
      </c>
      <c r="I6" s="101">
        <f>COUNTIFS(Başvuru!$I:$I,Toplantı!$B$11,Başvuru!$D:$D,$A$6)</f>
        <v>3</v>
      </c>
      <c r="J6" s="101">
        <f>COUNTIFS(Başvuru!$I:$I,Toplantı!$B$12,Başvuru!$D:$D,$A$6)</f>
        <v>1</v>
      </c>
      <c r="K6" s="101">
        <f>COUNTIFS(Başvuru!$I:$I,Toplantı!$B$13,Başvuru!$D:$D,$A$6)</f>
        <v>0</v>
      </c>
      <c r="L6" s="101">
        <f>COUNTIFS(Başvuru!$I:$I,Toplantı!$B$14,Başvuru!$D:$D,$A$6)</f>
        <v>2</v>
      </c>
      <c r="M6" s="101">
        <f>COUNTIFS(Başvuru!$I:$I,Toplantı!$B$15,Başvuru!$D:$D,$A$6)</f>
        <v>3</v>
      </c>
      <c r="N6" s="101">
        <f>COUNTIFS(Başvuru!$I:$I,Toplantı!$B$16,Başvuru!$D:$D,$A$6)</f>
        <v>2</v>
      </c>
      <c r="O6" s="102">
        <f t="shared" si="0"/>
        <v>28</v>
      </c>
    </row>
    <row r="7" spans="1:15" ht="15.75" customHeight="1" x14ac:dyDescent="0.25">
      <c r="A7" s="103" t="s">
        <v>392</v>
      </c>
      <c r="B7" s="104">
        <f>COUNTIFS(Başvuru!$I:$I,Toplantı!$B$4,Başvuru!$D:$D,$A$7)</f>
        <v>1</v>
      </c>
      <c r="C7" s="104">
        <f>COUNTIFS(Başvuru!$I:$I,Toplantı!$B$5,Başvuru!$D:$D,$A$7)</f>
        <v>2</v>
      </c>
      <c r="D7" s="104">
        <f>COUNTIFS(Başvuru!$I:$I,Toplantı!$B$6,Başvuru!$D:$D,$A$7)</f>
        <v>1</v>
      </c>
      <c r="E7" s="104">
        <f>COUNTIFS(Başvuru!$I:$I,Toplantı!$B$7,Başvuru!$D:$D,$A$7)</f>
        <v>1</v>
      </c>
      <c r="F7" s="104">
        <f>COUNTIFS(Başvuru!$I:$I,Toplantı!$B$8,Başvuru!$D:$D,$A$7)</f>
        <v>1</v>
      </c>
      <c r="G7" s="104">
        <f>COUNTIFS(Başvuru!$I:$I,Toplantı!$B$9,Başvuru!$D:$D,$A$7)</f>
        <v>4</v>
      </c>
      <c r="H7" s="104">
        <f>COUNTIFS(Başvuru!$I:$I,Toplantı!$B$10,Başvuru!$D:$D,$A$7)</f>
        <v>0</v>
      </c>
      <c r="I7" s="104">
        <f>COUNTIFS(Başvuru!$I:$I,Toplantı!$B$11,Başvuru!$D:$D,$A$7)</f>
        <v>3</v>
      </c>
      <c r="J7" s="104">
        <f>COUNTIFS(Başvuru!$I:$I,Toplantı!$B$12,Başvuru!$D:$D,$A$7)</f>
        <v>1</v>
      </c>
      <c r="K7" s="104">
        <f>COUNTIFS(Başvuru!$I:$I,Toplantı!$B$13,Başvuru!$D:$D,$A$7)</f>
        <v>3</v>
      </c>
      <c r="L7" s="104">
        <f>COUNTIFS(Başvuru!$I:$I,Toplantı!$B$14,Başvuru!$D:$D,$A$7)</f>
        <v>1</v>
      </c>
      <c r="M7" s="104">
        <f>COUNTIFS(Başvuru!$I:$I,Toplantı!$B$15,Başvuru!$D:$D,$A$7)</f>
        <v>0</v>
      </c>
      <c r="N7" s="104">
        <f>COUNTIFS(Başvuru!$I:$I,Toplantı!$B$16,Başvuru!$D:$D,$A$7)</f>
        <v>2</v>
      </c>
      <c r="O7" s="102">
        <f t="shared" si="0"/>
        <v>18</v>
      </c>
    </row>
    <row r="8" spans="1:15" ht="15.75" customHeight="1" x14ac:dyDescent="0.25">
      <c r="A8" s="100" t="s">
        <v>79</v>
      </c>
      <c r="B8" s="101">
        <f>COUNTIFS(Başvuru!$I:$I,Toplantı!$B$4,Başvuru!$D:$D,$A$8)</f>
        <v>1</v>
      </c>
      <c r="C8" s="101">
        <f>COUNTIFS(Başvuru!$I:$I,Toplantı!$B$5,Başvuru!$D:$D,$A$8)</f>
        <v>2</v>
      </c>
      <c r="D8" s="101">
        <f>COUNTIFS(Başvuru!$I:$I,Toplantı!$B$6,Başvuru!$D:$D,$A$8)</f>
        <v>1</v>
      </c>
      <c r="E8" s="101">
        <f>COUNTIFS(Başvuru!$I:$I,Toplantı!$B$7,Başvuru!$D:$D,$A$8)</f>
        <v>1</v>
      </c>
      <c r="F8" s="101">
        <f>COUNTIFS(Başvuru!$I:$I,Toplantı!$B$8,Başvuru!$D:$D,$A$8)</f>
        <v>4</v>
      </c>
      <c r="G8" s="101">
        <f>COUNTIFS(Başvuru!$I:$I,Toplantı!$B$9,Başvuru!$D:$D,$A$8)</f>
        <v>2</v>
      </c>
      <c r="H8" s="101">
        <f>COUNTIFS(Başvuru!$I:$I,Toplantı!$B$10,Başvuru!$D:$D,$A$8)</f>
        <v>1</v>
      </c>
      <c r="I8" s="101">
        <f>COUNTIFS(Başvuru!$I:$I,Toplantı!$B$11,Başvuru!$D:$D,$A$8)</f>
        <v>1</v>
      </c>
      <c r="J8" s="101">
        <f>COUNTIFS(Başvuru!$I:$I,Toplantı!$B$12,Başvuru!$D:$D,$A$8)</f>
        <v>3</v>
      </c>
      <c r="K8" s="101">
        <f>COUNTIFS(Başvuru!$I:$I,Toplantı!$B$13,Başvuru!$D:$D,$A$8)</f>
        <v>0</v>
      </c>
      <c r="L8" s="101">
        <f>COUNTIFS(Başvuru!$I:$I,Toplantı!$B$14,Başvuru!$D:$D,$A$8)</f>
        <v>1</v>
      </c>
      <c r="M8" s="101">
        <f>COUNTIFS(Başvuru!$I:$I,Toplantı!$B$15,Başvuru!$D:$D,$A$8)</f>
        <v>0</v>
      </c>
      <c r="N8" s="101">
        <f>COUNTIFS(Başvuru!$I:$I,Toplantı!$B$16,Başvuru!$D:$D,$A$8)</f>
        <v>1</v>
      </c>
      <c r="O8" s="102">
        <f t="shared" si="0"/>
        <v>17</v>
      </c>
    </row>
    <row r="9" spans="1:15" ht="15.75" customHeight="1" x14ac:dyDescent="0.25">
      <c r="A9" s="103" t="s">
        <v>248</v>
      </c>
      <c r="B9" s="104">
        <f>COUNTIFS(Başvuru!$I:$I,Toplantı!$B$4,Başvuru!$D:$D,$A$9)</f>
        <v>5</v>
      </c>
      <c r="C9" s="104">
        <f>COUNTIFS(Başvuru!$I:$I,Toplantı!$B$5,Başvuru!$D:$D,$A$9)</f>
        <v>0</v>
      </c>
      <c r="D9" s="104">
        <f>COUNTIFS(Başvuru!$I:$I,Toplantı!$B$6,Başvuru!$D:$D,$A$9)</f>
        <v>0</v>
      </c>
      <c r="E9" s="104">
        <f>COUNTIFS(Başvuru!$I:$I,Toplantı!$B$7,Başvuru!$D:$D,$A$9)</f>
        <v>0</v>
      </c>
      <c r="F9" s="104">
        <f>COUNTIFS(Başvuru!$I:$I,Toplantı!$B$8,Başvuru!$D:$D,$A$9)</f>
        <v>0</v>
      </c>
      <c r="G9" s="104">
        <f>COUNTIFS(Başvuru!$I:$I,Toplantı!$B$9,Başvuru!$D:$D,$A$9)</f>
        <v>0</v>
      </c>
      <c r="H9" s="104">
        <f>COUNTIFS(Başvuru!$I:$I,Toplantı!$B$10,Başvuru!$D:$D,$A$9)</f>
        <v>1</v>
      </c>
      <c r="I9" s="104">
        <f>COUNTIFS(Başvuru!$I:$I,Toplantı!$B$11,Başvuru!$D:$D,$A$9)</f>
        <v>1</v>
      </c>
      <c r="J9" s="104">
        <f>COUNTIFS(Başvuru!$I:$I,Toplantı!$B$12,Başvuru!$D:$D,$A$9)</f>
        <v>0</v>
      </c>
      <c r="K9" s="104">
        <f>COUNTIFS(Başvuru!$I:$I,Toplantı!$B$13,Başvuru!$D:$D,$A$9)</f>
        <v>0</v>
      </c>
      <c r="L9" s="104">
        <f>COUNTIFS(Başvuru!$I:$I,Toplantı!$B$14,Başvuru!$D:$D,$A$9)</f>
        <v>4</v>
      </c>
      <c r="M9" s="104">
        <f>COUNTIFS(Başvuru!$I:$I,Toplantı!$B$15,Başvuru!$D:$D,$A$9)</f>
        <v>6</v>
      </c>
      <c r="N9" s="104">
        <f>COUNTIFS(Başvuru!$I:$I,Toplantı!$B$16,Başvuru!$D:$D,$A$9)</f>
        <v>1</v>
      </c>
      <c r="O9" s="102">
        <f t="shared" si="0"/>
        <v>17</v>
      </c>
    </row>
    <row r="10" spans="1:15" ht="15.75" customHeight="1" x14ac:dyDescent="0.25">
      <c r="A10" s="100" t="s">
        <v>419</v>
      </c>
      <c r="B10" s="101">
        <f>COUNTIFS(Başvuru!$I:$I,Toplantı!$B$4,Başvuru!$D:$D,$A$10)</f>
        <v>0</v>
      </c>
      <c r="C10" s="101">
        <f>COUNTIFS(Başvuru!$I:$I,Toplantı!$B$5,Başvuru!$D:$D,$A$10)</f>
        <v>1</v>
      </c>
      <c r="D10" s="101">
        <f>COUNTIFS(Başvuru!$I:$I,Toplantı!$B$6,Başvuru!$D:$D,$A$10)</f>
        <v>0</v>
      </c>
      <c r="E10" s="101">
        <f>COUNTIFS(Başvuru!$I:$I,Toplantı!$B$7,Başvuru!$D:$D,$A$10)</f>
        <v>4</v>
      </c>
      <c r="F10" s="101">
        <f>COUNTIFS(Başvuru!$I:$I,Toplantı!$B$8,Başvuru!$D:$D,$A$10)</f>
        <v>0</v>
      </c>
      <c r="G10" s="101">
        <f>COUNTIFS(Başvuru!$I:$I,Toplantı!$B$9,Başvuru!$D:$D,$A$10)</f>
        <v>7</v>
      </c>
      <c r="H10" s="101">
        <f>COUNTIFS(Başvuru!$I:$I,Toplantı!$B$10,Başvuru!$D:$D,$A$10)</f>
        <v>0</v>
      </c>
      <c r="I10" s="101">
        <f>COUNTIFS(Başvuru!$I:$I,Toplantı!$B$11,Başvuru!$D:$D,$A$10)</f>
        <v>1</v>
      </c>
      <c r="J10" s="101">
        <f>COUNTIFS(Başvuru!$I:$I,Toplantı!$B$12,Başvuru!$D:$D,$A$10)</f>
        <v>0</v>
      </c>
      <c r="K10" s="101">
        <f>COUNTIFS(Başvuru!$I:$I,Toplantı!$B$13,Başvuru!$D:$D,$A$10)</f>
        <v>1</v>
      </c>
      <c r="L10" s="101">
        <f>COUNTIFS(Başvuru!$I:$I,Toplantı!$B$14,Başvuru!$D:$D,$A$10)</f>
        <v>2</v>
      </c>
      <c r="M10" s="101">
        <f>COUNTIFS(Başvuru!$I:$I,Toplantı!$B$15,Başvuru!$D:$D,$A$10)</f>
        <v>0</v>
      </c>
      <c r="N10" s="101">
        <f>COUNTIFS(Başvuru!$I:$I,Toplantı!$B$16,Başvuru!$D:$D,$A$10)</f>
        <v>0</v>
      </c>
      <c r="O10" s="102">
        <f t="shared" si="0"/>
        <v>16</v>
      </c>
    </row>
    <row r="11" spans="1:15" ht="15.75" customHeight="1" x14ac:dyDescent="0.25">
      <c r="A11" s="103" t="s">
        <v>172</v>
      </c>
      <c r="B11" s="104">
        <f>COUNTIFS(Başvuru!$I:$I,Toplantı!$B$4,Başvuru!$D:$D,$A$11)</f>
        <v>5</v>
      </c>
      <c r="C11" s="104">
        <f>COUNTIFS(Başvuru!$I:$I,Toplantı!$B$5,Başvuru!$D:$D,$A$11)</f>
        <v>0</v>
      </c>
      <c r="D11" s="104">
        <f>COUNTIFS(Başvuru!$I:$I,Toplantı!$B$6,Başvuru!$D:$D,$A$11)</f>
        <v>3</v>
      </c>
      <c r="E11" s="104">
        <f>COUNTIFS(Başvuru!$I:$I,Toplantı!$B$7,Başvuru!$D:$D,$A$11)</f>
        <v>1</v>
      </c>
      <c r="F11" s="104">
        <f>COUNTIFS(Başvuru!$I:$I,Toplantı!$B$8,Başvuru!$D:$D,$A$11)</f>
        <v>0</v>
      </c>
      <c r="G11" s="104">
        <f>COUNTIFS(Başvuru!$I:$I,Toplantı!$B$9,Başvuru!$D:$D,$A$11)</f>
        <v>1</v>
      </c>
      <c r="H11" s="104">
        <f>COUNTIFS(Başvuru!$I:$I,Toplantı!$B$10,Başvuru!$D:$D,$A$11)</f>
        <v>2</v>
      </c>
      <c r="I11" s="104">
        <f>COUNTIFS(Başvuru!$I:$I,Toplantı!$B$11,Başvuru!$D:$D,$A$11)</f>
        <v>1</v>
      </c>
      <c r="J11" s="104">
        <f>COUNTIFS(Başvuru!$I:$I,Toplantı!$B$12,Başvuru!$D:$D,$A$11)</f>
        <v>1</v>
      </c>
      <c r="K11" s="104">
        <f>COUNTIFS(Başvuru!$I:$I,Toplantı!$B$13,Başvuru!$D:$D,$A$11)</f>
        <v>0</v>
      </c>
      <c r="L11" s="104">
        <f>COUNTIFS(Başvuru!$I:$I,Toplantı!$B$14,Başvuru!$D:$D,$A$11)</f>
        <v>1</v>
      </c>
      <c r="M11" s="104">
        <f>COUNTIFS(Başvuru!$I:$I,Toplantı!$B$15,Başvuru!$D:$D,$A$11)</f>
        <v>0</v>
      </c>
      <c r="N11" s="104">
        <f>COUNTIFS(Başvuru!$I:$I,Toplantı!$B$16,Başvuru!$D:$D,$A$11)</f>
        <v>0</v>
      </c>
      <c r="O11" s="102">
        <f t="shared" si="0"/>
        <v>15</v>
      </c>
    </row>
    <row r="12" spans="1:15" ht="15.75" customHeight="1" x14ac:dyDescent="0.25">
      <c r="A12" s="100" t="s">
        <v>200</v>
      </c>
      <c r="B12" s="101">
        <f>COUNTIFS(Başvuru!$I:$I,Toplantı!$B$4,Başvuru!$D:$D,$A$12)</f>
        <v>2</v>
      </c>
      <c r="C12" s="101">
        <f>COUNTIFS(Başvuru!$I:$I,Toplantı!$B$5,Başvuru!$D:$D,$A$12)</f>
        <v>3</v>
      </c>
      <c r="D12" s="101">
        <f>COUNTIFS(Başvuru!$I:$I,Toplantı!$B$6,Başvuru!$D:$D,$A$12)</f>
        <v>0</v>
      </c>
      <c r="E12" s="101">
        <f>COUNTIFS(Başvuru!$I:$I,Toplantı!$B$7,Başvuru!$D:$D,$A$12)</f>
        <v>1</v>
      </c>
      <c r="F12" s="101">
        <f>COUNTIFS(Başvuru!$I:$I,Toplantı!$B$8,Başvuru!$D:$D,$A$12)</f>
        <v>0</v>
      </c>
      <c r="G12" s="101">
        <f>COUNTIFS(Başvuru!$I:$I,Toplantı!$B$9,Başvuru!$D:$D,$A$12)</f>
        <v>0</v>
      </c>
      <c r="H12" s="101">
        <f>COUNTIFS(Başvuru!$I:$I,Toplantı!$B$10,Başvuru!$D:$D,$A$12)</f>
        <v>1</v>
      </c>
      <c r="I12" s="101">
        <f>COUNTIFS(Başvuru!$I:$I,Toplantı!$B$11,Başvuru!$D:$D,$A$12)</f>
        <v>1</v>
      </c>
      <c r="J12" s="101">
        <f>COUNTIFS(Başvuru!$I:$I,Toplantı!$B$12,Başvuru!$D:$D,$A$12)</f>
        <v>3</v>
      </c>
      <c r="K12" s="101">
        <f>COUNTIFS(Başvuru!$I:$I,Toplantı!$B$13,Başvuru!$D:$D,$A$12)</f>
        <v>2</v>
      </c>
      <c r="L12" s="101">
        <f>COUNTIFS(Başvuru!$I:$I,Toplantı!$B$14,Başvuru!$D:$D,$A$12)</f>
        <v>0</v>
      </c>
      <c r="M12" s="101">
        <f>COUNTIFS(Başvuru!$I:$I,Toplantı!$B$15,Başvuru!$D:$D,$A$12)</f>
        <v>2</v>
      </c>
      <c r="N12" s="101">
        <f>COUNTIFS(Başvuru!$I:$I,Toplantı!$B$16,Başvuru!$D:$D,$A$12)</f>
        <v>0</v>
      </c>
      <c r="O12" s="102">
        <f t="shared" si="0"/>
        <v>15</v>
      </c>
    </row>
    <row r="13" spans="1:15" ht="15.75" customHeight="1" x14ac:dyDescent="0.25">
      <c r="A13" s="103" t="s">
        <v>130</v>
      </c>
      <c r="B13" s="104">
        <f>COUNTIFS(Başvuru!$I:$I,Toplantı!$B$4,Başvuru!$D:$D,$A$13)</f>
        <v>2</v>
      </c>
      <c r="C13" s="104">
        <f>COUNTIFS(Başvuru!$I:$I,Toplantı!$B$5,Başvuru!$D:$D,$A$13)</f>
        <v>0</v>
      </c>
      <c r="D13" s="104">
        <f>COUNTIFS(Başvuru!$I:$I,Toplantı!$B$6,Başvuru!$D:$D,$A$13)</f>
        <v>2</v>
      </c>
      <c r="E13" s="104">
        <f>COUNTIFS(Başvuru!$I:$I,Toplantı!$B$7,Başvuru!$D:$D,$A$13)</f>
        <v>0</v>
      </c>
      <c r="F13" s="104">
        <f>COUNTIFS(Başvuru!$I:$I,Toplantı!$B$8,Başvuru!$D:$D,$A$13)</f>
        <v>0</v>
      </c>
      <c r="G13" s="104">
        <f>COUNTIFS(Başvuru!$I:$I,Toplantı!$B$9,Başvuru!$D:$D,$A$13)</f>
        <v>2</v>
      </c>
      <c r="H13" s="104">
        <f>COUNTIFS(Başvuru!$I:$I,Toplantı!$B$10,Başvuru!$D:$D,$A$13)</f>
        <v>1</v>
      </c>
      <c r="I13" s="104">
        <f>COUNTIFS(Başvuru!$I:$I,Toplantı!$B$11,Başvuru!$D:$D,$A$13)</f>
        <v>1</v>
      </c>
      <c r="J13" s="104">
        <f>COUNTIFS(Başvuru!$I:$I,Toplantı!$B$12,Başvuru!$D:$D,$A$13)</f>
        <v>3</v>
      </c>
      <c r="K13" s="104">
        <f>COUNTIFS(Başvuru!$I:$I,Toplantı!$B$13,Başvuru!$D:$D,$A$13)</f>
        <v>2</v>
      </c>
      <c r="L13" s="104">
        <f>COUNTIFS(Başvuru!$I:$I,Toplantı!$B$14,Başvuru!$D:$D,$A$13)</f>
        <v>0</v>
      </c>
      <c r="M13" s="104">
        <f>COUNTIFS(Başvuru!$I:$I,Toplantı!$B$15,Başvuru!$D:$D,$A$13)</f>
        <v>1</v>
      </c>
      <c r="N13" s="104">
        <f>COUNTIFS(Başvuru!$I:$I,Toplantı!$B$16,Başvuru!$D:$D,$A$13)</f>
        <v>0</v>
      </c>
      <c r="O13" s="102">
        <f t="shared" si="0"/>
        <v>14</v>
      </c>
    </row>
    <row r="14" spans="1:15" ht="15.75" customHeight="1" x14ac:dyDescent="0.25">
      <c r="A14" s="100" t="s">
        <v>413</v>
      </c>
      <c r="B14" s="101">
        <f>COUNTIFS(Başvuru!$I:$I,Toplantı!$B$4,Başvuru!$D:$D,$A$14)</f>
        <v>0</v>
      </c>
      <c r="C14" s="101">
        <f>COUNTIFS(Başvuru!$I:$I,Toplantı!$B$5,Başvuru!$D:$D,$A$14)</f>
        <v>2</v>
      </c>
      <c r="D14" s="101">
        <f>COUNTIFS(Başvuru!$I:$I,Toplantı!$B$6,Başvuru!$D:$D,$A$14)</f>
        <v>1</v>
      </c>
      <c r="E14" s="101">
        <f>COUNTIFS(Başvuru!$I:$I,Toplantı!$B$7,Başvuru!$D:$D,$A$14)</f>
        <v>0</v>
      </c>
      <c r="F14" s="101">
        <f>COUNTIFS(Başvuru!$I:$I,Toplantı!$B$8,Başvuru!$D:$D,$A$14)</f>
        <v>3</v>
      </c>
      <c r="G14" s="101">
        <f>COUNTIFS(Başvuru!$I:$I,Toplantı!$B$9,Başvuru!$D:$D,$A$14)</f>
        <v>0</v>
      </c>
      <c r="H14" s="101">
        <f>COUNTIFS(Başvuru!$I:$I,Toplantı!$B$10,Başvuru!$D:$D,$A$14)</f>
        <v>0</v>
      </c>
      <c r="I14" s="101">
        <f>COUNTIFS(Başvuru!$I:$I,Toplantı!$B$11,Başvuru!$D:$D,$A$14)</f>
        <v>0</v>
      </c>
      <c r="J14" s="101">
        <f>COUNTIFS(Başvuru!$I:$I,Toplantı!$B$12,Başvuru!$D:$D,$A$14)</f>
        <v>1</v>
      </c>
      <c r="K14" s="101">
        <f>COUNTIFS(Başvuru!$I:$I,Toplantı!$B$13,Başvuru!$D:$D,$A$14)</f>
        <v>1</v>
      </c>
      <c r="L14" s="101">
        <f>COUNTIFS(Başvuru!$I:$I,Toplantı!$B$14,Başvuru!$D:$D,$A$14)</f>
        <v>1</v>
      </c>
      <c r="M14" s="101">
        <f>COUNTIFS(Başvuru!$I:$I,Toplantı!$B$15,Başvuru!$D:$D,$A$14)</f>
        <v>3</v>
      </c>
      <c r="N14" s="101">
        <f>COUNTIFS(Başvuru!$I:$I,Toplantı!$B$16,Başvuru!$D:$D,$A$14)</f>
        <v>0</v>
      </c>
      <c r="O14" s="102">
        <f t="shared" si="0"/>
        <v>12</v>
      </c>
    </row>
    <row r="15" spans="1:15" ht="15.75" customHeight="1" x14ac:dyDescent="0.25">
      <c r="A15" s="103" t="s">
        <v>425</v>
      </c>
      <c r="B15" s="104">
        <f>COUNTIFS(Başvuru!$I:$I,Toplantı!$B$4,Başvuru!$D:$D,$A$15)</f>
        <v>0</v>
      </c>
      <c r="C15" s="104">
        <f>COUNTIFS(Başvuru!$I:$I,Toplantı!$B$5,Başvuru!$D:$D,$A$15)</f>
        <v>4</v>
      </c>
      <c r="D15" s="104">
        <f>COUNTIFS(Başvuru!$I:$I,Toplantı!$B$6,Başvuru!$D:$D,$A$15)</f>
        <v>4</v>
      </c>
      <c r="E15" s="104">
        <f>COUNTIFS(Başvuru!$I:$I,Toplantı!$B$7,Başvuru!$D:$D,$A$15)</f>
        <v>1</v>
      </c>
      <c r="F15" s="104">
        <f>COUNTIFS(Başvuru!$I:$I,Toplantı!$B$8,Başvuru!$D:$D,$A$15)</f>
        <v>0</v>
      </c>
      <c r="G15" s="104">
        <f>COUNTIFS(Başvuru!$I:$I,Toplantı!$B$9,Başvuru!$D:$D,$A$15)</f>
        <v>1</v>
      </c>
      <c r="H15" s="104">
        <f>COUNTIFS(Başvuru!$I:$I,Toplantı!$B$10,Başvuru!$D:$D,$A$15)</f>
        <v>0</v>
      </c>
      <c r="I15" s="104">
        <f>COUNTIFS(Başvuru!$I:$I,Toplantı!$B$11,Başvuru!$D:$D,$A$15)</f>
        <v>0</v>
      </c>
      <c r="J15" s="104">
        <f>COUNTIFS(Başvuru!$I:$I,Toplantı!$B$12,Başvuru!$D:$D,$A$15)</f>
        <v>1</v>
      </c>
      <c r="K15" s="104">
        <f>COUNTIFS(Başvuru!$I:$I,Toplantı!$B$13,Başvuru!$D:$D,$A$15)</f>
        <v>1</v>
      </c>
      <c r="L15" s="104">
        <f>COUNTIFS(Başvuru!$I:$I,Toplantı!$B$14,Başvuru!$D:$D,$A$15)</f>
        <v>0</v>
      </c>
      <c r="M15" s="104">
        <f>COUNTIFS(Başvuru!$I:$I,Toplantı!$B$15,Başvuru!$D:$D,$A$15)</f>
        <v>0</v>
      </c>
      <c r="N15" s="104">
        <f>COUNTIFS(Başvuru!$I:$I,Toplantı!$B$16,Başvuru!$D:$D,$A$15)</f>
        <v>2</v>
      </c>
      <c r="O15" s="102">
        <f t="shared" si="0"/>
        <v>12</v>
      </c>
    </row>
    <row r="16" spans="1:15" ht="15.75" customHeight="1" x14ac:dyDescent="0.25">
      <c r="A16" s="100" t="s">
        <v>317</v>
      </c>
      <c r="B16" s="101">
        <f>COUNTIFS(Başvuru!$I:$I,Toplantı!$B$4,Başvuru!$D:$D,$A$16)</f>
        <v>1</v>
      </c>
      <c r="C16" s="101">
        <f>COUNTIFS(Başvuru!$I:$I,Toplantı!$B$5,Başvuru!$D:$D,$A$16)</f>
        <v>1</v>
      </c>
      <c r="D16" s="101">
        <f>COUNTIFS(Başvuru!$I:$I,Toplantı!$B$6,Başvuru!$D:$D,$A$16)</f>
        <v>2</v>
      </c>
      <c r="E16" s="101">
        <f>COUNTIFS(Başvuru!$I:$I,Toplantı!$B$7,Başvuru!$D:$D,$A$16)</f>
        <v>2</v>
      </c>
      <c r="F16" s="101">
        <f>COUNTIFS(Başvuru!$I:$I,Toplantı!$B$8,Başvuru!$D:$D,$A$16)</f>
        <v>0</v>
      </c>
      <c r="G16" s="101">
        <f>COUNTIFS(Başvuru!$I:$I,Toplantı!$B$9,Başvuru!$D:$D,$A$16)</f>
        <v>1</v>
      </c>
      <c r="H16" s="101">
        <f>COUNTIFS(Başvuru!$I:$I,Toplantı!$B$10,Başvuru!$D:$D,$A$16)</f>
        <v>0</v>
      </c>
      <c r="I16" s="101">
        <f>COUNTIFS(Başvuru!$I:$I,Toplantı!$B$11,Başvuru!$D:$D,$A$16)</f>
        <v>0</v>
      </c>
      <c r="J16" s="101">
        <f>COUNTIFS(Başvuru!$I:$I,Toplantı!$B$12,Başvuru!$D:$D,$A$16)</f>
        <v>0</v>
      </c>
      <c r="K16" s="101">
        <f>COUNTIFS(Başvuru!$I:$I,Toplantı!$B$13,Başvuru!$D:$D,$A$16)</f>
        <v>0</v>
      </c>
      <c r="L16" s="101">
        <f>COUNTIFS(Başvuru!$I:$I,Toplantı!$B$14,Başvuru!$D:$D,$A$16)</f>
        <v>3</v>
      </c>
      <c r="M16" s="101">
        <f>COUNTIFS(Başvuru!$I:$I,Toplantı!$B$15,Başvuru!$D:$D,$A$16)</f>
        <v>1</v>
      </c>
      <c r="N16" s="101">
        <f>COUNTIFS(Başvuru!$I:$I,Toplantı!$B$16,Başvuru!$D:$D,$A$16)</f>
        <v>0</v>
      </c>
      <c r="O16" s="102">
        <f t="shared" si="0"/>
        <v>11</v>
      </c>
    </row>
    <row r="17" spans="1:15" ht="15.75" customHeight="1" x14ac:dyDescent="0.25">
      <c r="A17" s="103" t="s">
        <v>369</v>
      </c>
      <c r="B17" s="104">
        <f>COUNTIFS(Başvuru!$I:$I,Toplantı!$B$4,Başvuru!$D:$D,$A$17)</f>
        <v>3</v>
      </c>
      <c r="C17" s="104">
        <f>COUNTIFS(Başvuru!$I:$I,Toplantı!$B$5,Başvuru!$D:$D,$A$17)</f>
        <v>0</v>
      </c>
      <c r="D17" s="104">
        <f>COUNTIFS(Başvuru!$I:$I,Toplantı!$B$6,Başvuru!$D:$D,$A$17)</f>
        <v>0</v>
      </c>
      <c r="E17" s="104">
        <f>COUNTIFS(Başvuru!$I:$I,Toplantı!$B$7,Başvuru!$D:$D,$A$17)</f>
        <v>1</v>
      </c>
      <c r="F17" s="104">
        <f>COUNTIFS(Başvuru!$I:$I,Toplantı!$B$8,Başvuru!$D:$D,$A$17)</f>
        <v>2</v>
      </c>
      <c r="G17" s="104">
        <f>COUNTIFS(Başvuru!$I:$I,Toplantı!$B$9,Başvuru!$D:$D,$A$17)</f>
        <v>1</v>
      </c>
      <c r="H17" s="104">
        <f>COUNTIFS(Başvuru!$I:$I,Toplantı!$B$10,Başvuru!$D:$D,$A$17)</f>
        <v>0</v>
      </c>
      <c r="I17" s="104">
        <f>COUNTIFS(Başvuru!$I:$I,Toplantı!$B$11,Başvuru!$D:$D,$A$17)</f>
        <v>1</v>
      </c>
      <c r="J17" s="104">
        <f>COUNTIFS(Başvuru!$I:$I,Toplantı!$B$12,Başvuru!$D:$D,$A$17)</f>
        <v>1</v>
      </c>
      <c r="K17" s="104">
        <f>COUNTIFS(Başvuru!$I:$I,Toplantı!$B$13,Başvuru!$D:$D,$A$17)</f>
        <v>1</v>
      </c>
      <c r="L17" s="104">
        <f>COUNTIFS(Başvuru!$I:$I,Toplantı!$B$14,Başvuru!$D:$D,$A$17)</f>
        <v>1</v>
      </c>
      <c r="M17" s="104">
        <f>COUNTIFS(Başvuru!$I:$I,Toplantı!$B$15,Başvuru!$D:$D,$A$17)</f>
        <v>0</v>
      </c>
      <c r="N17" s="104">
        <f>COUNTIFS(Başvuru!$I:$I,Toplantı!$B$16,Başvuru!$D:$D,$A$17)</f>
        <v>0</v>
      </c>
      <c r="O17" s="102">
        <f t="shared" si="0"/>
        <v>11</v>
      </c>
    </row>
    <row r="18" spans="1:15" ht="15.75" customHeight="1" x14ac:dyDescent="0.25">
      <c r="A18" s="100" t="s">
        <v>994</v>
      </c>
      <c r="B18" s="101">
        <f>COUNTIFS(Başvuru!$I:$I,Toplantı!$B$4,Başvuru!$D:$D,$A$18)</f>
        <v>0</v>
      </c>
      <c r="C18" s="101">
        <f>COUNTIFS(Başvuru!$I:$I,Toplantı!$B$5,Başvuru!$D:$D,$A$18)</f>
        <v>0</v>
      </c>
      <c r="D18" s="101">
        <f>COUNTIFS(Başvuru!$I:$I,Toplantı!$B$6,Başvuru!$D:$D,$A$18)</f>
        <v>0</v>
      </c>
      <c r="E18" s="101">
        <f>COUNTIFS(Başvuru!$I:$I,Toplantı!$B$7,Başvuru!$D:$D,$A$18)</f>
        <v>1</v>
      </c>
      <c r="F18" s="101">
        <f>COUNTIFS(Başvuru!$I:$I,Toplantı!$B$8,Başvuru!$D:$D,$A$18)</f>
        <v>1</v>
      </c>
      <c r="G18" s="101">
        <f>COUNTIFS(Başvuru!$I:$I,Toplantı!$B$9,Başvuru!$D:$D,$A$18)</f>
        <v>0</v>
      </c>
      <c r="H18" s="101">
        <f>COUNTIFS(Başvuru!$I:$I,Toplantı!$B$10,Başvuru!$D:$D,$A$18)</f>
        <v>2</v>
      </c>
      <c r="I18" s="101">
        <f>COUNTIFS(Başvuru!$I:$I,Toplantı!$B$11,Başvuru!$D:$D,$A$18)</f>
        <v>2</v>
      </c>
      <c r="J18" s="101">
        <f>COUNTIFS(Başvuru!$I:$I,Toplantı!$B$12,Başvuru!$D:$D,$A$18)</f>
        <v>2</v>
      </c>
      <c r="K18" s="101">
        <f>COUNTIFS(Başvuru!$I:$I,Toplantı!$B$13,Başvuru!$D:$D,$A$18)</f>
        <v>1</v>
      </c>
      <c r="L18" s="101">
        <f>COUNTIFS(Başvuru!$I:$I,Toplantı!$B$14,Başvuru!$D:$D,$A$18)</f>
        <v>0</v>
      </c>
      <c r="M18" s="101">
        <f>COUNTIFS(Başvuru!$I:$I,Toplantı!$B$15,Başvuru!$D:$D,$A$18)</f>
        <v>1</v>
      </c>
      <c r="N18" s="101">
        <f>COUNTIFS(Başvuru!$I:$I,Toplantı!$B$16,Başvuru!$D:$D,$A$18)</f>
        <v>0</v>
      </c>
      <c r="O18" s="102">
        <f t="shared" si="0"/>
        <v>10</v>
      </c>
    </row>
    <row r="19" spans="1:15" ht="15.75" customHeight="1" x14ac:dyDescent="0.25">
      <c r="A19" s="103" t="s">
        <v>292</v>
      </c>
      <c r="B19" s="104">
        <f>COUNTIFS(Başvuru!$I:$I,Toplantı!$B$4,Başvuru!$D:$D,$A$19)</f>
        <v>2</v>
      </c>
      <c r="C19" s="104">
        <f>COUNTIFS(Başvuru!$I:$I,Toplantı!$B$5,Başvuru!$D:$D,$A$19)</f>
        <v>0</v>
      </c>
      <c r="D19" s="104">
        <f>COUNTIFS(Başvuru!$I:$I,Toplantı!$B$6,Başvuru!$D:$D,$A$19)</f>
        <v>2</v>
      </c>
      <c r="E19" s="104">
        <f>COUNTIFS(Başvuru!$I:$I,Toplantı!$B$7,Başvuru!$D:$D,$A$19)</f>
        <v>1</v>
      </c>
      <c r="F19" s="104">
        <f>COUNTIFS(Başvuru!$I:$I,Toplantı!$B$8,Başvuru!$D:$D,$A$19)</f>
        <v>1</v>
      </c>
      <c r="G19" s="104">
        <f>COUNTIFS(Başvuru!$I:$I,Toplantı!$B$9,Başvuru!$D:$D,$A$19)</f>
        <v>0</v>
      </c>
      <c r="H19" s="104">
        <f>COUNTIFS(Başvuru!$I:$I,Toplantı!$B$10,Başvuru!$D:$D,$A$19)</f>
        <v>1</v>
      </c>
      <c r="I19" s="104">
        <f>COUNTIFS(Başvuru!$I:$I,Toplantı!$B$11,Başvuru!$D:$D,$A$19)</f>
        <v>1</v>
      </c>
      <c r="J19" s="104">
        <f>COUNTIFS(Başvuru!$I:$I,Toplantı!$B$12,Başvuru!$D:$D,$A$19)</f>
        <v>0</v>
      </c>
      <c r="K19" s="104">
        <f>COUNTIFS(Başvuru!$I:$I,Toplantı!$B$13,Başvuru!$D:$D,$A$19)</f>
        <v>0</v>
      </c>
      <c r="L19" s="104">
        <f>COUNTIFS(Başvuru!$I:$I,Toplantı!$B$14,Başvuru!$D:$D,$A$19)</f>
        <v>0</v>
      </c>
      <c r="M19" s="104">
        <f>COUNTIFS(Başvuru!$I:$I,Toplantı!$B$15,Başvuru!$D:$D,$A$19)</f>
        <v>1</v>
      </c>
      <c r="N19" s="104">
        <f>COUNTIFS(Başvuru!$I:$I,Toplantı!$B$16,Başvuru!$D:$D,$A$19)</f>
        <v>0</v>
      </c>
      <c r="O19" s="102">
        <f t="shared" si="0"/>
        <v>9</v>
      </c>
    </row>
    <row r="20" spans="1:15" ht="15.75" customHeight="1" x14ac:dyDescent="0.25">
      <c r="A20" s="100" t="s">
        <v>324</v>
      </c>
      <c r="B20" s="101">
        <f>COUNTIFS(Başvuru!$I:$I,Toplantı!$B$4,Başvuru!$D:$D,$A$20)</f>
        <v>1</v>
      </c>
      <c r="C20" s="101">
        <f>COUNTIFS(Başvuru!$I:$I,Toplantı!$B$5,Başvuru!$D:$D,$A$20)</f>
        <v>1</v>
      </c>
      <c r="D20" s="101">
        <f>COUNTIFS(Başvuru!$I:$I,Toplantı!$B$6,Başvuru!$D:$D,$A$20)</f>
        <v>2</v>
      </c>
      <c r="E20" s="101">
        <f>COUNTIFS(Başvuru!$I:$I,Toplantı!$B$7,Başvuru!$D:$D,$A$20)</f>
        <v>0</v>
      </c>
      <c r="F20" s="101">
        <f>COUNTIFS(Başvuru!$I:$I,Toplantı!$B$8,Başvuru!$D:$D,$A$20)</f>
        <v>1</v>
      </c>
      <c r="G20" s="101">
        <f>COUNTIFS(Başvuru!$I:$I,Toplantı!$B$9,Başvuru!$D:$D,$A$20)</f>
        <v>0</v>
      </c>
      <c r="H20" s="101">
        <f>COUNTIFS(Başvuru!$I:$I,Toplantı!$B$10,Başvuru!$D:$D,$A$20)</f>
        <v>2</v>
      </c>
      <c r="I20" s="101">
        <f>COUNTIFS(Başvuru!$I:$I,Toplantı!$B$11,Başvuru!$D:$D,$A$20)</f>
        <v>0</v>
      </c>
      <c r="J20" s="101">
        <f>COUNTIFS(Başvuru!$I:$I,Toplantı!$B$12,Başvuru!$D:$D,$A$20)</f>
        <v>0</v>
      </c>
      <c r="K20" s="101">
        <f>COUNTIFS(Başvuru!$I:$I,Toplantı!$B$13,Başvuru!$D:$D,$A$20)</f>
        <v>0</v>
      </c>
      <c r="L20" s="101">
        <f>COUNTIFS(Başvuru!$I:$I,Toplantı!$B$14,Başvuru!$D:$D,$A$20)</f>
        <v>0</v>
      </c>
      <c r="M20" s="101">
        <f>COUNTIFS(Başvuru!$I:$I,Toplantı!$B$15,Başvuru!$D:$D,$A$20)</f>
        <v>2</v>
      </c>
      <c r="N20" s="101">
        <f>COUNTIFS(Başvuru!$I:$I,Toplantı!$B$16,Başvuru!$D:$D,$A$20)</f>
        <v>0</v>
      </c>
      <c r="O20" s="102">
        <f t="shared" si="0"/>
        <v>9</v>
      </c>
    </row>
    <row r="21" spans="1:15" ht="15.75" customHeight="1" x14ac:dyDescent="0.25">
      <c r="A21" s="103" t="s">
        <v>186</v>
      </c>
      <c r="B21" s="104">
        <f>COUNTIFS(Başvuru!$I:$I,Toplantı!$B$4,Başvuru!$D:$D,$A$21)</f>
        <v>1</v>
      </c>
      <c r="C21" s="104">
        <f>COUNTIFS(Başvuru!$I:$I,Toplantı!$B$5,Başvuru!$D:$D,$A$21)</f>
        <v>0</v>
      </c>
      <c r="D21" s="104">
        <f>COUNTIFS(Başvuru!$I:$I,Toplantı!$B$6,Başvuru!$D:$D,$A$21)</f>
        <v>0</v>
      </c>
      <c r="E21" s="104">
        <f>COUNTIFS(Başvuru!$I:$I,Toplantı!$B$7,Başvuru!$D:$D,$A$21)</f>
        <v>2</v>
      </c>
      <c r="F21" s="104">
        <f>COUNTIFS(Başvuru!$I:$I,Toplantı!$B$8,Başvuru!$D:$D,$A$21)</f>
        <v>0</v>
      </c>
      <c r="G21" s="104">
        <f>COUNTIFS(Başvuru!$I:$I,Toplantı!$B$9,Başvuru!$D:$D,$A$21)</f>
        <v>2</v>
      </c>
      <c r="H21" s="104">
        <f>COUNTIFS(Başvuru!$I:$I,Toplantı!$B$10,Başvuru!$D:$D,$A$21)</f>
        <v>0</v>
      </c>
      <c r="I21" s="104">
        <f>COUNTIFS(Başvuru!$I:$I,Toplantı!$B$11,Başvuru!$D:$D,$A$21)</f>
        <v>0</v>
      </c>
      <c r="J21" s="104">
        <f>COUNTIFS(Başvuru!$I:$I,Toplantı!$B$12,Başvuru!$D:$D,$A$21)</f>
        <v>0</v>
      </c>
      <c r="K21" s="104">
        <f>COUNTIFS(Başvuru!$I:$I,Toplantı!$B$13,Başvuru!$D:$D,$A$21)</f>
        <v>0</v>
      </c>
      <c r="L21" s="104">
        <f>COUNTIFS(Başvuru!$I:$I,Toplantı!$B$14,Başvuru!$D:$D,$A$21)</f>
        <v>2</v>
      </c>
      <c r="M21" s="104">
        <f>COUNTIFS(Başvuru!$I:$I,Toplantı!$B$15,Başvuru!$D:$D,$A$21)</f>
        <v>1</v>
      </c>
      <c r="N21" s="104">
        <f>COUNTIFS(Başvuru!$I:$I,Toplantı!$B$16,Başvuru!$D:$D,$A$21)</f>
        <v>1</v>
      </c>
      <c r="O21" s="102">
        <f t="shared" si="0"/>
        <v>8</v>
      </c>
    </row>
    <row r="22" spans="1:15" ht="15.75" customHeight="1" x14ac:dyDescent="0.25">
      <c r="A22" s="100" t="s">
        <v>212</v>
      </c>
      <c r="B22" s="101">
        <f>COUNTIFS(Başvuru!$I:$I,Toplantı!$B$4,Başvuru!$D:$D,$A$22)</f>
        <v>1</v>
      </c>
      <c r="C22" s="101">
        <f>COUNTIFS(Başvuru!$I:$I,Toplantı!$B$5,Başvuru!$D:$D,$A$22)</f>
        <v>0</v>
      </c>
      <c r="D22" s="101">
        <f>COUNTIFS(Başvuru!$I:$I,Toplantı!$B$6,Başvuru!$D:$D,$A$22)</f>
        <v>1</v>
      </c>
      <c r="E22" s="101">
        <f>COUNTIFS(Başvuru!$I:$I,Toplantı!$B$7,Başvuru!$D:$D,$A$22)</f>
        <v>0</v>
      </c>
      <c r="F22" s="101">
        <f>COUNTIFS(Başvuru!$I:$I,Toplantı!$B$8,Başvuru!$D:$D,$A$22)</f>
        <v>1</v>
      </c>
      <c r="G22" s="101">
        <f>COUNTIFS(Başvuru!$I:$I,Toplantı!$B$9,Başvuru!$D:$D,$A$22)</f>
        <v>1</v>
      </c>
      <c r="H22" s="101">
        <f>COUNTIFS(Başvuru!$I:$I,Toplantı!$B$10,Başvuru!$D:$D,$A$22)</f>
        <v>1</v>
      </c>
      <c r="I22" s="101">
        <f>COUNTIFS(Başvuru!$I:$I,Toplantı!$B$11,Başvuru!$D:$D,$A$22)</f>
        <v>0</v>
      </c>
      <c r="J22" s="101">
        <f>COUNTIFS(Başvuru!$I:$I,Toplantı!$B$12,Başvuru!$D:$D,$A$22)</f>
        <v>0</v>
      </c>
      <c r="K22" s="101">
        <f>COUNTIFS(Başvuru!$I:$I,Toplantı!$B$13,Başvuru!$D:$D,$A$22)</f>
        <v>2</v>
      </c>
      <c r="L22" s="101">
        <f>COUNTIFS(Başvuru!$I:$I,Toplantı!$B$14,Başvuru!$D:$D,$A$22)</f>
        <v>0</v>
      </c>
      <c r="M22" s="101">
        <f>COUNTIFS(Başvuru!$I:$I,Toplantı!$B$15,Başvuru!$D:$D,$A$22)</f>
        <v>0</v>
      </c>
      <c r="N22" s="101">
        <f>COUNTIFS(Başvuru!$I:$I,Toplantı!$B$16,Başvuru!$D:$D,$A$22)</f>
        <v>0</v>
      </c>
      <c r="O22" s="102">
        <f t="shared" si="0"/>
        <v>7</v>
      </c>
    </row>
    <row r="23" spans="1:15" ht="15.75" customHeight="1" x14ac:dyDescent="0.25">
      <c r="A23" s="103" t="s">
        <v>567</v>
      </c>
      <c r="B23" s="104">
        <f>COUNTIFS(Başvuru!$I:$I,Toplantı!$B$4,Başvuru!$D:$D,$A$23)</f>
        <v>0</v>
      </c>
      <c r="C23" s="104">
        <f>COUNTIFS(Başvuru!$I:$I,Toplantı!$B$5,Başvuru!$D:$D,$A$23)</f>
        <v>1</v>
      </c>
      <c r="D23" s="104">
        <f>COUNTIFS(Başvuru!$I:$I,Toplantı!$B$6,Başvuru!$D:$D,$A$23)</f>
        <v>0</v>
      </c>
      <c r="E23" s="104">
        <f>COUNTIFS(Başvuru!$I:$I,Toplantı!$B$7,Başvuru!$D:$D,$A$23)</f>
        <v>2</v>
      </c>
      <c r="F23" s="104">
        <f>COUNTIFS(Başvuru!$I:$I,Toplantı!$B$8,Başvuru!$D:$D,$A$23)</f>
        <v>0</v>
      </c>
      <c r="G23" s="104">
        <f>COUNTIFS(Başvuru!$I:$I,Toplantı!$B$9,Başvuru!$D:$D,$A$23)</f>
        <v>1</v>
      </c>
      <c r="H23" s="104">
        <f>COUNTIFS(Başvuru!$I:$I,Toplantı!$B$10,Başvuru!$D:$D,$A$23)</f>
        <v>0</v>
      </c>
      <c r="I23" s="104">
        <f>COUNTIFS(Başvuru!$I:$I,Toplantı!$B$11,Başvuru!$D:$D,$A$23)</f>
        <v>1</v>
      </c>
      <c r="J23" s="104">
        <f>COUNTIFS(Başvuru!$I:$I,Toplantı!$B$12,Başvuru!$D:$D,$A$23)</f>
        <v>0</v>
      </c>
      <c r="K23" s="104">
        <f>COUNTIFS(Başvuru!$I:$I,Toplantı!$B$13,Başvuru!$D:$D,$A$23)</f>
        <v>0</v>
      </c>
      <c r="L23" s="104">
        <f>COUNTIFS(Başvuru!$I:$I,Toplantı!$B$14,Başvuru!$D:$D,$A$23)</f>
        <v>1</v>
      </c>
      <c r="M23" s="104">
        <f>COUNTIFS(Başvuru!$I:$I,Toplantı!$B$15,Başvuru!$D:$D,$A$23)</f>
        <v>1</v>
      </c>
      <c r="N23" s="104">
        <f>COUNTIFS(Başvuru!$I:$I,Toplantı!$B$16,Başvuru!$D:$D,$A$23)</f>
        <v>0</v>
      </c>
      <c r="O23" s="102">
        <f t="shared" si="0"/>
        <v>7</v>
      </c>
    </row>
    <row r="24" spans="1:15" ht="15.75" customHeight="1" x14ac:dyDescent="0.25">
      <c r="A24" s="100" t="s">
        <v>115</v>
      </c>
      <c r="B24" s="101">
        <f>COUNTIFS(Başvuru!$I:$I,Toplantı!$B$4,Başvuru!$D:$D,$A$24)</f>
        <v>1</v>
      </c>
      <c r="C24" s="101">
        <f>COUNTIFS(Başvuru!$I:$I,Toplantı!$B$5,Başvuru!$D:$D,$A$24)</f>
        <v>0</v>
      </c>
      <c r="D24" s="101">
        <f>COUNTIFS(Başvuru!$I:$I,Toplantı!$B$6,Başvuru!$D:$D,$A$24)</f>
        <v>0</v>
      </c>
      <c r="E24" s="101">
        <f>COUNTIFS(Başvuru!$I:$I,Toplantı!$B$7,Başvuru!$D:$D,$A$24)</f>
        <v>1</v>
      </c>
      <c r="F24" s="101">
        <f>COUNTIFS(Başvuru!$I:$I,Toplantı!$B$8,Başvuru!$D:$D,$A$24)</f>
        <v>0</v>
      </c>
      <c r="G24" s="101">
        <f>COUNTIFS(Başvuru!$I:$I,Toplantı!$B$9,Başvuru!$D:$D,$A$24)</f>
        <v>0</v>
      </c>
      <c r="H24" s="101">
        <f>COUNTIFS(Başvuru!$I:$I,Toplantı!$B$10,Başvuru!$D:$D,$A$24)</f>
        <v>1</v>
      </c>
      <c r="I24" s="101">
        <f>COUNTIFS(Başvuru!$I:$I,Toplantı!$B$11,Başvuru!$D:$D,$A$24)</f>
        <v>0</v>
      </c>
      <c r="J24" s="101">
        <f>COUNTIFS(Başvuru!$I:$I,Toplantı!$B$12,Başvuru!$D:$D,$A$24)</f>
        <v>1</v>
      </c>
      <c r="K24" s="101">
        <f>COUNTIFS(Başvuru!$I:$I,Toplantı!$B$13,Başvuru!$D:$D,$A$24)</f>
        <v>2</v>
      </c>
      <c r="L24" s="101">
        <f>COUNTIFS(Başvuru!$I:$I,Toplantı!$B$14,Başvuru!$D:$D,$A$24)</f>
        <v>0</v>
      </c>
      <c r="M24" s="101">
        <f>COUNTIFS(Başvuru!$I:$I,Toplantı!$B$15,Başvuru!$D:$D,$A$24)</f>
        <v>0</v>
      </c>
      <c r="N24" s="101">
        <f>COUNTIFS(Başvuru!$I:$I,Toplantı!$B$16,Başvuru!$D:$D,$A$24)</f>
        <v>1</v>
      </c>
      <c r="O24" s="102">
        <f t="shared" si="0"/>
        <v>6</v>
      </c>
    </row>
    <row r="25" spans="1:15" ht="15.75" customHeight="1" x14ac:dyDescent="0.25">
      <c r="A25" s="103" t="s">
        <v>226</v>
      </c>
      <c r="B25" s="104">
        <f>COUNTIFS(Başvuru!$I:$I,Toplantı!$B$4,Başvuru!$D:$D,$A$25)</f>
        <v>1</v>
      </c>
      <c r="C25" s="104">
        <f>COUNTIFS(Başvuru!$I:$I,Toplantı!$B$5,Başvuru!$D:$D,$A$25)</f>
        <v>0</v>
      </c>
      <c r="D25" s="104">
        <f>COUNTIFS(Başvuru!$I:$I,Toplantı!$B$6,Başvuru!$D:$D,$A$25)</f>
        <v>1</v>
      </c>
      <c r="E25" s="104">
        <f>COUNTIFS(Başvuru!$I:$I,Toplantı!$B$7,Başvuru!$D:$D,$A$25)</f>
        <v>0</v>
      </c>
      <c r="F25" s="104">
        <f>COUNTIFS(Başvuru!$I:$I,Toplantı!$B$8,Başvuru!$D:$D,$A$25)</f>
        <v>1</v>
      </c>
      <c r="G25" s="104">
        <f>COUNTIFS(Başvuru!$I:$I,Toplantı!$B$9,Başvuru!$D:$D,$A$25)</f>
        <v>2</v>
      </c>
      <c r="H25" s="104">
        <f>COUNTIFS(Başvuru!$I:$I,Toplantı!$B$10,Başvuru!$D:$D,$A$25)</f>
        <v>0</v>
      </c>
      <c r="I25" s="104">
        <f>COUNTIFS(Başvuru!$I:$I,Toplantı!$B$11,Başvuru!$D:$D,$A$25)</f>
        <v>0</v>
      </c>
      <c r="J25" s="104">
        <f>COUNTIFS(Başvuru!$I:$I,Toplantı!$B$12,Başvuru!$D:$D,$A$25)</f>
        <v>0</v>
      </c>
      <c r="K25" s="104">
        <f>COUNTIFS(Başvuru!$I:$I,Toplantı!$B$13,Başvuru!$D:$D,$A$25)</f>
        <v>1</v>
      </c>
      <c r="L25" s="104">
        <f>COUNTIFS(Başvuru!$I:$I,Toplantı!$B$14,Başvuru!$D:$D,$A$25)</f>
        <v>0</v>
      </c>
      <c r="M25" s="104">
        <f>COUNTIFS(Başvuru!$I:$I,Toplantı!$B$15,Başvuru!$D:$D,$A$25)</f>
        <v>0</v>
      </c>
      <c r="N25" s="104">
        <f>COUNTIFS(Başvuru!$I:$I,Toplantı!$B$16,Başvuru!$D:$D,$A$25)</f>
        <v>0</v>
      </c>
      <c r="O25" s="102">
        <f t="shared" si="0"/>
        <v>6</v>
      </c>
    </row>
    <row r="26" spans="1:15" ht="15.75" customHeight="1" x14ac:dyDescent="0.25">
      <c r="A26" s="100" t="s">
        <v>304</v>
      </c>
      <c r="B26" s="101">
        <f>COUNTIFS(Başvuru!$I:$I,Toplantı!$B$4,Başvuru!$D:$D,$A$26)</f>
        <v>1</v>
      </c>
      <c r="C26" s="101">
        <f>COUNTIFS(Başvuru!$I:$I,Toplantı!$B$5,Başvuru!$D:$D,$A$26)</f>
        <v>1</v>
      </c>
      <c r="D26" s="101">
        <f>COUNTIFS(Başvuru!$I:$I,Toplantı!$B$6,Başvuru!$D:$D,$A$26)</f>
        <v>0</v>
      </c>
      <c r="E26" s="101">
        <f>COUNTIFS(Başvuru!$I:$I,Toplantı!$B$7,Başvuru!$D:$D,$A$26)</f>
        <v>0</v>
      </c>
      <c r="F26" s="101">
        <f>COUNTIFS(Başvuru!$I:$I,Toplantı!$B$8,Başvuru!$D:$D,$A$26)</f>
        <v>2</v>
      </c>
      <c r="G26" s="101">
        <f>COUNTIFS(Başvuru!$I:$I,Toplantı!$B$9,Başvuru!$D:$D,$A$26)</f>
        <v>0</v>
      </c>
      <c r="H26" s="101">
        <f>COUNTIFS(Başvuru!$I:$I,Toplantı!$B$10,Başvuru!$D:$D,$A$26)</f>
        <v>1</v>
      </c>
      <c r="I26" s="101">
        <f>COUNTIFS(Başvuru!$I:$I,Toplantı!$B$11,Başvuru!$D:$D,$A$26)</f>
        <v>0</v>
      </c>
      <c r="J26" s="101">
        <f>COUNTIFS(Başvuru!$I:$I,Toplantı!$B$12,Başvuru!$D:$D,$A$26)</f>
        <v>0</v>
      </c>
      <c r="K26" s="101">
        <f>COUNTIFS(Başvuru!$I:$I,Toplantı!$B$13,Başvuru!$D:$D,$A$26)</f>
        <v>0</v>
      </c>
      <c r="L26" s="101">
        <f>COUNTIFS(Başvuru!$I:$I,Toplantı!$B$14,Başvuru!$D:$D,$A$26)</f>
        <v>1</v>
      </c>
      <c r="M26" s="101">
        <f>COUNTIFS(Başvuru!$I:$I,Toplantı!$B$15,Başvuru!$D:$D,$A$26)</f>
        <v>0</v>
      </c>
      <c r="N26" s="101">
        <f>COUNTIFS(Başvuru!$I:$I,Toplantı!$B$16,Başvuru!$D:$D,$A$26)</f>
        <v>0</v>
      </c>
      <c r="O26" s="102">
        <f t="shared" si="0"/>
        <v>6</v>
      </c>
    </row>
    <row r="27" spans="1:15" ht="15.75" customHeight="1" x14ac:dyDescent="0.25">
      <c r="A27" s="103" t="s">
        <v>432</v>
      </c>
      <c r="B27" s="104">
        <f>COUNTIFS(Başvuru!$I:$I,Toplantı!$B$4,Başvuru!$D:$D,$A$27)</f>
        <v>0</v>
      </c>
      <c r="C27" s="104">
        <f>COUNTIFS(Başvuru!$I:$I,Toplantı!$B$5,Başvuru!$D:$D,$A$27)</f>
        <v>1</v>
      </c>
      <c r="D27" s="104">
        <f>COUNTIFS(Başvuru!$I:$I,Toplantı!$B$6,Başvuru!$D:$D,$A$27)</f>
        <v>0</v>
      </c>
      <c r="E27" s="104">
        <f>COUNTIFS(Başvuru!$I:$I,Toplantı!$B$7,Başvuru!$D:$D,$A$27)</f>
        <v>3</v>
      </c>
      <c r="F27" s="104">
        <f>COUNTIFS(Başvuru!$I:$I,Toplantı!$B$8,Başvuru!$D:$D,$A$27)</f>
        <v>0</v>
      </c>
      <c r="G27" s="104">
        <f>COUNTIFS(Başvuru!$I:$I,Toplantı!$B$9,Başvuru!$D:$D,$A$27)</f>
        <v>0</v>
      </c>
      <c r="H27" s="104">
        <f>COUNTIFS(Başvuru!$I:$I,Toplantı!$B$10,Başvuru!$D:$D,$A$27)</f>
        <v>0</v>
      </c>
      <c r="I27" s="104">
        <f>COUNTIFS(Başvuru!$I:$I,Toplantı!$B$11,Başvuru!$D:$D,$A$27)</f>
        <v>0</v>
      </c>
      <c r="J27" s="104">
        <f>COUNTIFS(Başvuru!$I:$I,Toplantı!$B$12,Başvuru!$D:$D,$A$27)</f>
        <v>1</v>
      </c>
      <c r="K27" s="104">
        <f>COUNTIFS(Başvuru!$I:$I,Toplantı!$B$13,Başvuru!$D:$D,$A$27)</f>
        <v>1</v>
      </c>
      <c r="L27" s="104">
        <f>COUNTIFS(Başvuru!$I:$I,Toplantı!$B$14,Başvuru!$D:$D,$A$27)</f>
        <v>0</v>
      </c>
      <c r="M27" s="104">
        <f>COUNTIFS(Başvuru!$I:$I,Toplantı!$B$15,Başvuru!$D:$D,$A$27)</f>
        <v>0</v>
      </c>
      <c r="N27" s="104">
        <f>COUNTIFS(Başvuru!$I:$I,Toplantı!$B$16,Başvuru!$D:$D,$A$27)</f>
        <v>1</v>
      </c>
      <c r="O27" s="102">
        <f t="shared" si="0"/>
        <v>6</v>
      </c>
    </row>
    <row r="28" spans="1:15" ht="15.75" customHeight="1" x14ac:dyDescent="0.25">
      <c r="A28" s="100" t="s">
        <v>458</v>
      </c>
      <c r="B28" s="101">
        <f>COUNTIFS(Başvuru!$I:$I,Toplantı!$B$4,Başvuru!$D:$D,$A$28)</f>
        <v>0</v>
      </c>
      <c r="C28" s="101">
        <f>COUNTIFS(Başvuru!$I:$I,Toplantı!$B$5,Başvuru!$D:$D,$A$28)</f>
        <v>2</v>
      </c>
      <c r="D28" s="101">
        <f>COUNTIFS(Başvuru!$I:$I,Toplantı!$B$6,Başvuru!$D:$D,$A$28)</f>
        <v>1</v>
      </c>
      <c r="E28" s="101">
        <f>COUNTIFS(Başvuru!$I:$I,Toplantı!$B$7,Başvuru!$D:$D,$A$28)</f>
        <v>0</v>
      </c>
      <c r="F28" s="101">
        <f>COUNTIFS(Başvuru!$I:$I,Toplantı!$B$8,Başvuru!$D:$D,$A$28)</f>
        <v>0</v>
      </c>
      <c r="G28" s="101">
        <f>COUNTIFS(Başvuru!$I:$I,Toplantı!$B$9,Başvuru!$D:$D,$A$28)</f>
        <v>0</v>
      </c>
      <c r="H28" s="101">
        <f>COUNTIFS(Başvuru!$I:$I,Toplantı!$B$10,Başvuru!$D:$D,$A$28)</f>
        <v>0</v>
      </c>
      <c r="I28" s="101">
        <f>COUNTIFS(Başvuru!$I:$I,Toplantı!$B$11,Başvuru!$D:$D,$A$28)</f>
        <v>2</v>
      </c>
      <c r="J28" s="101">
        <f>COUNTIFS(Başvuru!$I:$I,Toplantı!$B$12,Başvuru!$D:$D,$A$28)</f>
        <v>0</v>
      </c>
      <c r="K28" s="101">
        <f>COUNTIFS(Başvuru!$I:$I,Toplantı!$B$13,Başvuru!$D:$D,$A$28)</f>
        <v>0</v>
      </c>
      <c r="L28" s="101">
        <f>COUNTIFS(Başvuru!$I:$I,Toplantı!$B$14,Başvuru!$D:$D,$A$28)</f>
        <v>1</v>
      </c>
      <c r="M28" s="101">
        <f>COUNTIFS(Başvuru!$I:$I,Toplantı!$B$15,Başvuru!$D:$D,$A$28)</f>
        <v>0</v>
      </c>
      <c r="N28" s="101">
        <f>COUNTIFS(Başvuru!$I:$I,Toplantı!$B$16,Başvuru!$D:$D,$A$28)</f>
        <v>0</v>
      </c>
      <c r="O28" s="102">
        <f t="shared" si="0"/>
        <v>6</v>
      </c>
    </row>
    <row r="29" spans="1:15" ht="15.75" customHeight="1" x14ac:dyDescent="0.25">
      <c r="A29" s="103" t="s">
        <v>512</v>
      </c>
      <c r="B29" s="104">
        <f>COUNTIFS(Başvuru!$I:$I,Toplantı!$B$4,Başvuru!$D:$D,$A$29)</f>
        <v>0</v>
      </c>
      <c r="C29" s="104">
        <f>COUNTIFS(Başvuru!$I:$I,Toplantı!$B$5,Başvuru!$D:$D,$A$29)</f>
        <v>1</v>
      </c>
      <c r="D29" s="104">
        <f>COUNTIFS(Başvuru!$I:$I,Toplantı!$B$6,Başvuru!$D:$D,$A$29)</f>
        <v>1</v>
      </c>
      <c r="E29" s="104">
        <f>COUNTIFS(Başvuru!$I:$I,Toplantı!$B$7,Başvuru!$D:$D,$A$29)</f>
        <v>0</v>
      </c>
      <c r="F29" s="104">
        <f>COUNTIFS(Başvuru!$I:$I,Toplantı!$B$8,Başvuru!$D:$D,$A$29)</f>
        <v>1</v>
      </c>
      <c r="G29" s="104">
        <f>COUNTIFS(Başvuru!$I:$I,Toplantı!$B$9,Başvuru!$D:$D,$A$29)</f>
        <v>0</v>
      </c>
      <c r="H29" s="104">
        <f>COUNTIFS(Başvuru!$I:$I,Toplantı!$B$10,Başvuru!$D:$D,$A$29)</f>
        <v>0</v>
      </c>
      <c r="I29" s="104">
        <f>COUNTIFS(Başvuru!$I:$I,Toplantı!$B$11,Başvuru!$D:$D,$A$29)</f>
        <v>0</v>
      </c>
      <c r="J29" s="104">
        <f>COUNTIFS(Başvuru!$I:$I,Toplantı!$B$12,Başvuru!$D:$D,$A$29)</f>
        <v>1</v>
      </c>
      <c r="K29" s="104">
        <f>COUNTIFS(Başvuru!$I:$I,Toplantı!$B$13,Başvuru!$D:$D,$A$29)</f>
        <v>0</v>
      </c>
      <c r="L29" s="104">
        <f>COUNTIFS(Başvuru!$I:$I,Toplantı!$B$14,Başvuru!$D:$D,$A$29)</f>
        <v>1</v>
      </c>
      <c r="M29" s="104">
        <f>COUNTIFS(Başvuru!$I:$I,Toplantı!$B$15,Başvuru!$D:$D,$A$29)</f>
        <v>1</v>
      </c>
      <c r="N29" s="104">
        <f>COUNTIFS(Başvuru!$I:$I,Toplantı!$B$16,Başvuru!$D:$D,$A$29)</f>
        <v>0</v>
      </c>
      <c r="O29" s="102">
        <f t="shared" si="0"/>
        <v>6</v>
      </c>
    </row>
    <row r="30" spans="1:15" ht="15.75" customHeight="1" x14ac:dyDescent="0.25">
      <c r="A30" s="100" t="s">
        <v>150</v>
      </c>
      <c r="B30" s="101">
        <f>COUNTIFS(Başvuru!$I:$I,Toplantı!$B$4,Başvuru!$D:$D,$A$30)</f>
        <v>2</v>
      </c>
      <c r="C30" s="101">
        <f>COUNTIFS(Başvuru!$I:$I,Toplantı!$B$5,Başvuru!$D:$D,$A$30)</f>
        <v>0</v>
      </c>
      <c r="D30" s="101">
        <f>COUNTIFS(Başvuru!$I:$I,Toplantı!$B$6,Başvuru!$D:$D,$A$30)</f>
        <v>0</v>
      </c>
      <c r="E30" s="101">
        <f>COUNTIFS(Başvuru!$I:$I,Toplantı!$B$7,Başvuru!$D:$D,$A$30)</f>
        <v>0</v>
      </c>
      <c r="F30" s="101">
        <f>COUNTIFS(Başvuru!$I:$I,Toplantı!$B$8,Başvuru!$D:$D,$A$30)</f>
        <v>0</v>
      </c>
      <c r="G30" s="101">
        <f>COUNTIFS(Başvuru!$I:$I,Toplantı!$B$9,Başvuru!$D:$D,$A$30)</f>
        <v>0</v>
      </c>
      <c r="H30" s="101">
        <f>COUNTIFS(Başvuru!$I:$I,Toplantı!$B$10,Başvuru!$D:$D,$A$30)</f>
        <v>1</v>
      </c>
      <c r="I30" s="101">
        <f>COUNTIFS(Başvuru!$I:$I,Toplantı!$B$11,Başvuru!$D:$D,$A$30)</f>
        <v>0</v>
      </c>
      <c r="J30" s="101">
        <f>COUNTIFS(Başvuru!$I:$I,Toplantı!$B$12,Başvuru!$D:$D,$A$30)</f>
        <v>1</v>
      </c>
      <c r="K30" s="101">
        <f>COUNTIFS(Başvuru!$I:$I,Toplantı!$B$13,Başvuru!$D:$D,$A$30)</f>
        <v>0</v>
      </c>
      <c r="L30" s="101">
        <f>COUNTIFS(Başvuru!$I:$I,Toplantı!$B$14,Başvuru!$D:$D,$A$30)</f>
        <v>1</v>
      </c>
      <c r="M30" s="101">
        <f>COUNTIFS(Başvuru!$I:$I,Toplantı!$B$15,Başvuru!$D:$D,$A$30)</f>
        <v>0</v>
      </c>
      <c r="N30" s="101">
        <f>COUNTIFS(Başvuru!$I:$I,Toplantı!$B$16,Başvuru!$D:$D,$A$30)</f>
        <v>0</v>
      </c>
      <c r="O30" s="102">
        <f t="shared" si="0"/>
        <v>5</v>
      </c>
    </row>
    <row r="31" spans="1:15" ht="15.75" customHeight="1" x14ac:dyDescent="0.25">
      <c r="A31" s="103" t="s">
        <v>353</v>
      </c>
      <c r="B31" s="104">
        <f>COUNTIFS(Başvuru!$I:$I,Toplantı!$B$4,Başvuru!$D:$D,$A$31)</f>
        <v>1</v>
      </c>
      <c r="C31" s="104">
        <f>COUNTIFS(Başvuru!$I:$I,Toplantı!$B$5,Başvuru!$D:$D,$A$31)</f>
        <v>0</v>
      </c>
      <c r="D31" s="104">
        <f>COUNTIFS(Başvuru!$I:$I,Toplantı!$B$6,Başvuru!$D:$D,$A$31)</f>
        <v>0</v>
      </c>
      <c r="E31" s="104">
        <f>COUNTIFS(Başvuru!$I:$I,Toplantı!$B$7,Başvuru!$D:$D,$A$31)</f>
        <v>1</v>
      </c>
      <c r="F31" s="104">
        <f>COUNTIFS(Başvuru!$I:$I,Toplantı!$B$8,Başvuru!$D:$D,$A$31)</f>
        <v>0</v>
      </c>
      <c r="G31" s="104">
        <f>COUNTIFS(Başvuru!$I:$I,Toplantı!$B$9,Başvuru!$D:$D,$A$31)</f>
        <v>0</v>
      </c>
      <c r="H31" s="104">
        <f>COUNTIFS(Başvuru!$I:$I,Toplantı!$B$10,Başvuru!$D:$D,$A$31)</f>
        <v>1</v>
      </c>
      <c r="I31" s="104">
        <f>COUNTIFS(Başvuru!$I:$I,Toplantı!$B$11,Başvuru!$D:$D,$A$31)</f>
        <v>0</v>
      </c>
      <c r="J31" s="104">
        <f>COUNTIFS(Başvuru!$I:$I,Toplantı!$B$12,Başvuru!$D:$D,$A$31)</f>
        <v>2</v>
      </c>
      <c r="K31" s="104">
        <f>COUNTIFS(Başvuru!$I:$I,Toplantı!$B$13,Başvuru!$D:$D,$A$31)</f>
        <v>0</v>
      </c>
      <c r="L31" s="104">
        <f>COUNTIFS(Başvuru!$I:$I,Toplantı!$B$14,Başvuru!$D:$D,$A$31)</f>
        <v>0</v>
      </c>
      <c r="M31" s="104">
        <f>COUNTIFS(Başvuru!$I:$I,Toplantı!$B$15,Başvuru!$D:$D,$A$31)</f>
        <v>0</v>
      </c>
      <c r="N31" s="104">
        <f>COUNTIFS(Başvuru!$I:$I,Toplantı!$B$16,Başvuru!$D:$D,$A$31)</f>
        <v>0</v>
      </c>
      <c r="O31" s="102">
        <f t="shared" si="0"/>
        <v>5</v>
      </c>
    </row>
    <row r="32" spans="1:15" ht="15.75" customHeight="1" x14ac:dyDescent="0.25">
      <c r="A32" s="100" t="s">
        <v>375</v>
      </c>
      <c r="B32" s="101">
        <f>COUNTIFS(Başvuru!$I:$I,Toplantı!$B$4,Başvuru!$D:$D,$A$32)</f>
        <v>1</v>
      </c>
      <c r="C32" s="101">
        <f>COUNTIFS(Başvuru!$I:$I,Toplantı!$B$5,Başvuru!$D:$D,$A$32)</f>
        <v>0</v>
      </c>
      <c r="D32" s="101">
        <f>COUNTIFS(Başvuru!$I:$I,Toplantı!$B$6,Başvuru!$D:$D,$A$32)</f>
        <v>1</v>
      </c>
      <c r="E32" s="101">
        <f>COUNTIFS(Başvuru!$I:$I,Toplantı!$B$7,Başvuru!$D:$D,$A$32)</f>
        <v>0</v>
      </c>
      <c r="F32" s="101">
        <f>COUNTIFS(Başvuru!$I:$I,Toplantı!$B$8,Başvuru!$D:$D,$A$32)</f>
        <v>0</v>
      </c>
      <c r="G32" s="101">
        <f>COUNTIFS(Başvuru!$I:$I,Toplantı!$B$9,Başvuru!$D:$D,$A$32)</f>
        <v>0</v>
      </c>
      <c r="H32" s="101">
        <f>COUNTIFS(Başvuru!$I:$I,Toplantı!$B$10,Başvuru!$D:$D,$A$32)</f>
        <v>2</v>
      </c>
      <c r="I32" s="101">
        <f>COUNTIFS(Başvuru!$I:$I,Toplantı!$B$11,Başvuru!$D:$D,$A$32)</f>
        <v>0</v>
      </c>
      <c r="J32" s="101">
        <f>COUNTIFS(Başvuru!$I:$I,Toplantı!$B$12,Başvuru!$D:$D,$A$32)</f>
        <v>0</v>
      </c>
      <c r="K32" s="101">
        <f>COUNTIFS(Başvuru!$I:$I,Toplantı!$B$13,Başvuru!$D:$D,$A$32)</f>
        <v>0</v>
      </c>
      <c r="L32" s="101">
        <f>COUNTIFS(Başvuru!$I:$I,Toplantı!$B$14,Başvuru!$D:$D,$A$32)</f>
        <v>0</v>
      </c>
      <c r="M32" s="101">
        <f>COUNTIFS(Başvuru!$I:$I,Toplantı!$B$15,Başvuru!$D:$D,$A$32)</f>
        <v>1</v>
      </c>
      <c r="N32" s="101">
        <f>COUNTIFS(Başvuru!$I:$I,Toplantı!$B$16,Başvuru!$D:$D,$A$32)</f>
        <v>1</v>
      </c>
      <c r="O32" s="102">
        <f t="shared" si="0"/>
        <v>5</v>
      </c>
    </row>
    <row r="33" spans="1:15" ht="15.75" customHeight="1" x14ac:dyDescent="0.25">
      <c r="A33" s="103" t="s">
        <v>442</v>
      </c>
      <c r="B33" s="104">
        <f>COUNTIFS(Başvuru!$I:$I,Toplantı!$B$4,Başvuru!$D:$D,$A$33)</f>
        <v>0</v>
      </c>
      <c r="C33" s="104">
        <f>COUNTIFS(Başvuru!$I:$I,Toplantı!$B$5,Başvuru!$D:$D,$A$33)</f>
        <v>1</v>
      </c>
      <c r="D33" s="104">
        <f>COUNTIFS(Başvuru!$I:$I,Toplantı!$B$6,Başvuru!$D:$D,$A$33)</f>
        <v>0</v>
      </c>
      <c r="E33" s="104">
        <f>COUNTIFS(Başvuru!$I:$I,Toplantı!$B$7,Başvuru!$D:$D,$A$33)</f>
        <v>1</v>
      </c>
      <c r="F33" s="104">
        <f>COUNTIFS(Başvuru!$I:$I,Toplantı!$B$8,Başvuru!$D:$D,$A$33)</f>
        <v>0</v>
      </c>
      <c r="G33" s="104">
        <f>COUNTIFS(Başvuru!$I:$I,Toplantı!$B$9,Başvuru!$D:$D,$A$33)</f>
        <v>2</v>
      </c>
      <c r="H33" s="104">
        <f>COUNTIFS(Başvuru!$I:$I,Toplantı!$B$10,Başvuru!$D:$D,$A$33)</f>
        <v>0</v>
      </c>
      <c r="I33" s="104">
        <f>COUNTIFS(Başvuru!$I:$I,Toplantı!$B$11,Başvuru!$D:$D,$A$33)</f>
        <v>0</v>
      </c>
      <c r="J33" s="104">
        <f>COUNTIFS(Başvuru!$I:$I,Toplantı!$B$12,Başvuru!$D:$D,$A$33)</f>
        <v>0</v>
      </c>
      <c r="K33" s="104">
        <f>COUNTIFS(Başvuru!$I:$I,Toplantı!$B$13,Başvuru!$D:$D,$A$33)</f>
        <v>1</v>
      </c>
      <c r="L33" s="104">
        <f>COUNTIFS(Başvuru!$I:$I,Toplantı!$B$14,Başvuru!$D:$D,$A$33)</f>
        <v>0</v>
      </c>
      <c r="M33" s="104">
        <f>COUNTIFS(Başvuru!$I:$I,Toplantı!$B$15,Başvuru!$D:$D,$A$33)</f>
        <v>0</v>
      </c>
      <c r="N33" s="104">
        <f>COUNTIFS(Başvuru!$I:$I,Toplantı!$B$16,Başvuru!$D:$D,$A$33)</f>
        <v>0</v>
      </c>
      <c r="O33" s="102">
        <f t="shared" si="0"/>
        <v>5</v>
      </c>
    </row>
    <row r="34" spans="1:15" ht="15.75" customHeight="1" x14ac:dyDescent="0.25">
      <c r="A34" s="100" t="s">
        <v>612</v>
      </c>
      <c r="B34" s="101">
        <f>COUNTIFS(Başvuru!$I:$I,Toplantı!$B$4,Başvuru!$D:$D,$A$34)</f>
        <v>0</v>
      </c>
      <c r="C34" s="101">
        <f>COUNTIFS(Başvuru!$I:$I,Toplantı!$B$5,Başvuru!$D:$D,$A$34)</f>
        <v>2</v>
      </c>
      <c r="D34" s="101">
        <f>COUNTIFS(Başvuru!$I:$I,Toplantı!$B$6,Başvuru!$D:$D,$A$34)</f>
        <v>0</v>
      </c>
      <c r="E34" s="101">
        <f>COUNTIFS(Başvuru!$I:$I,Toplantı!$B$7,Başvuru!$D:$D,$A$34)</f>
        <v>1</v>
      </c>
      <c r="F34" s="101">
        <f>COUNTIFS(Başvuru!$I:$I,Toplantı!$B$8,Başvuru!$D:$D,$A$34)</f>
        <v>0</v>
      </c>
      <c r="G34" s="101">
        <f>COUNTIFS(Başvuru!$I:$I,Toplantı!$B$9,Başvuru!$D:$D,$A$34)</f>
        <v>0</v>
      </c>
      <c r="H34" s="101">
        <f>COUNTIFS(Başvuru!$I:$I,Toplantı!$B$10,Başvuru!$D:$D,$A$34)</f>
        <v>0</v>
      </c>
      <c r="I34" s="101">
        <f>COUNTIFS(Başvuru!$I:$I,Toplantı!$B$11,Başvuru!$D:$D,$A$34)</f>
        <v>1</v>
      </c>
      <c r="J34" s="101">
        <f>COUNTIFS(Başvuru!$I:$I,Toplantı!$B$12,Başvuru!$D:$D,$A$34)</f>
        <v>0</v>
      </c>
      <c r="K34" s="101">
        <f>COUNTIFS(Başvuru!$I:$I,Toplantı!$B$13,Başvuru!$D:$D,$A$34)</f>
        <v>0</v>
      </c>
      <c r="L34" s="101">
        <f>COUNTIFS(Başvuru!$I:$I,Toplantı!$B$14,Başvuru!$D:$D,$A$34)</f>
        <v>0</v>
      </c>
      <c r="M34" s="101">
        <f>COUNTIFS(Başvuru!$I:$I,Toplantı!$B$15,Başvuru!$D:$D,$A$34)</f>
        <v>1</v>
      </c>
      <c r="N34" s="101">
        <f>COUNTIFS(Başvuru!$I:$I,Toplantı!$B$16,Başvuru!$D:$D,$A$34)</f>
        <v>0</v>
      </c>
      <c r="O34" s="102">
        <f t="shared" si="0"/>
        <v>5</v>
      </c>
    </row>
    <row r="35" spans="1:15" ht="15.75" customHeight="1" x14ac:dyDescent="0.25">
      <c r="A35" s="103" t="s">
        <v>1171</v>
      </c>
      <c r="B35" s="104">
        <f>COUNTIFS(Başvuru!$I:$I,Toplantı!$B$4,Başvuru!$D:$D,$A$35)</f>
        <v>0</v>
      </c>
      <c r="C35" s="104">
        <f>COUNTIFS(Başvuru!$I:$I,Toplantı!$B$5,Başvuru!$D:$D,$A$35)</f>
        <v>0</v>
      </c>
      <c r="D35" s="104">
        <f>COUNTIFS(Başvuru!$I:$I,Toplantı!$B$6,Başvuru!$D:$D,$A$35)</f>
        <v>0</v>
      </c>
      <c r="E35" s="104">
        <f>COUNTIFS(Başvuru!$I:$I,Toplantı!$B$7,Başvuru!$D:$D,$A$35)</f>
        <v>0</v>
      </c>
      <c r="F35" s="104">
        <f>COUNTIFS(Başvuru!$I:$I,Toplantı!$B$8,Başvuru!$D:$D,$A$35)</f>
        <v>1</v>
      </c>
      <c r="G35" s="104">
        <f>COUNTIFS(Başvuru!$I:$I,Toplantı!$B$9,Başvuru!$D:$D,$A$35)</f>
        <v>0</v>
      </c>
      <c r="H35" s="104">
        <f>COUNTIFS(Başvuru!$I:$I,Toplantı!$B$10,Başvuru!$D:$D,$A$35)</f>
        <v>0</v>
      </c>
      <c r="I35" s="104">
        <f>COUNTIFS(Başvuru!$I:$I,Toplantı!$B$11,Başvuru!$D:$D,$A$35)</f>
        <v>1</v>
      </c>
      <c r="J35" s="104">
        <f>COUNTIFS(Başvuru!$I:$I,Toplantı!$B$12,Başvuru!$D:$D,$A$35)</f>
        <v>1</v>
      </c>
      <c r="K35" s="104">
        <f>COUNTIFS(Başvuru!$I:$I,Toplantı!$B$13,Başvuru!$D:$D,$A$35)</f>
        <v>1</v>
      </c>
      <c r="L35" s="104">
        <f>COUNTIFS(Başvuru!$I:$I,Toplantı!$B$14,Başvuru!$D:$D,$A$35)</f>
        <v>0</v>
      </c>
      <c r="M35" s="104">
        <f>COUNTIFS(Başvuru!$I:$I,Toplantı!$B$15,Başvuru!$D:$D,$A$35)</f>
        <v>0</v>
      </c>
      <c r="N35" s="104">
        <f>COUNTIFS(Başvuru!$I:$I,Toplantı!$B$16,Başvuru!$D:$D,$A$35)</f>
        <v>1</v>
      </c>
      <c r="O35" s="102">
        <f t="shared" si="0"/>
        <v>4</v>
      </c>
    </row>
    <row r="36" spans="1:15" ht="15.75" customHeight="1" x14ac:dyDescent="0.25">
      <c r="A36" s="100" t="s">
        <v>1520</v>
      </c>
      <c r="B36" s="101">
        <f>COUNTIFS(Başvuru!$I:$I,Toplantı!$B$4,Başvuru!$D:$D,$A$36)</f>
        <v>0</v>
      </c>
      <c r="C36" s="101">
        <f>COUNTIFS(Başvuru!$I:$I,Toplantı!$B$5,Başvuru!$D:$D,$A$36)</f>
        <v>0</v>
      </c>
      <c r="D36" s="101">
        <f>COUNTIFS(Başvuru!$I:$I,Toplantı!$B$6,Başvuru!$D:$D,$A$36)</f>
        <v>0</v>
      </c>
      <c r="E36" s="101">
        <f>COUNTIFS(Başvuru!$I:$I,Toplantı!$B$7,Başvuru!$D:$D,$A$36)</f>
        <v>0</v>
      </c>
      <c r="F36" s="101">
        <f>COUNTIFS(Başvuru!$I:$I,Toplantı!$B$8,Başvuru!$D:$D,$A$36)</f>
        <v>0</v>
      </c>
      <c r="G36" s="101">
        <f>COUNTIFS(Başvuru!$I:$I,Toplantı!$B$9,Başvuru!$D:$D,$A$36)</f>
        <v>0</v>
      </c>
      <c r="H36" s="101">
        <f>COUNTIFS(Başvuru!$I:$I,Toplantı!$B$10,Başvuru!$D:$D,$A$36)</f>
        <v>1</v>
      </c>
      <c r="I36" s="101">
        <f>COUNTIFS(Başvuru!$I:$I,Toplantı!$B$11,Başvuru!$D:$D,$A$36)</f>
        <v>2</v>
      </c>
      <c r="J36" s="101">
        <f>COUNTIFS(Başvuru!$I:$I,Toplantı!$B$12,Başvuru!$D:$D,$A$36)</f>
        <v>0</v>
      </c>
      <c r="K36" s="101">
        <f>COUNTIFS(Başvuru!$I:$I,Toplantı!$B$13,Başvuru!$D:$D,$A$36)</f>
        <v>1</v>
      </c>
      <c r="L36" s="101">
        <f>COUNTIFS(Başvuru!$I:$I,Toplantı!$B$14,Başvuru!$D:$D,$A$36)</f>
        <v>0</v>
      </c>
      <c r="M36" s="101">
        <f>COUNTIFS(Başvuru!$I:$I,Toplantı!$B$15,Başvuru!$D:$D,$A$36)</f>
        <v>0</v>
      </c>
      <c r="N36" s="101">
        <f>COUNTIFS(Başvuru!$I:$I,Toplantı!$B$16,Başvuru!$D:$D,$A$36)</f>
        <v>2</v>
      </c>
      <c r="O36" s="102">
        <f t="shared" ref="O36:O67" si="1">SUM(B36:M36)</f>
        <v>4</v>
      </c>
    </row>
    <row r="37" spans="1:15" ht="15.75" customHeight="1" x14ac:dyDescent="0.25">
      <c r="A37" s="103" t="s">
        <v>165</v>
      </c>
      <c r="B37" s="104">
        <f>COUNTIFS(Başvuru!$I:$I,Toplantı!$B$4,Başvuru!$D:$D,$A$37)</f>
        <v>2</v>
      </c>
      <c r="C37" s="104">
        <f>COUNTIFS(Başvuru!$I:$I,Toplantı!$B$5,Başvuru!$D:$D,$A$37)</f>
        <v>0</v>
      </c>
      <c r="D37" s="104">
        <f>COUNTIFS(Başvuru!$I:$I,Toplantı!$B$6,Başvuru!$D:$D,$A$37)</f>
        <v>1</v>
      </c>
      <c r="E37" s="104">
        <f>COUNTIFS(Başvuru!$I:$I,Toplantı!$B$7,Başvuru!$D:$D,$A$37)</f>
        <v>0</v>
      </c>
      <c r="F37" s="104">
        <f>COUNTIFS(Başvuru!$I:$I,Toplantı!$B$8,Başvuru!$D:$D,$A$37)</f>
        <v>0</v>
      </c>
      <c r="G37" s="104">
        <f>COUNTIFS(Başvuru!$I:$I,Toplantı!$B$9,Başvuru!$D:$D,$A$37)</f>
        <v>0</v>
      </c>
      <c r="H37" s="104">
        <f>COUNTIFS(Başvuru!$I:$I,Toplantı!$B$10,Başvuru!$D:$D,$A$37)</f>
        <v>0</v>
      </c>
      <c r="I37" s="104">
        <f>COUNTIFS(Başvuru!$I:$I,Toplantı!$B$11,Başvuru!$D:$D,$A$37)</f>
        <v>0</v>
      </c>
      <c r="J37" s="104">
        <f>COUNTIFS(Başvuru!$I:$I,Toplantı!$B$12,Başvuru!$D:$D,$A$37)</f>
        <v>0</v>
      </c>
      <c r="K37" s="104">
        <f>COUNTIFS(Başvuru!$I:$I,Toplantı!$B$13,Başvuru!$D:$D,$A$37)</f>
        <v>0</v>
      </c>
      <c r="L37" s="104">
        <f>COUNTIFS(Başvuru!$I:$I,Toplantı!$B$14,Başvuru!$D:$D,$A$37)</f>
        <v>0</v>
      </c>
      <c r="M37" s="104">
        <f>COUNTIFS(Başvuru!$I:$I,Toplantı!$B$15,Başvuru!$D:$D,$A$37)</f>
        <v>0</v>
      </c>
      <c r="N37" s="104">
        <f>COUNTIFS(Başvuru!$I:$I,Toplantı!$B$16,Başvuru!$D:$D,$A$37)</f>
        <v>0</v>
      </c>
      <c r="O37" s="102">
        <f t="shared" si="1"/>
        <v>3</v>
      </c>
    </row>
    <row r="38" spans="1:15" ht="15.75" customHeight="1" x14ac:dyDescent="0.25">
      <c r="A38" s="100" t="s">
        <v>193</v>
      </c>
      <c r="B38" s="101">
        <f>COUNTIFS(Başvuru!$I:$I,Toplantı!$B$4,Başvuru!$D:$D,$A$38)</f>
        <v>1</v>
      </c>
      <c r="C38" s="101">
        <f>COUNTIFS(Başvuru!$I:$I,Toplantı!$B$5,Başvuru!$D:$D,$A$38)</f>
        <v>1</v>
      </c>
      <c r="D38" s="101">
        <f>COUNTIFS(Başvuru!$I:$I,Toplantı!$B$6,Başvuru!$D:$D,$A$38)</f>
        <v>1</v>
      </c>
      <c r="E38" s="101">
        <f>COUNTIFS(Başvuru!$I:$I,Toplantı!$B$7,Başvuru!$D:$D,$A$38)</f>
        <v>0</v>
      </c>
      <c r="F38" s="101">
        <f>COUNTIFS(Başvuru!$I:$I,Toplantı!$B$8,Başvuru!$D:$D,$A$38)</f>
        <v>0</v>
      </c>
      <c r="G38" s="101">
        <f>COUNTIFS(Başvuru!$I:$I,Toplantı!$B$9,Başvuru!$D:$D,$A$38)</f>
        <v>0</v>
      </c>
      <c r="H38" s="101">
        <f>COUNTIFS(Başvuru!$I:$I,Toplantı!$B$10,Başvuru!$D:$D,$A$38)</f>
        <v>0</v>
      </c>
      <c r="I38" s="101">
        <f>COUNTIFS(Başvuru!$I:$I,Toplantı!$B$11,Başvuru!$D:$D,$A$38)</f>
        <v>0</v>
      </c>
      <c r="J38" s="101">
        <f>COUNTIFS(Başvuru!$I:$I,Toplantı!$B$12,Başvuru!$D:$D,$A$38)</f>
        <v>0</v>
      </c>
      <c r="K38" s="101">
        <f>COUNTIFS(Başvuru!$I:$I,Toplantı!$B$13,Başvuru!$D:$D,$A$38)</f>
        <v>0</v>
      </c>
      <c r="L38" s="101">
        <f>COUNTIFS(Başvuru!$I:$I,Toplantı!$B$14,Başvuru!$D:$D,$A$38)</f>
        <v>0</v>
      </c>
      <c r="M38" s="101">
        <f>COUNTIFS(Başvuru!$I:$I,Toplantı!$B$15,Başvuru!$D:$D,$A$38)</f>
        <v>0</v>
      </c>
      <c r="N38" s="101">
        <f>COUNTIFS(Başvuru!$I:$I,Toplantı!$B$16,Başvuru!$D:$D,$A$38)</f>
        <v>0</v>
      </c>
      <c r="O38" s="102">
        <f t="shared" si="1"/>
        <v>3</v>
      </c>
    </row>
    <row r="39" spans="1:15" ht="15.75" customHeight="1" x14ac:dyDescent="0.25">
      <c r="A39" s="103" t="s">
        <v>690</v>
      </c>
      <c r="B39" s="104">
        <f>COUNTIFS(Başvuru!$I:$I,Toplantı!$B$4,Başvuru!$D:$D,$A$39)</f>
        <v>0</v>
      </c>
      <c r="C39" s="104">
        <f>COUNTIFS(Başvuru!$I:$I,Toplantı!$B$5,Başvuru!$D:$D,$A$39)</f>
        <v>0</v>
      </c>
      <c r="D39" s="104">
        <f>COUNTIFS(Başvuru!$I:$I,Toplantı!$B$6,Başvuru!$D:$D,$A$39)</f>
        <v>2</v>
      </c>
      <c r="E39" s="104">
        <f>COUNTIFS(Başvuru!$I:$I,Toplantı!$B$7,Başvuru!$D:$D,$A$39)</f>
        <v>0</v>
      </c>
      <c r="F39" s="104">
        <f>COUNTIFS(Başvuru!$I:$I,Toplantı!$B$8,Başvuru!$D:$D,$A$39)</f>
        <v>0</v>
      </c>
      <c r="G39" s="104">
        <f>COUNTIFS(Başvuru!$I:$I,Toplantı!$B$9,Başvuru!$D:$D,$A$39)</f>
        <v>0</v>
      </c>
      <c r="H39" s="104">
        <f>COUNTIFS(Başvuru!$I:$I,Toplantı!$B$10,Başvuru!$D:$D,$A$39)</f>
        <v>0</v>
      </c>
      <c r="I39" s="104">
        <f>COUNTIFS(Başvuru!$I:$I,Toplantı!$B$11,Başvuru!$D:$D,$A$39)</f>
        <v>1</v>
      </c>
      <c r="J39" s="104">
        <f>COUNTIFS(Başvuru!$I:$I,Toplantı!$B$12,Başvuru!$D:$D,$A$39)</f>
        <v>0</v>
      </c>
      <c r="K39" s="104">
        <f>COUNTIFS(Başvuru!$I:$I,Toplantı!$B$13,Başvuru!$D:$D,$A$39)</f>
        <v>0</v>
      </c>
      <c r="L39" s="104">
        <f>COUNTIFS(Başvuru!$I:$I,Toplantı!$B$14,Başvuru!$D:$D,$A$39)</f>
        <v>0</v>
      </c>
      <c r="M39" s="104">
        <f>COUNTIFS(Başvuru!$I:$I,Toplantı!$B$15,Başvuru!$D:$D,$A$39)</f>
        <v>0</v>
      </c>
      <c r="N39" s="104">
        <f>COUNTIFS(Başvuru!$I:$I,Toplantı!$B$16,Başvuru!$D:$D,$A$39)</f>
        <v>0</v>
      </c>
      <c r="O39" s="102">
        <f t="shared" si="1"/>
        <v>3</v>
      </c>
    </row>
    <row r="40" spans="1:15" ht="15.75" customHeight="1" x14ac:dyDescent="0.25">
      <c r="A40" s="100" t="s">
        <v>1196</v>
      </c>
      <c r="B40" s="101">
        <f>COUNTIFS(Başvuru!$I:$I,Toplantı!$B$4,Başvuru!$D:$D,$A$40)</f>
        <v>0</v>
      </c>
      <c r="C40" s="101">
        <f>COUNTIFS(Başvuru!$I:$I,Toplantı!$B$5,Başvuru!$D:$D,$A$40)</f>
        <v>0</v>
      </c>
      <c r="D40" s="101">
        <f>COUNTIFS(Başvuru!$I:$I,Toplantı!$B$6,Başvuru!$D:$D,$A$40)</f>
        <v>0</v>
      </c>
      <c r="E40" s="101">
        <f>COUNTIFS(Başvuru!$I:$I,Toplantı!$B$7,Başvuru!$D:$D,$A$40)</f>
        <v>0</v>
      </c>
      <c r="F40" s="101">
        <f>COUNTIFS(Başvuru!$I:$I,Toplantı!$B$8,Başvuru!$D:$D,$A$40)</f>
        <v>1</v>
      </c>
      <c r="G40" s="101">
        <f>COUNTIFS(Başvuru!$I:$I,Toplantı!$B$9,Başvuru!$D:$D,$A$40)</f>
        <v>0</v>
      </c>
      <c r="H40" s="101">
        <f>COUNTIFS(Başvuru!$I:$I,Toplantı!$B$10,Başvuru!$D:$D,$A$40)</f>
        <v>0</v>
      </c>
      <c r="I40" s="101">
        <f>COUNTIFS(Başvuru!$I:$I,Toplantı!$B$11,Başvuru!$D:$D,$A$40)</f>
        <v>0</v>
      </c>
      <c r="J40" s="101">
        <f>COUNTIFS(Başvuru!$I:$I,Toplantı!$B$12,Başvuru!$D:$D,$A$40)</f>
        <v>1</v>
      </c>
      <c r="K40" s="101">
        <f>COUNTIFS(Başvuru!$I:$I,Toplantı!$B$13,Başvuru!$D:$D,$A$40)</f>
        <v>1</v>
      </c>
      <c r="L40" s="101">
        <f>COUNTIFS(Başvuru!$I:$I,Toplantı!$B$14,Başvuru!$D:$D,$A$40)</f>
        <v>0</v>
      </c>
      <c r="M40" s="101">
        <f>COUNTIFS(Başvuru!$I:$I,Toplantı!$B$15,Başvuru!$D:$D,$A$40)</f>
        <v>0</v>
      </c>
      <c r="N40" s="101">
        <f>COUNTIFS(Başvuru!$I:$I,Toplantı!$B$16,Başvuru!$D:$D,$A$40)</f>
        <v>0</v>
      </c>
      <c r="O40" s="102">
        <f t="shared" si="1"/>
        <v>3</v>
      </c>
    </row>
    <row r="41" spans="1:15" ht="15.75" customHeight="1" x14ac:dyDescent="0.25">
      <c r="A41" s="103" t="s">
        <v>1692</v>
      </c>
      <c r="B41" s="104">
        <f>COUNTIFS(Başvuru!$I:$I,Toplantı!$B$4,Başvuru!$D:$D,$A$41)</f>
        <v>0</v>
      </c>
      <c r="C41" s="104">
        <f>COUNTIFS(Başvuru!$I:$I,Toplantı!$B$5,Başvuru!$D:$D,$A$41)</f>
        <v>0</v>
      </c>
      <c r="D41" s="104">
        <f>COUNTIFS(Başvuru!$I:$I,Toplantı!$B$6,Başvuru!$D:$D,$A$41)</f>
        <v>0</v>
      </c>
      <c r="E41" s="104">
        <f>COUNTIFS(Başvuru!$I:$I,Toplantı!$B$7,Başvuru!$D:$D,$A$41)</f>
        <v>0</v>
      </c>
      <c r="F41" s="104">
        <f>COUNTIFS(Başvuru!$I:$I,Toplantı!$B$8,Başvuru!$D:$D,$A$41)</f>
        <v>0</v>
      </c>
      <c r="G41" s="104">
        <f>COUNTIFS(Başvuru!$I:$I,Toplantı!$B$9,Başvuru!$D:$D,$A$41)</f>
        <v>0</v>
      </c>
      <c r="H41" s="104">
        <f>COUNTIFS(Başvuru!$I:$I,Toplantı!$B$10,Başvuru!$D:$D,$A$41)</f>
        <v>0</v>
      </c>
      <c r="I41" s="104">
        <f>COUNTIFS(Başvuru!$I:$I,Toplantı!$B$11,Başvuru!$D:$D,$A$41)</f>
        <v>1</v>
      </c>
      <c r="J41" s="104">
        <f>COUNTIFS(Başvuru!$I:$I,Toplantı!$B$12,Başvuru!$D:$D,$A$41)</f>
        <v>0</v>
      </c>
      <c r="K41" s="104">
        <f>COUNTIFS(Başvuru!$I:$I,Toplantı!$B$13,Başvuru!$D:$D,$A$41)</f>
        <v>1</v>
      </c>
      <c r="L41" s="104">
        <f>COUNTIFS(Başvuru!$I:$I,Toplantı!$B$14,Başvuru!$D:$D,$A$41)</f>
        <v>1</v>
      </c>
      <c r="M41" s="104">
        <f>COUNTIFS(Başvuru!$I:$I,Toplantı!$B$15,Başvuru!$D:$D,$A$41)</f>
        <v>0</v>
      </c>
      <c r="N41" s="104">
        <f>COUNTIFS(Başvuru!$I:$I,Toplantı!$B$16,Başvuru!$D:$D,$A$41)</f>
        <v>0</v>
      </c>
      <c r="O41" s="102">
        <f t="shared" si="1"/>
        <v>3</v>
      </c>
    </row>
    <row r="42" spans="1:15" ht="22.9" customHeight="1" x14ac:dyDescent="0.25">
      <c r="A42" s="100" t="s">
        <v>88</v>
      </c>
      <c r="B42" s="101">
        <f>COUNTIFS(Başvuru!$I:$I,Toplantı!$B$4,Başvuru!$D:$D,$A$42)</f>
        <v>1</v>
      </c>
      <c r="C42" s="101">
        <f>COUNTIFS(Başvuru!$I:$I,Toplantı!$B$5,Başvuru!$D:$D,$A$42)</f>
        <v>0</v>
      </c>
      <c r="D42" s="101">
        <f>COUNTIFS(Başvuru!$I:$I,Toplantı!$B$6,Başvuru!$D:$D,$A$42)</f>
        <v>0</v>
      </c>
      <c r="E42" s="101">
        <f>COUNTIFS(Başvuru!$I:$I,Toplantı!$B$7,Başvuru!$D:$D,$A$42)</f>
        <v>0</v>
      </c>
      <c r="F42" s="101">
        <f>COUNTIFS(Başvuru!$I:$I,Toplantı!$B$8,Başvuru!$D:$D,$A$42)</f>
        <v>0</v>
      </c>
      <c r="G42" s="101">
        <f>COUNTIFS(Başvuru!$I:$I,Toplantı!$B$9,Başvuru!$D:$D,$A$42)</f>
        <v>0</v>
      </c>
      <c r="H42" s="101">
        <f>COUNTIFS(Başvuru!$I:$I,Toplantı!$B$10,Başvuru!$D:$D,$A$42)</f>
        <v>0</v>
      </c>
      <c r="I42" s="101">
        <f>COUNTIFS(Başvuru!$I:$I,Toplantı!$B$11,Başvuru!$D:$D,$A$42)</f>
        <v>1</v>
      </c>
      <c r="J42" s="101">
        <f>COUNTIFS(Başvuru!$I:$I,Toplantı!$B$12,Başvuru!$D:$D,$A$42)</f>
        <v>0</v>
      </c>
      <c r="K42" s="101">
        <f>COUNTIFS(Başvuru!$I:$I,Toplantı!$B$13,Başvuru!$D:$D,$A$42)</f>
        <v>0</v>
      </c>
      <c r="L42" s="101">
        <f>COUNTIFS(Başvuru!$I:$I,Toplantı!$B$14,Başvuru!$D:$D,$A$42)</f>
        <v>0</v>
      </c>
      <c r="M42" s="101">
        <f>COUNTIFS(Başvuru!$I:$I,Toplantı!$B$15,Başvuru!$D:$D,$A$42)</f>
        <v>0</v>
      </c>
      <c r="N42" s="101">
        <f>COUNTIFS(Başvuru!$I:$I,Toplantı!$B$16,Başvuru!$D:$D,$A$42)</f>
        <v>0</v>
      </c>
      <c r="O42" s="102">
        <f t="shared" si="1"/>
        <v>2</v>
      </c>
    </row>
    <row r="43" spans="1:15" ht="15.75" customHeight="1" x14ac:dyDescent="0.25">
      <c r="A43" s="103" t="s">
        <v>137</v>
      </c>
      <c r="B43" s="104">
        <f>COUNTIFS(Başvuru!$I:$I,Toplantı!$B$4,Başvuru!$D:$D,$A$43)</f>
        <v>1</v>
      </c>
      <c r="C43" s="104">
        <f>COUNTIFS(Başvuru!$I:$I,Toplantı!$B$5,Başvuru!$D:$D,$A$43)</f>
        <v>0</v>
      </c>
      <c r="D43" s="104">
        <f>COUNTIFS(Başvuru!$I:$I,Toplantı!$B$6,Başvuru!$D:$D,$A$43)</f>
        <v>0</v>
      </c>
      <c r="E43" s="104">
        <f>COUNTIFS(Başvuru!$I:$I,Toplantı!$B$7,Başvuru!$D:$D,$A$43)</f>
        <v>0</v>
      </c>
      <c r="F43" s="104">
        <f>COUNTIFS(Başvuru!$I:$I,Toplantı!$B$8,Başvuru!$D:$D,$A$43)</f>
        <v>0</v>
      </c>
      <c r="G43" s="104">
        <f>COUNTIFS(Başvuru!$I:$I,Toplantı!$B$9,Başvuru!$D:$D,$A$43)</f>
        <v>0</v>
      </c>
      <c r="H43" s="104">
        <f>COUNTIFS(Başvuru!$I:$I,Toplantı!$B$10,Başvuru!$D:$D,$A$43)</f>
        <v>0</v>
      </c>
      <c r="I43" s="104">
        <f>COUNTIFS(Başvuru!$I:$I,Toplantı!$B$11,Başvuru!$D:$D,$A$43)</f>
        <v>0</v>
      </c>
      <c r="J43" s="104">
        <f>COUNTIFS(Başvuru!$I:$I,Toplantı!$B$12,Başvuru!$D:$D,$A$43)</f>
        <v>0</v>
      </c>
      <c r="K43" s="104">
        <f>COUNTIFS(Başvuru!$I:$I,Toplantı!$B$13,Başvuru!$D:$D,$A$43)</f>
        <v>0</v>
      </c>
      <c r="L43" s="104">
        <f>COUNTIFS(Başvuru!$I:$I,Toplantı!$B$14,Başvuru!$D:$D,$A$43)</f>
        <v>0</v>
      </c>
      <c r="M43" s="104">
        <f>COUNTIFS(Başvuru!$I:$I,Toplantı!$B$15,Başvuru!$D:$D,$A$43)</f>
        <v>1</v>
      </c>
      <c r="N43" s="104">
        <f>COUNTIFS(Başvuru!$I:$I,Toplantı!$B$16,Başvuru!$D:$D,$A$43)</f>
        <v>0</v>
      </c>
      <c r="O43" s="102">
        <f t="shared" si="1"/>
        <v>2</v>
      </c>
    </row>
    <row r="44" spans="1:15" ht="15.75" customHeight="1" x14ac:dyDescent="0.25">
      <c r="A44" s="100" t="s">
        <v>158</v>
      </c>
      <c r="B44" s="101">
        <f>COUNTIFS(Başvuru!$I:$I,Toplantı!$B$4,Başvuru!$D:$D,$A$44)</f>
        <v>1</v>
      </c>
      <c r="C44" s="101">
        <f>COUNTIFS(Başvuru!$I:$I,Toplantı!$B$5,Başvuru!$D:$D,$A$44)</f>
        <v>0</v>
      </c>
      <c r="D44" s="101">
        <f>COUNTIFS(Başvuru!$I:$I,Toplantı!$B$6,Başvuru!$D:$D,$A$44)</f>
        <v>0</v>
      </c>
      <c r="E44" s="101">
        <f>COUNTIFS(Başvuru!$I:$I,Toplantı!$B$7,Başvuru!$D:$D,$A$44)</f>
        <v>0</v>
      </c>
      <c r="F44" s="101">
        <f>COUNTIFS(Başvuru!$I:$I,Toplantı!$B$8,Başvuru!$D:$D,$A$44)</f>
        <v>0</v>
      </c>
      <c r="G44" s="101">
        <f>COUNTIFS(Başvuru!$I:$I,Toplantı!$B$9,Başvuru!$D:$D,$A$44)</f>
        <v>0</v>
      </c>
      <c r="H44" s="101">
        <f>COUNTIFS(Başvuru!$I:$I,Toplantı!$B$10,Başvuru!$D:$D,$A$44)</f>
        <v>0</v>
      </c>
      <c r="I44" s="101">
        <f>COUNTIFS(Başvuru!$I:$I,Toplantı!$B$11,Başvuru!$D:$D,$A$44)</f>
        <v>0</v>
      </c>
      <c r="J44" s="101">
        <f>COUNTIFS(Başvuru!$I:$I,Toplantı!$B$12,Başvuru!$D:$D,$A$44)</f>
        <v>0</v>
      </c>
      <c r="K44" s="101">
        <f>COUNTIFS(Başvuru!$I:$I,Toplantı!$B$13,Başvuru!$D:$D,$A$44)</f>
        <v>1</v>
      </c>
      <c r="L44" s="101">
        <f>COUNTIFS(Başvuru!$I:$I,Toplantı!$B$14,Başvuru!$D:$D,$A$44)</f>
        <v>0</v>
      </c>
      <c r="M44" s="101">
        <f>COUNTIFS(Başvuru!$I:$I,Toplantı!$B$15,Başvuru!$D:$D,$A$44)</f>
        <v>0</v>
      </c>
      <c r="N44" s="101">
        <f>COUNTIFS(Başvuru!$I:$I,Toplantı!$B$16,Başvuru!$D:$D,$A$44)</f>
        <v>0</v>
      </c>
      <c r="O44" s="102">
        <f t="shared" si="1"/>
        <v>2</v>
      </c>
    </row>
    <row r="45" spans="1:15" ht="15.75" customHeight="1" x14ac:dyDescent="0.25">
      <c r="A45" s="103" t="s">
        <v>532</v>
      </c>
      <c r="B45" s="104">
        <f>COUNTIFS(Başvuru!$I:$I,Toplantı!$B$4,Başvuru!$D:$D,$A$45)</f>
        <v>0</v>
      </c>
      <c r="C45" s="104">
        <f>COUNTIFS(Başvuru!$I:$I,Toplantı!$B$5,Başvuru!$D:$D,$A$45)</f>
        <v>1</v>
      </c>
      <c r="D45" s="104">
        <f>COUNTIFS(Başvuru!$I:$I,Toplantı!$B$6,Başvuru!$D:$D,$A$45)</f>
        <v>0</v>
      </c>
      <c r="E45" s="104">
        <f>COUNTIFS(Başvuru!$I:$I,Toplantı!$B$7,Başvuru!$D:$D,$A$45)</f>
        <v>0</v>
      </c>
      <c r="F45" s="104">
        <f>COUNTIFS(Başvuru!$I:$I,Toplantı!$B$8,Başvuru!$D:$D,$A$45)</f>
        <v>0</v>
      </c>
      <c r="G45" s="104">
        <f>COUNTIFS(Başvuru!$I:$I,Toplantı!$B$9,Başvuru!$D:$D,$A$45)</f>
        <v>0</v>
      </c>
      <c r="H45" s="104">
        <f>COUNTIFS(Başvuru!$I:$I,Toplantı!$B$10,Başvuru!$D:$D,$A$45)</f>
        <v>0</v>
      </c>
      <c r="I45" s="104">
        <f>COUNTIFS(Başvuru!$I:$I,Toplantı!$B$11,Başvuru!$D:$D,$A$45)</f>
        <v>0</v>
      </c>
      <c r="J45" s="104">
        <f>COUNTIFS(Başvuru!$I:$I,Toplantı!$B$12,Başvuru!$D:$D,$A$45)</f>
        <v>0</v>
      </c>
      <c r="K45" s="104">
        <f>COUNTIFS(Başvuru!$I:$I,Toplantı!$B$13,Başvuru!$D:$D,$A$45)</f>
        <v>0</v>
      </c>
      <c r="L45" s="104">
        <f>COUNTIFS(Başvuru!$I:$I,Toplantı!$B$14,Başvuru!$D:$D,$A$45)</f>
        <v>1</v>
      </c>
      <c r="M45" s="104">
        <f>COUNTIFS(Başvuru!$I:$I,Toplantı!$B$15,Başvuru!$D:$D,$A$45)</f>
        <v>0</v>
      </c>
      <c r="N45" s="104">
        <f>COUNTIFS(Başvuru!$I:$I,Toplantı!$B$16,Başvuru!$D:$D,$A$45)</f>
        <v>0</v>
      </c>
      <c r="O45" s="102">
        <f t="shared" si="1"/>
        <v>2</v>
      </c>
    </row>
    <row r="46" spans="1:15" ht="15.75" customHeight="1" x14ac:dyDescent="0.25">
      <c r="A46" s="100" t="s">
        <v>726</v>
      </c>
      <c r="B46" s="101">
        <f>COUNTIFS(Başvuru!$I:$I,Toplantı!$B$4,Başvuru!$D:$D,$A$46)</f>
        <v>0</v>
      </c>
      <c r="C46" s="101">
        <f>COUNTIFS(Başvuru!$I:$I,Toplantı!$B$5,Başvuru!$D:$D,$A$46)</f>
        <v>0</v>
      </c>
      <c r="D46" s="101">
        <f>COUNTIFS(Başvuru!$I:$I,Toplantı!$B$6,Başvuru!$D:$D,$A$46)</f>
        <v>1</v>
      </c>
      <c r="E46" s="101">
        <f>COUNTIFS(Başvuru!$I:$I,Toplantı!$B$7,Başvuru!$D:$D,$A$46)</f>
        <v>1</v>
      </c>
      <c r="F46" s="101">
        <f>COUNTIFS(Başvuru!$I:$I,Toplantı!$B$8,Başvuru!$D:$D,$A$46)</f>
        <v>0</v>
      </c>
      <c r="G46" s="101">
        <f>COUNTIFS(Başvuru!$I:$I,Toplantı!$B$9,Başvuru!$D:$D,$A$46)</f>
        <v>0</v>
      </c>
      <c r="H46" s="101">
        <f>COUNTIFS(Başvuru!$I:$I,Toplantı!$B$10,Başvuru!$D:$D,$A$46)</f>
        <v>0</v>
      </c>
      <c r="I46" s="101">
        <f>COUNTIFS(Başvuru!$I:$I,Toplantı!$B$11,Başvuru!$D:$D,$A$46)</f>
        <v>0</v>
      </c>
      <c r="J46" s="101">
        <f>COUNTIFS(Başvuru!$I:$I,Toplantı!$B$12,Başvuru!$D:$D,$A$46)</f>
        <v>0</v>
      </c>
      <c r="K46" s="101">
        <f>COUNTIFS(Başvuru!$I:$I,Toplantı!$B$13,Başvuru!$D:$D,$A$46)</f>
        <v>0</v>
      </c>
      <c r="L46" s="101">
        <f>COUNTIFS(Başvuru!$I:$I,Toplantı!$B$14,Başvuru!$D:$D,$A$46)</f>
        <v>0</v>
      </c>
      <c r="M46" s="101">
        <f>COUNTIFS(Başvuru!$I:$I,Toplantı!$B$15,Başvuru!$D:$D,$A$46)</f>
        <v>0</v>
      </c>
      <c r="N46" s="101">
        <f>COUNTIFS(Başvuru!$I:$I,Toplantı!$B$16,Başvuru!$D:$D,$A$46)</f>
        <v>0</v>
      </c>
      <c r="O46" s="102">
        <f t="shared" si="1"/>
        <v>2</v>
      </c>
    </row>
    <row r="47" spans="1:15" ht="15.75" customHeight="1" x14ac:dyDescent="0.25">
      <c r="A47" s="103" t="s">
        <v>753</v>
      </c>
      <c r="B47" s="104">
        <f>COUNTIFS(Başvuru!$I:$I,Toplantı!$B$4,Başvuru!$D:$D,$A$47)</f>
        <v>0</v>
      </c>
      <c r="C47" s="104">
        <f>COUNTIFS(Başvuru!$I:$I,Toplantı!$B$5,Başvuru!$D:$D,$A$47)</f>
        <v>0</v>
      </c>
      <c r="D47" s="104">
        <f>COUNTIFS(Başvuru!$I:$I,Toplantı!$B$6,Başvuru!$D:$D,$A$47)</f>
        <v>1</v>
      </c>
      <c r="E47" s="104">
        <f>COUNTIFS(Başvuru!$I:$I,Toplantı!$B$7,Başvuru!$D:$D,$A$47)</f>
        <v>0</v>
      </c>
      <c r="F47" s="104">
        <f>COUNTIFS(Başvuru!$I:$I,Toplantı!$B$8,Başvuru!$D:$D,$A$47)</f>
        <v>0</v>
      </c>
      <c r="G47" s="104">
        <f>COUNTIFS(Başvuru!$I:$I,Toplantı!$B$9,Başvuru!$D:$D,$A$47)</f>
        <v>0</v>
      </c>
      <c r="H47" s="104">
        <f>COUNTIFS(Başvuru!$I:$I,Toplantı!$B$10,Başvuru!$D:$D,$A$47)</f>
        <v>0</v>
      </c>
      <c r="I47" s="104">
        <f>COUNTIFS(Başvuru!$I:$I,Toplantı!$B$11,Başvuru!$D:$D,$A$47)</f>
        <v>0</v>
      </c>
      <c r="J47" s="104">
        <f>COUNTIFS(Başvuru!$I:$I,Toplantı!$B$12,Başvuru!$D:$D,$A$47)</f>
        <v>1</v>
      </c>
      <c r="K47" s="104">
        <f>COUNTIFS(Başvuru!$I:$I,Toplantı!$B$13,Başvuru!$D:$D,$A$47)</f>
        <v>0</v>
      </c>
      <c r="L47" s="104">
        <f>COUNTIFS(Başvuru!$I:$I,Toplantı!$B$14,Başvuru!$D:$D,$A$47)</f>
        <v>0</v>
      </c>
      <c r="M47" s="104">
        <f>COUNTIFS(Başvuru!$I:$I,Toplantı!$B$15,Başvuru!$D:$D,$A$47)</f>
        <v>0</v>
      </c>
      <c r="N47" s="104">
        <f>COUNTIFS(Başvuru!$I:$I,Toplantı!$B$16,Başvuru!$D:$D,$A$47)</f>
        <v>0</v>
      </c>
      <c r="O47" s="102">
        <f t="shared" si="1"/>
        <v>2</v>
      </c>
    </row>
    <row r="48" spans="1:15" ht="34.15" customHeight="1" x14ac:dyDescent="0.25">
      <c r="A48" s="100" t="s">
        <v>847</v>
      </c>
      <c r="B48" s="101">
        <f>COUNTIFS(Başvuru!$I:$I,Toplantı!$B$4,Başvuru!$D:$D,$A$48)</f>
        <v>0</v>
      </c>
      <c r="C48" s="101">
        <f>COUNTIFS(Başvuru!$I:$I,Toplantı!$B$5,Başvuru!$D:$D,$A$48)</f>
        <v>0</v>
      </c>
      <c r="D48" s="101">
        <f>COUNTIFS(Başvuru!$I:$I,Toplantı!$B$6,Başvuru!$D:$D,$A$48)</f>
        <v>0</v>
      </c>
      <c r="E48" s="101">
        <f>COUNTIFS(Başvuru!$I:$I,Toplantı!$B$7,Başvuru!$D:$D,$A$48)</f>
        <v>1</v>
      </c>
      <c r="F48" s="101">
        <f>COUNTIFS(Başvuru!$I:$I,Toplantı!$B$8,Başvuru!$D:$D,$A$48)</f>
        <v>0</v>
      </c>
      <c r="G48" s="101">
        <f>COUNTIFS(Başvuru!$I:$I,Toplantı!$B$9,Başvuru!$D:$D,$A$48)</f>
        <v>0</v>
      </c>
      <c r="H48" s="101">
        <f>COUNTIFS(Başvuru!$I:$I,Toplantı!$B$10,Başvuru!$D:$D,$A$48)</f>
        <v>0</v>
      </c>
      <c r="I48" s="101">
        <f>COUNTIFS(Başvuru!$I:$I,Toplantı!$B$11,Başvuru!$D:$D,$A$48)</f>
        <v>0</v>
      </c>
      <c r="J48" s="101">
        <f>COUNTIFS(Başvuru!$I:$I,Toplantı!$B$12,Başvuru!$D:$D,$A$48)</f>
        <v>1</v>
      </c>
      <c r="K48" s="101">
        <f>COUNTIFS(Başvuru!$I:$I,Toplantı!$B$13,Başvuru!$D:$D,$A$48)</f>
        <v>0</v>
      </c>
      <c r="L48" s="101">
        <f>COUNTIFS(Başvuru!$I:$I,Toplantı!$B$14,Başvuru!$D:$D,$A$48)</f>
        <v>0</v>
      </c>
      <c r="M48" s="101">
        <f>COUNTIFS(Başvuru!$I:$I,Toplantı!$B$15,Başvuru!$D:$D,$A$48)</f>
        <v>0</v>
      </c>
      <c r="N48" s="101">
        <f>COUNTIFS(Başvuru!$I:$I,Toplantı!$B$16,Başvuru!$D:$D,$A$48)</f>
        <v>0</v>
      </c>
      <c r="O48" s="102">
        <f t="shared" si="1"/>
        <v>2</v>
      </c>
    </row>
    <row r="49" spans="1:15" ht="15.75" customHeight="1" x14ac:dyDescent="0.25">
      <c r="A49" s="103" t="s">
        <v>1019</v>
      </c>
      <c r="B49" s="104">
        <f>COUNTIFS(Başvuru!$I:$I,Toplantı!$B$4,Başvuru!$D:$D,$A$49)</f>
        <v>0</v>
      </c>
      <c r="C49" s="104">
        <f>COUNTIFS(Başvuru!$I:$I,Toplantı!$B$5,Başvuru!$D:$D,$A$49)</f>
        <v>0</v>
      </c>
      <c r="D49" s="104">
        <f>COUNTIFS(Başvuru!$I:$I,Toplantı!$B$6,Başvuru!$D:$D,$A$49)</f>
        <v>0</v>
      </c>
      <c r="E49" s="104">
        <f>COUNTIFS(Başvuru!$I:$I,Toplantı!$B$7,Başvuru!$D:$D,$A$49)</f>
        <v>1</v>
      </c>
      <c r="F49" s="104">
        <f>COUNTIFS(Başvuru!$I:$I,Toplantı!$B$8,Başvuru!$D:$D,$A$49)</f>
        <v>0</v>
      </c>
      <c r="G49" s="104">
        <f>COUNTIFS(Başvuru!$I:$I,Toplantı!$B$9,Başvuru!$D:$D,$A$49)</f>
        <v>0</v>
      </c>
      <c r="H49" s="104">
        <f>COUNTIFS(Başvuru!$I:$I,Toplantı!$B$10,Başvuru!$D:$D,$A$49)</f>
        <v>1</v>
      </c>
      <c r="I49" s="104">
        <f>COUNTIFS(Başvuru!$I:$I,Toplantı!$B$11,Başvuru!$D:$D,$A$49)</f>
        <v>0</v>
      </c>
      <c r="J49" s="104">
        <f>COUNTIFS(Başvuru!$I:$I,Toplantı!$B$12,Başvuru!$D:$D,$A$49)</f>
        <v>0</v>
      </c>
      <c r="K49" s="104">
        <f>COUNTIFS(Başvuru!$I:$I,Toplantı!$B$13,Başvuru!$D:$D,$A$49)</f>
        <v>0</v>
      </c>
      <c r="L49" s="104">
        <f>COUNTIFS(Başvuru!$I:$I,Toplantı!$B$14,Başvuru!$D:$D,$A$49)</f>
        <v>0</v>
      </c>
      <c r="M49" s="104">
        <f>COUNTIFS(Başvuru!$I:$I,Toplantı!$B$15,Başvuru!$D:$D,$A$49)</f>
        <v>0</v>
      </c>
      <c r="N49" s="104">
        <f>COUNTIFS(Başvuru!$I:$I,Toplantı!$B$16,Başvuru!$D:$D,$A$49)</f>
        <v>0</v>
      </c>
      <c r="O49" s="102">
        <f t="shared" si="1"/>
        <v>2</v>
      </c>
    </row>
    <row r="50" spans="1:15" ht="15.75" customHeight="1" x14ac:dyDescent="0.25">
      <c r="A50" s="100" t="s">
        <v>1066</v>
      </c>
      <c r="B50" s="101">
        <f>COUNTIFS(Başvuru!$I:$I,Toplantı!$B$4,Başvuru!$D:$D,$A$50)</f>
        <v>0</v>
      </c>
      <c r="C50" s="101">
        <f>COUNTIFS(Başvuru!$I:$I,Toplantı!$B$5,Başvuru!$D:$D,$A$50)</f>
        <v>0</v>
      </c>
      <c r="D50" s="101">
        <f>COUNTIFS(Başvuru!$I:$I,Toplantı!$B$6,Başvuru!$D:$D,$A$50)</f>
        <v>0</v>
      </c>
      <c r="E50" s="101">
        <f>COUNTIFS(Başvuru!$I:$I,Toplantı!$B$7,Başvuru!$D:$D,$A$50)</f>
        <v>0</v>
      </c>
      <c r="F50" s="101">
        <f>COUNTIFS(Başvuru!$I:$I,Toplantı!$B$8,Başvuru!$D:$D,$A$50)</f>
        <v>1</v>
      </c>
      <c r="G50" s="101">
        <f>COUNTIFS(Başvuru!$I:$I,Toplantı!$B$9,Başvuru!$D:$D,$A$50)</f>
        <v>0</v>
      </c>
      <c r="H50" s="101">
        <f>COUNTIFS(Başvuru!$I:$I,Toplantı!$B$10,Başvuru!$D:$D,$A$50)</f>
        <v>0</v>
      </c>
      <c r="I50" s="101">
        <f>COUNTIFS(Başvuru!$I:$I,Toplantı!$B$11,Başvuru!$D:$D,$A$50)</f>
        <v>0</v>
      </c>
      <c r="J50" s="101">
        <f>COUNTIFS(Başvuru!$I:$I,Toplantı!$B$12,Başvuru!$D:$D,$A$50)</f>
        <v>1</v>
      </c>
      <c r="K50" s="101">
        <f>COUNTIFS(Başvuru!$I:$I,Toplantı!$B$13,Başvuru!$D:$D,$A$50)</f>
        <v>0</v>
      </c>
      <c r="L50" s="101">
        <f>COUNTIFS(Başvuru!$I:$I,Toplantı!$B$14,Başvuru!$D:$D,$A$50)</f>
        <v>0</v>
      </c>
      <c r="M50" s="101">
        <f>COUNTIFS(Başvuru!$I:$I,Toplantı!$B$15,Başvuru!$D:$D,$A$50)</f>
        <v>0</v>
      </c>
      <c r="N50" s="101">
        <f>COUNTIFS(Başvuru!$I:$I,Toplantı!$B$16,Başvuru!$D:$D,$A$50)</f>
        <v>0</v>
      </c>
      <c r="O50" s="102">
        <f t="shared" si="1"/>
        <v>2</v>
      </c>
    </row>
    <row r="51" spans="1:15" ht="15.75" customHeight="1" x14ac:dyDescent="0.25">
      <c r="A51" s="103" t="s">
        <v>1101</v>
      </c>
      <c r="B51" s="104">
        <f>COUNTIFS(Başvuru!$I:$I,Toplantı!$B$4,Başvuru!$D:$D,$A$51)</f>
        <v>0</v>
      </c>
      <c r="C51" s="104">
        <f>COUNTIFS(Başvuru!$I:$I,Toplantı!$B$5,Başvuru!$D:$D,$A$51)</f>
        <v>0</v>
      </c>
      <c r="D51" s="104">
        <f>COUNTIFS(Başvuru!$I:$I,Toplantı!$B$6,Başvuru!$D:$D,$A$51)</f>
        <v>0</v>
      </c>
      <c r="E51" s="104">
        <f>COUNTIFS(Başvuru!$I:$I,Toplantı!$B$7,Başvuru!$D:$D,$A$51)</f>
        <v>0</v>
      </c>
      <c r="F51" s="104">
        <f>COUNTIFS(Başvuru!$I:$I,Toplantı!$B$8,Başvuru!$D:$D,$A$51)</f>
        <v>1</v>
      </c>
      <c r="G51" s="104">
        <f>COUNTIFS(Başvuru!$I:$I,Toplantı!$B$9,Başvuru!$D:$D,$A$51)</f>
        <v>0</v>
      </c>
      <c r="H51" s="104">
        <f>COUNTIFS(Başvuru!$I:$I,Toplantı!$B$10,Başvuru!$D:$D,$A$51)</f>
        <v>1</v>
      </c>
      <c r="I51" s="104">
        <f>COUNTIFS(Başvuru!$I:$I,Toplantı!$B$11,Başvuru!$D:$D,$A$51)</f>
        <v>0</v>
      </c>
      <c r="J51" s="104">
        <f>COUNTIFS(Başvuru!$I:$I,Toplantı!$B$12,Başvuru!$D:$D,$A$51)</f>
        <v>0</v>
      </c>
      <c r="K51" s="104">
        <f>COUNTIFS(Başvuru!$I:$I,Toplantı!$B$13,Başvuru!$D:$D,$A$51)</f>
        <v>0</v>
      </c>
      <c r="L51" s="104">
        <f>COUNTIFS(Başvuru!$I:$I,Toplantı!$B$14,Başvuru!$D:$D,$A$51)</f>
        <v>0</v>
      </c>
      <c r="M51" s="104">
        <f>COUNTIFS(Başvuru!$I:$I,Toplantı!$B$15,Başvuru!$D:$D,$A$51)</f>
        <v>0</v>
      </c>
      <c r="N51" s="104">
        <f>COUNTIFS(Başvuru!$I:$I,Toplantı!$B$16,Başvuru!$D:$D,$A$51)</f>
        <v>0</v>
      </c>
      <c r="O51" s="102">
        <f t="shared" si="1"/>
        <v>2</v>
      </c>
    </row>
    <row r="52" spans="1:15" ht="15.75" customHeight="1" x14ac:dyDescent="0.25">
      <c r="A52" s="100" t="s">
        <v>1190</v>
      </c>
      <c r="B52" s="101">
        <f>COUNTIFS(Başvuru!$I:$I,Toplantı!$B$4,Başvuru!$D:$D,$A$52)</f>
        <v>0</v>
      </c>
      <c r="C52" s="101">
        <f>COUNTIFS(Başvuru!$I:$I,Toplantı!$B$5,Başvuru!$D:$D,$A$52)</f>
        <v>0</v>
      </c>
      <c r="D52" s="101">
        <f>COUNTIFS(Başvuru!$I:$I,Toplantı!$B$6,Başvuru!$D:$D,$A$52)</f>
        <v>0</v>
      </c>
      <c r="E52" s="101">
        <f>COUNTIFS(Başvuru!$I:$I,Toplantı!$B$7,Başvuru!$D:$D,$A$52)</f>
        <v>0</v>
      </c>
      <c r="F52" s="101">
        <f>COUNTIFS(Başvuru!$I:$I,Toplantı!$B$8,Başvuru!$D:$D,$A$52)</f>
        <v>1</v>
      </c>
      <c r="G52" s="101">
        <f>COUNTIFS(Başvuru!$I:$I,Toplantı!$B$9,Başvuru!$D:$D,$A$52)</f>
        <v>0</v>
      </c>
      <c r="H52" s="101">
        <f>COUNTIFS(Başvuru!$I:$I,Toplantı!$B$10,Başvuru!$D:$D,$A$52)</f>
        <v>0</v>
      </c>
      <c r="I52" s="101">
        <f>COUNTIFS(Başvuru!$I:$I,Toplantı!$B$11,Başvuru!$D:$D,$A$52)</f>
        <v>0</v>
      </c>
      <c r="J52" s="101">
        <f>COUNTIFS(Başvuru!$I:$I,Toplantı!$B$12,Başvuru!$D:$D,$A$52)</f>
        <v>0</v>
      </c>
      <c r="K52" s="101">
        <f>COUNTIFS(Başvuru!$I:$I,Toplantı!$B$13,Başvuru!$D:$D,$A$52)</f>
        <v>1</v>
      </c>
      <c r="L52" s="101">
        <f>COUNTIFS(Başvuru!$I:$I,Toplantı!$B$14,Başvuru!$D:$D,$A$52)</f>
        <v>0</v>
      </c>
      <c r="M52" s="101">
        <f>COUNTIFS(Başvuru!$I:$I,Toplantı!$B$15,Başvuru!$D:$D,$A$52)</f>
        <v>0</v>
      </c>
      <c r="N52" s="101">
        <f>COUNTIFS(Başvuru!$I:$I,Toplantı!$B$16,Başvuru!$D:$D,$A$52)</f>
        <v>0</v>
      </c>
      <c r="O52" s="102">
        <f t="shared" si="1"/>
        <v>2</v>
      </c>
    </row>
    <row r="53" spans="1:15" ht="15.75" customHeight="1" x14ac:dyDescent="0.25">
      <c r="A53" s="103" t="s">
        <v>1623</v>
      </c>
      <c r="B53" s="104">
        <f>COUNTIFS(Başvuru!$I:$I,Toplantı!$B$4,Başvuru!$D:$D,$A$53)</f>
        <v>0</v>
      </c>
      <c r="C53" s="104">
        <f>COUNTIFS(Başvuru!$I:$I,Toplantı!$B$5,Başvuru!$D:$D,$A$53)</f>
        <v>0</v>
      </c>
      <c r="D53" s="104">
        <f>COUNTIFS(Başvuru!$I:$I,Toplantı!$B$6,Başvuru!$D:$D,$A$53)</f>
        <v>0</v>
      </c>
      <c r="E53" s="104">
        <f>COUNTIFS(Başvuru!$I:$I,Toplantı!$B$7,Başvuru!$D:$D,$A$53)</f>
        <v>0</v>
      </c>
      <c r="F53" s="104">
        <f>COUNTIFS(Başvuru!$I:$I,Toplantı!$B$8,Başvuru!$D:$D,$A$53)</f>
        <v>0</v>
      </c>
      <c r="G53" s="104">
        <f>COUNTIFS(Başvuru!$I:$I,Toplantı!$B$9,Başvuru!$D:$D,$A$53)</f>
        <v>0</v>
      </c>
      <c r="H53" s="104">
        <f>COUNTIFS(Başvuru!$I:$I,Toplantı!$B$10,Başvuru!$D:$D,$A$53)</f>
        <v>0</v>
      </c>
      <c r="I53" s="104">
        <f>COUNTIFS(Başvuru!$I:$I,Toplantı!$B$11,Başvuru!$D:$D,$A$53)</f>
        <v>1</v>
      </c>
      <c r="J53" s="104">
        <f>COUNTIFS(Başvuru!$I:$I,Toplantı!$B$12,Başvuru!$D:$D,$A$53)</f>
        <v>0</v>
      </c>
      <c r="K53" s="104">
        <f>COUNTIFS(Başvuru!$I:$I,Toplantı!$B$13,Başvuru!$D:$D,$A$53)</f>
        <v>1</v>
      </c>
      <c r="L53" s="104">
        <f>COUNTIFS(Başvuru!$I:$I,Toplantı!$B$14,Başvuru!$D:$D,$A$53)</f>
        <v>0</v>
      </c>
      <c r="M53" s="104">
        <f>COUNTIFS(Başvuru!$I:$I,Toplantı!$B$15,Başvuru!$D:$D,$A$53)</f>
        <v>0</v>
      </c>
      <c r="N53" s="104">
        <f>COUNTIFS(Başvuru!$I:$I,Toplantı!$B$16,Başvuru!$D:$D,$A$53)</f>
        <v>0</v>
      </c>
      <c r="O53" s="102">
        <f t="shared" si="1"/>
        <v>2</v>
      </c>
    </row>
    <row r="54" spans="1:15" ht="15.75" customHeight="1" x14ac:dyDescent="0.25">
      <c r="A54" s="100" t="s">
        <v>2499</v>
      </c>
      <c r="B54" s="101">
        <f>COUNTIFS(Başvuru!$I:$I,Toplantı!$B$4,Başvuru!$D:$D,$A$54)</f>
        <v>0</v>
      </c>
      <c r="C54" s="101">
        <f>COUNTIFS(Başvuru!$I:$I,Toplantı!$B$5,Başvuru!$D:$D,$A$54)</f>
        <v>0</v>
      </c>
      <c r="D54" s="101">
        <f>COUNTIFS(Başvuru!$I:$I,Toplantı!$B$6,Başvuru!$D:$D,$A$54)</f>
        <v>0</v>
      </c>
      <c r="E54" s="101">
        <f>COUNTIFS(Başvuru!$I:$I,Toplantı!$B$7,Başvuru!$D:$D,$A$54)</f>
        <v>0</v>
      </c>
      <c r="F54" s="101">
        <f>COUNTIFS(Başvuru!$I:$I,Toplantı!$B$8,Başvuru!$D:$D,$A$54)</f>
        <v>0</v>
      </c>
      <c r="G54" s="101">
        <f>COUNTIFS(Başvuru!$I:$I,Toplantı!$B$9,Başvuru!$D:$D,$A$54)</f>
        <v>0</v>
      </c>
      <c r="H54" s="101">
        <f>COUNTIFS(Başvuru!$I:$I,Toplantı!$B$10,Başvuru!$D:$D,$A$54)</f>
        <v>0</v>
      </c>
      <c r="I54" s="101">
        <f>COUNTIFS(Başvuru!$I:$I,Toplantı!$B$11,Başvuru!$D:$D,$A$54)</f>
        <v>0</v>
      </c>
      <c r="J54" s="101">
        <f>COUNTIFS(Başvuru!$I:$I,Toplantı!$B$12,Başvuru!$D:$D,$A$54)</f>
        <v>0</v>
      </c>
      <c r="K54" s="101">
        <f>COUNTIFS(Başvuru!$I:$I,Toplantı!$B$13,Başvuru!$D:$D,$A$54)</f>
        <v>0</v>
      </c>
      <c r="L54" s="101">
        <f>COUNTIFS(Başvuru!$I:$I,Toplantı!$B$14,Başvuru!$D:$D,$A$54)</f>
        <v>0</v>
      </c>
      <c r="M54" s="101">
        <f>COUNTIFS(Başvuru!$I:$I,Toplantı!$B$15,Başvuru!$D:$D,$A$54)</f>
        <v>2</v>
      </c>
      <c r="N54" s="101">
        <f>COUNTIFS(Başvuru!$I:$I,Toplantı!$B$16,Başvuru!$D:$D,$A$54)</f>
        <v>0</v>
      </c>
      <c r="O54" s="102">
        <f t="shared" si="1"/>
        <v>2</v>
      </c>
    </row>
    <row r="55" spans="1:15" ht="15.75" customHeight="1" x14ac:dyDescent="0.25">
      <c r="A55" s="103" t="s">
        <v>61</v>
      </c>
      <c r="B55" s="104">
        <f>COUNTIFS(Başvuru!$I:$I,Toplantı!$B$4,Başvuru!$D:$D,$A$55)</f>
        <v>1</v>
      </c>
      <c r="C55" s="104">
        <f>COUNTIFS(Başvuru!$I:$I,Toplantı!$B$5,Başvuru!$D:$D,$A$55)</f>
        <v>0</v>
      </c>
      <c r="D55" s="104">
        <f>COUNTIFS(Başvuru!$I:$I,Toplantı!$B$6,Başvuru!$D:$D,$A$55)</f>
        <v>0</v>
      </c>
      <c r="E55" s="104">
        <f>COUNTIFS(Başvuru!$I:$I,Toplantı!$B$7,Başvuru!$D:$D,$A$55)</f>
        <v>0</v>
      </c>
      <c r="F55" s="104">
        <f>COUNTIFS(Başvuru!$I:$I,Toplantı!$B$8,Başvuru!$D:$D,$A$55)</f>
        <v>0</v>
      </c>
      <c r="G55" s="104">
        <f>COUNTIFS(Başvuru!$I:$I,Toplantı!$B$9,Başvuru!$D:$D,$A$55)</f>
        <v>0</v>
      </c>
      <c r="H55" s="104">
        <f>COUNTIFS(Başvuru!$I:$I,Toplantı!$B$10,Başvuru!$D:$D,$A$55)</f>
        <v>0</v>
      </c>
      <c r="I55" s="104">
        <f>COUNTIFS(Başvuru!$I:$I,Toplantı!$B$11,Başvuru!$D:$D,$A$55)</f>
        <v>0</v>
      </c>
      <c r="J55" s="104">
        <f>COUNTIFS(Başvuru!$I:$I,Toplantı!$B$12,Başvuru!$D:$D,$A$55)</f>
        <v>0</v>
      </c>
      <c r="K55" s="104">
        <f>COUNTIFS(Başvuru!$I:$I,Toplantı!$B$13,Başvuru!$D:$D,$A$55)</f>
        <v>0</v>
      </c>
      <c r="L55" s="104">
        <f>COUNTIFS(Başvuru!$I:$I,Toplantı!$B$14,Başvuru!$D:$D,$A$55)</f>
        <v>0</v>
      </c>
      <c r="M55" s="104">
        <f>COUNTIFS(Başvuru!$I:$I,Toplantı!$B$15,Başvuru!$D:$D,$A$55)</f>
        <v>0</v>
      </c>
      <c r="N55" s="104">
        <f>COUNTIFS(Başvuru!$I:$I,Toplantı!$B$16,Başvuru!$D:$D,$A$55)</f>
        <v>0</v>
      </c>
      <c r="O55" s="102">
        <f t="shared" si="1"/>
        <v>1</v>
      </c>
    </row>
    <row r="56" spans="1:15" ht="15.75" customHeight="1" x14ac:dyDescent="0.25">
      <c r="A56" s="100" t="s">
        <v>71</v>
      </c>
      <c r="B56" s="101">
        <f>COUNTIFS(Başvuru!$I:$I,Toplantı!$B$4,Başvuru!$D:$D,$A$56)</f>
        <v>1</v>
      </c>
      <c r="C56" s="101">
        <f>COUNTIFS(Başvuru!$I:$I,Toplantı!$B$5,Başvuru!$D:$D,$A$56)</f>
        <v>0</v>
      </c>
      <c r="D56" s="101">
        <f>COUNTIFS(Başvuru!$I:$I,Toplantı!$B$6,Başvuru!$D:$D,$A$56)</f>
        <v>0</v>
      </c>
      <c r="E56" s="101">
        <f>COUNTIFS(Başvuru!$I:$I,Toplantı!$B$7,Başvuru!$D:$D,$A$56)</f>
        <v>0</v>
      </c>
      <c r="F56" s="101">
        <f>COUNTIFS(Başvuru!$I:$I,Toplantı!$B$8,Başvuru!$D:$D,$A$56)</f>
        <v>0</v>
      </c>
      <c r="G56" s="101">
        <f>COUNTIFS(Başvuru!$I:$I,Toplantı!$B$9,Başvuru!$D:$D,$A$56)</f>
        <v>0</v>
      </c>
      <c r="H56" s="101">
        <f>COUNTIFS(Başvuru!$I:$I,Toplantı!$B$10,Başvuru!$D:$D,$A$56)</f>
        <v>0</v>
      </c>
      <c r="I56" s="101">
        <f>COUNTIFS(Başvuru!$I:$I,Toplantı!$B$11,Başvuru!$D:$D,$A$56)</f>
        <v>0</v>
      </c>
      <c r="J56" s="101">
        <f>COUNTIFS(Başvuru!$I:$I,Toplantı!$B$12,Başvuru!$D:$D,$A$56)</f>
        <v>0</v>
      </c>
      <c r="K56" s="101">
        <f>COUNTIFS(Başvuru!$I:$I,Toplantı!$B$13,Başvuru!$D:$D,$A$56)</f>
        <v>0</v>
      </c>
      <c r="L56" s="101">
        <f>COUNTIFS(Başvuru!$I:$I,Toplantı!$B$14,Başvuru!$D:$D,$A$56)</f>
        <v>0</v>
      </c>
      <c r="M56" s="101">
        <f>COUNTIFS(Başvuru!$I:$I,Toplantı!$B$15,Başvuru!$D:$D,$A$56)</f>
        <v>0</v>
      </c>
      <c r="N56" s="101">
        <f>COUNTIFS(Başvuru!$I:$I,Toplantı!$B$16,Başvuru!$D:$D,$A$56)</f>
        <v>0</v>
      </c>
      <c r="O56" s="102">
        <f t="shared" si="1"/>
        <v>1</v>
      </c>
    </row>
    <row r="57" spans="1:15" ht="15.75" customHeight="1" x14ac:dyDescent="0.25">
      <c r="A57" s="103" t="s">
        <v>98</v>
      </c>
      <c r="B57" s="104">
        <f>COUNTIFS(Başvuru!$I:$I,Toplantı!$B$4,Başvuru!$D:$D,$A$57)</f>
        <v>1</v>
      </c>
      <c r="C57" s="104">
        <f>COUNTIFS(Başvuru!$I:$I,Toplantı!$B$5,Başvuru!$D:$D,$A$57)</f>
        <v>0</v>
      </c>
      <c r="D57" s="104">
        <f>COUNTIFS(Başvuru!$I:$I,Toplantı!$B$6,Başvuru!$D:$D,$A$57)</f>
        <v>0</v>
      </c>
      <c r="E57" s="104">
        <f>COUNTIFS(Başvuru!$I:$I,Toplantı!$B$7,Başvuru!$D:$D,$A$57)</f>
        <v>0</v>
      </c>
      <c r="F57" s="104">
        <f>COUNTIFS(Başvuru!$I:$I,Toplantı!$B$8,Başvuru!$D:$D,$A$57)</f>
        <v>0</v>
      </c>
      <c r="G57" s="104">
        <f>COUNTIFS(Başvuru!$I:$I,Toplantı!$B$9,Başvuru!$D:$D,$A$57)</f>
        <v>0</v>
      </c>
      <c r="H57" s="104">
        <f>COUNTIFS(Başvuru!$I:$I,Toplantı!$B$10,Başvuru!$D:$D,$A$57)</f>
        <v>0</v>
      </c>
      <c r="I57" s="104">
        <f>COUNTIFS(Başvuru!$I:$I,Toplantı!$B$11,Başvuru!$D:$D,$A$57)</f>
        <v>0</v>
      </c>
      <c r="J57" s="104">
        <f>COUNTIFS(Başvuru!$I:$I,Toplantı!$B$12,Başvuru!$D:$D,$A$57)</f>
        <v>0</v>
      </c>
      <c r="K57" s="104">
        <f>COUNTIFS(Başvuru!$I:$I,Toplantı!$B$13,Başvuru!$D:$D,$A$57)</f>
        <v>0</v>
      </c>
      <c r="L57" s="104">
        <f>COUNTIFS(Başvuru!$I:$I,Toplantı!$B$14,Başvuru!$D:$D,$A$57)</f>
        <v>0</v>
      </c>
      <c r="M57" s="104">
        <f>COUNTIFS(Başvuru!$I:$I,Toplantı!$B$15,Başvuru!$D:$D,$A$57)</f>
        <v>0</v>
      </c>
      <c r="N57" s="104">
        <f>COUNTIFS(Başvuru!$I:$I,Toplantı!$B$16,Başvuru!$D:$D,$A$57)</f>
        <v>0</v>
      </c>
      <c r="O57" s="102">
        <f t="shared" si="1"/>
        <v>1</v>
      </c>
    </row>
    <row r="58" spans="1:15" ht="15.75" customHeight="1" x14ac:dyDescent="0.25">
      <c r="A58" s="100" t="s">
        <v>381</v>
      </c>
      <c r="B58" s="101">
        <f>COUNTIFS(Başvuru!$I:$I,Toplantı!$B$4,Başvuru!$D:$D,$A$58)</f>
        <v>1</v>
      </c>
      <c r="C58" s="101">
        <f>COUNTIFS(Başvuru!$I:$I,Toplantı!$B$5,Başvuru!$D:$D,$A$58)</f>
        <v>0</v>
      </c>
      <c r="D58" s="101">
        <f>COUNTIFS(Başvuru!$I:$I,Toplantı!$B$6,Başvuru!$D:$D,$A$58)</f>
        <v>0</v>
      </c>
      <c r="E58" s="101">
        <f>COUNTIFS(Başvuru!$I:$I,Toplantı!$B$7,Başvuru!$D:$D,$A$58)</f>
        <v>0</v>
      </c>
      <c r="F58" s="101">
        <f>COUNTIFS(Başvuru!$I:$I,Toplantı!$B$8,Başvuru!$D:$D,$A$58)</f>
        <v>0</v>
      </c>
      <c r="G58" s="101">
        <f>COUNTIFS(Başvuru!$I:$I,Toplantı!$B$9,Başvuru!$D:$D,$A$58)</f>
        <v>0</v>
      </c>
      <c r="H58" s="101">
        <f>COUNTIFS(Başvuru!$I:$I,Toplantı!$B$10,Başvuru!$D:$D,$A$58)</f>
        <v>0</v>
      </c>
      <c r="I58" s="101">
        <f>COUNTIFS(Başvuru!$I:$I,Toplantı!$B$11,Başvuru!$D:$D,$A$58)</f>
        <v>0</v>
      </c>
      <c r="J58" s="101">
        <f>COUNTIFS(Başvuru!$I:$I,Toplantı!$B$12,Başvuru!$D:$D,$A$58)</f>
        <v>0</v>
      </c>
      <c r="K58" s="101">
        <f>COUNTIFS(Başvuru!$I:$I,Toplantı!$B$13,Başvuru!$D:$D,$A$58)</f>
        <v>0</v>
      </c>
      <c r="L58" s="101">
        <f>COUNTIFS(Başvuru!$I:$I,Toplantı!$B$14,Başvuru!$D:$D,$A$58)</f>
        <v>0</v>
      </c>
      <c r="M58" s="101">
        <f>COUNTIFS(Başvuru!$I:$I,Toplantı!$B$15,Başvuru!$D:$D,$A$58)</f>
        <v>0</v>
      </c>
      <c r="N58" s="101">
        <f>COUNTIFS(Başvuru!$I:$I,Toplantı!$B$16,Başvuru!$D:$D,$A$58)</f>
        <v>0</v>
      </c>
      <c r="O58" s="102">
        <f t="shared" si="1"/>
        <v>1</v>
      </c>
    </row>
    <row r="59" spans="1:15" ht="15.75" customHeight="1" x14ac:dyDescent="0.25">
      <c r="A59" s="103" t="s">
        <v>491</v>
      </c>
      <c r="B59" s="104">
        <f>COUNTIFS(Başvuru!$I:$I,Toplantı!$B$4,Başvuru!$D:$D,$A$59)</f>
        <v>0</v>
      </c>
      <c r="C59" s="104">
        <f>COUNTIFS(Başvuru!$I:$I,Toplantı!$B$5,Başvuru!$D:$D,$A$59)</f>
        <v>1</v>
      </c>
      <c r="D59" s="104">
        <f>COUNTIFS(Başvuru!$I:$I,Toplantı!$B$6,Başvuru!$D:$D,$A$59)</f>
        <v>0</v>
      </c>
      <c r="E59" s="104">
        <f>COUNTIFS(Başvuru!$I:$I,Toplantı!$B$7,Başvuru!$D:$D,$A$59)</f>
        <v>0</v>
      </c>
      <c r="F59" s="104">
        <f>COUNTIFS(Başvuru!$I:$I,Toplantı!$B$8,Başvuru!$D:$D,$A$59)</f>
        <v>0</v>
      </c>
      <c r="G59" s="104">
        <f>COUNTIFS(Başvuru!$I:$I,Toplantı!$B$9,Başvuru!$D:$D,$A$59)</f>
        <v>0</v>
      </c>
      <c r="H59" s="104">
        <f>COUNTIFS(Başvuru!$I:$I,Toplantı!$B$10,Başvuru!$D:$D,$A$59)</f>
        <v>0</v>
      </c>
      <c r="I59" s="104">
        <f>COUNTIFS(Başvuru!$I:$I,Toplantı!$B$11,Başvuru!$D:$D,$A$59)</f>
        <v>0</v>
      </c>
      <c r="J59" s="104">
        <f>COUNTIFS(Başvuru!$I:$I,Toplantı!$B$12,Başvuru!$D:$D,$A$59)</f>
        <v>0</v>
      </c>
      <c r="K59" s="104">
        <f>COUNTIFS(Başvuru!$I:$I,Toplantı!$B$13,Başvuru!$D:$D,$A$59)</f>
        <v>0</v>
      </c>
      <c r="L59" s="104">
        <f>COUNTIFS(Başvuru!$I:$I,Toplantı!$B$14,Başvuru!$D:$D,$A$59)</f>
        <v>0</v>
      </c>
      <c r="M59" s="104">
        <f>COUNTIFS(Başvuru!$I:$I,Toplantı!$B$15,Başvuru!$D:$D,$A$59)</f>
        <v>0</v>
      </c>
      <c r="N59" s="104">
        <f>COUNTIFS(Başvuru!$I:$I,Toplantı!$B$16,Başvuru!$D:$D,$A$59)</f>
        <v>0</v>
      </c>
      <c r="O59" s="102">
        <f t="shared" si="1"/>
        <v>1</v>
      </c>
    </row>
    <row r="60" spans="1:15" ht="15.75" customHeight="1" x14ac:dyDescent="0.25">
      <c r="A60" s="100" t="s">
        <v>506</v>
      </c>
      <c r="B60" s="101">
        <f>COUNTIFS(Başvuru!$I:$I,Toplantı!$B$4,Başvuru!$D:$D,$A$60)</f>
        <v>0</v>
      </c>
      <c r="C60" s="101">
        <f>COUNTIFS(Başvuru!$I:$I,Toplantı!$B$5,Başvuru!$D:$D,$A$60)</f>
        <v>1</v>
      </c>
      <c r="D60" s="101">
        <f>COUNTIFS(Başvuru!$I:$I,Toplantı!$B$6,Başvuru!$D:$D,$A$60)</f>
        <v>0</v>
      </c>
      <c r="E60" s="101">
        <f>COUNTIFS(Başvuru!$I:$I,Toplantı!$B$7,Başvuru!$D:$D,$A$60)</f>
        <v>0</v>
      </c>
      <c r="F60" s="101">
        <f>COUNTIFS(Başvuru!$I:$I,Toplantı!$B$8,Başvuru!$D:$D,$A$60)</f>
        <v>0</v>
      </c>
      <c r="G60" s="101">
        <f>COUNTIFS(Başvuru!$I:$I,Toplantı!$B$9,Başvuru!$D:$D,$A$60)</f>
        <v>0</v>
      </c>
      <c r="H60" s="101">
        <f>COUNTIFS(Başvuru!$I:$I,Toplantı!$B$10,Başvuru!$D:$D,$A$60)</f>
        <v>0</v>
      </c>
      <c r="I60" s="101">
        <f>COUNTIFS(Başvuru!$I:$I,Toplantı!$B$11,Başvuru!$D:$D,$A$60)</f>
        <v>0</v>
      </c>
      <c r="J60" s="101">
        <f>COUNTIFS(Başvuru!$I:$I,Toplantı!$B$12,Başvuru!$D:$D,$A$60)</f>
        <v>0</v>
      </c>
      <c r="K60" s="101">
        <f>COUNTIFS(Başvuru!$I:$I,Toplantı!$B$13,Başvuru!$D:$D,$A$60)</f>
        <v>0</v>
      </c>
      <c r="L60" s="101">
        <f>COUNTIFS(Başvuru!$I:$I,Toplantı!$B$14,Başvuru!$D:$D,$A$60)</f>
        <v>0</v>
      </c>
      <c r="M60" s="101">
        <f>COUNTIFS(Başvuru!$I:$I,Toplantı!$B$15,Başvuru!$D:$D,$A$60)</f>
        <v>0</v>
      </c>
      <c r="N60" s="101">
        <f>COUNTIFS(Başvuru!$I:$I,Toplantı!$B$16,Başvuru!$D:$D,$A$60)</f>
        <v>0</v>
      </c>
      <c r="O60" s="102">
        <f t="shared" si="1"/>
        <v>1</v>
      </c>
    </row>
    <row r="61" spans="1:15" ht="15.75" customHeight="1" x14ac:dyDescent="0.25">
      <c r="A61" s="103" t="s">
        <v>715</v>
      </c>
      <c r="B61" s="104">
        <f>COUNTIFS(Başvuru!$I:$I,Toplantı!$B$4,Başvuru!$D:$D,$A$61)</f>
        <v>0</v>
      </c>
      <c r="C61" s="104">
        <f>COUNTIFS(Başvuru!$I:$I,Toplantı!$B$5,Başvuru!$D:$D,$A$61)</f>
        <v>0</v>
      </c>
      <c r="D61" s="104">
        <f>COUNTIFS(Başvuru!$I:$I,Toplantı!$B$6,Başvuru!$D:$D,$A$61)</f>
        <v>1</v>
      </c>
      <c r="E61" s="104">
        <f>COUNTIFS(Başvuru!$I:$I,Toplantı!$B$7,Başvuru!$D:$D,$A$61)</f>
        <v>0</v>
      </c>
      <c r="F61" s="104">
        <f>COUNTIFS(Başvuru!$I:$I,Toplantı!$B$8,Başvuru!$D:$D,$A$61)</f>
        <v>0</v>
      </c>
      <c r="G61" s="104">
        <f>COUNTIFS(Başvuru!$I:$I,Toplantı!$B$9,Başvuru!$D:$D,$A$61)</f>
        <v>0</v>
      </c>
      <c r="H61" s="104">
        <f>COUNTIFS(Başvuru!$I:$I,Toplantı!$B$10,Başvuru!$D:$D,$A$61)</f>
        <v>0</v>
      </c>
      <c r="I61" s="104">
        <f>COUNTIFS(Başvuru!$I:$I,Toplantı!$B$11,Başvuru!$D:$D,$A$61)</f>
        <v>0</v>
      </c>
      <c r="J61" s="104">
        <f>COUNTIFS(Başvuru!$I:$I,Toplantı!$B$12,Başvuru!$D:$D,$A$61)</f>
        <v>0</v>
      </c>
      <c r="K61" s="104">
        <f>COUNTIFS(Başvuru!$I:$I,Toplantı!$B$13,Başvuru!$D:$D,$A$61)</f>
        <v>0</v>
      </c>
      <c r="L61" s="104">
        <f>COUNTIFS(Başvuru!$I:$I,Toplantı!$B$14,Başvuru!$D:$D,$A$61)</f>
        <v>0</v>
      </c>
      <c r="M61" s="104">
        <f>COUNTIFS(Başvuru!$I:$I,Toplantı!$B$15,Başvuru!$D:$D,$A$61)</f>
        <v>0</v>
      </c>
      <c r="N61" s="104">
        <f>COUNTIFS(Başvuru!$I:$I,Toplantı!$B$16,Başvuru!$D:$D,$A$61)</f>
        <v>0</v>
      </c>
      <c r="O61" s="102">
        <f t="shared" si="1"/>
        <v>1</v>
      </c>
    </row>
    <row r="62" spans="1:15" ht="15.75" customHeight="1" x14ac:dyDescent="0.25">
      <c r="A62" s="100" t="s">
        <v>799</v>
      </c>
      <c r="B62" s="101">
        <f>COUNTIFS(Başvuru!$I:$I,Toplantı!$B$4,Başvuru!$D:$D,$A$62)</f>
        <v>0</v>
      </c>
      <c r="C62" s="101">
        <f>COUNTIFS(Başvuru!$I:$I,Toplantı!$B$5,Başvuru!$D:$D,$A$62)</f>
        <v>0</v>
      </c>
      <c r="D62" s="101">
        <f>COUNTIFS(Başvuru!$I:$I,Toplantı!$B$6,Başvuru!$D:$D,$A$62)</f>
        <v>1</v>
      </c>
      <c r="E62" s="101">
        <f>COUNTIFS(Başvuru!$I:$I,Toplantı!$B$7,Başvuru!$D:$D,$A$62)</f>
        <v>0</v>
      </c>
      <c r="F62" s="101">
        <f>COUNTIFS(Başvuru!$I:$I,Toplantı!$B$8,Başvuru!$D:$D,$A$62)</f>
        <v>0</v>
      </c>
      <c r="G62" s="101">
        <f>COUNTIFS(Başvuru!$I:$I,Toplantı!$B$9,Başvuru!$D:$D,$A$62)</f>
        <v>0</v>
      </c>
      <c r="H62" s="101">
        <f>COUNTIFS(Başvuru!$I:$I,Toplantı!$B$10,Başvuru!$D:$D,$A$62)</f>
        <v>0</v>
      </c>
      <c r="I62" s="101">
        <f>COUNTIFS(Başvuru!$I:$I,Toplantı!$B$11,Başvuru!$D:$D,$A$62)</f>
        <v>0</v>
      </c>
      <c r="J62" s="101">
        <f>COUNTIFS(Başvuru!$I:$I,Toplantı!$B$12,Başvuru!$D:$D,$A$62)</f>
        <v>0</v>
      </c>
      <c r="K62" s="101">
        <f>COUNTIFS(Başvuru!$I:$I,Toplantı!$B$13,Başvuru!$D:$D,$A$62)</f>
        <v>0</v>
      </c>
      <c r="L62" s="101">
        <f>COUNTIFS(Başvuru!$I:$I,Toplantı!$B$14,Başvuru!$D:$D,$A$62)</f>
        <v>0</v>
      </c>
      <c r="M62" s="101">
        <f>COUNTIFS(Başvuru!$I:$I,Toplantı!$B$15,Başvuru!$D:$D,$A$62)</f>
        <v>0</v>
      </c>
      <c r="N62" s="101">
        <f>COUNTIFS(Başvuru!$I:$I,Toplantı!$B$16,Başvuru!$D:$D,$A$62)</f>
        <v>0</v>
      </c>
      <c r="O62" s="102">
        <f t="shared" si="1"/>
        <v>1</v>
      </c>
    </row>
    <row r="63" spans="1:15" ht="15.75" customHeight="1" x14ac:dyDescent="0.25">
      <c r="A63" s="103" t="s">
        <v>920</v>
      </c>
      <c r="B63" s="104">
        <f>COUNTIFS(Başvuru!$I:$I,Toplantı!$B$4,Başvuru!$D:$D,$A$63)</f>
        <v>0</v>
      </c>
      <c r="C63" s="104">
        <f>COUNTIFS(Başvuru!$I:$I,Toplantı!$B$5,Başvuru!$D:$D,$A$63)</f>
        <v>0</v>
      </c>
      <c r="D63" s="104">
        <f>COUNTIFS(Başvuru!$I:$I,Toplantı!$B$6,Başvuru!$D:$D,$A$63)</f>
        <v>0</v>
      </c>
      <c r="E63" s="104">
        <f>COUNTIFS(Başvuru!$I:$I,Toplantı!$B$7,Başvuru!$D:$D,$A$63)</f>
        <v>1</v>
      </c>
      <c r="F63" s="104">
        <f>COUNTIFS(Başvuru!$I:$I,Toplantı!$B$8,Başvuru!$D:$D,$A$63)</f>
        <v>0</v>
      </c>
      <c r="G63" s="104">
        <f>COUNTIFS(Başvuru!$I:$I,Toplantı!$B$9,Başvuru!$D:$D,$A$63)</f>
        <v>0</v>
      </c>
      <c r="H63" s="104">
        <f>COUNTIFS(Başvuru!$I:$I,Toplantı!$B$10,Başvuru!$D:$D,$A$63)</f>
        <v>0</v>
      </c>
      <c r="I63" s="104">
        <f>COUNTIFS(Başvuru!$I:$I,Toplantı!$B$11,Başvuru!$D:$D,$A$63)</f>
        <v>0</v>
      </c>
      <c r="J63" s="104">
        <f>COUNTIFS(Başvuru!$I:$I,Toplantı!$B$12,Başvuru!$D:$D,$A$63)</f>
        <v>0</v>
      </c>
      <c r="K63" s="104">
        <f>COUNTIFS(Başvuru!$I:$I,Toplantı!$B$13,Başvuru!$D:$D,$A$63)</f>
        <v>0</v>
      </c>
      <c r="L63" s="104">
        <f>COUNTIFS(Başvuru!$I:$I,Toplantı!$B$14,Başvuru!$D:$D,$A$63)</f>
        <v>0</v>
      </c>
      <c r="M63" s="104">
        <f>COUNTIFS(Başvuru!$I:$I,Toplantı!$B$15,Başvuru!$D:$D,$A$63)</f>
        <v>0</v>
      </c>
      <c r="N63" s="104">
        <f>COUNTIFS(Başvuru!$I:$I,Toplantı!$B$16,Başvuru!$D:$D,$A$63)</f>
        <v>1</v>
      </c>
      <c r="O63" s="102">
        <f t="shared" si="1"/>
        <v>1</v>
      </c>
    </row>
    <row r="64" spans="1:15" ht="15.75" customHeight="1" x14ac:dyDescent="0.25">
      <c r="A64" s="100" t="s">
        <v>1220</v>
      </c>
      <c r="B64" s="101">
        <f>COUNTIFS(Başvuru!$I:$I,Toplantı!$B$4,Başvuru!$D:$D,$A$64)</f>
        <v>0</v>
      </c>
      <c r="C64" s="101">
        <f>COUNTIFS(Başvuru!$I:$I,Toplantı!$B$5,Başvuru!$D:$D,$A$64)</f>
        <v>0</v>
      </c>
      <c r="D64" s="101">
        <f>COUNTIFS(Başvuru!$I:$I,Toplantı!$B$6,Başvuru!$D:$D,$A$64)</f>
        <v>0</v>
      </c>
      <c r="E64" s="101">
        <f>COUNTIFS(Başvuru!$I:$I,Toplantı!$B$7,Başvuru!$D:$D,$A$64)</f>
        <v>0</v>
      </c>
      <c r="F64" s="101">
        <f>COUNTIFS(Başvuru!$I:$I,Toplantı!$B$8,Başvuru!$D:$D,$A$64)</f>
        <v>0</v>
      </c>
      <c r="G64" s="101">
        <f>COUNTIFS(Başvuru!$I:$I,Toplantı!$B$9,Başvuru!$D:$D,$A$64)</f>
        <v>1</v>
      </c>
      <c r="H64" s="101">
        <f>COUNTIFS(Başvuru!$I:$I,Toplantı!$B$10,Başvuru!$D:$D,$A$64)</f>
        <v>0</v>
      </c>
      <c r="I64" s="101">
        <f>COUNTIFS(Başvuru!$I:$I,Toplantı!$B$11,Başvuru!$D:$D,$A$64)</f>
        <v>0</v>
      </c>
      <c r="J64" s="101">
        <f>COUNTIFS(Başvuru!$I:$I,Toplantı!$B$12,Başvuru!$D:$D,$A$64)</f>
        <v>0</v>
      </c>
      <c r="K64" s="101">
        <f>COUNTIFS(Başvuru!$I:$I,Toplantı!$B$13,Başvuru!$D:$D,$A$64)</f>
        <v>0</v>
      </c>
      <c r="L64" s="101">
        <f>COUNTIFS(Başvuru!$I:$I,Toplantı!$B$14,Başvuru!$D:$D,$A$64)</f>
        <v>0</v>
      </c>
      <c r="M64" s="101">
        <f>COUNTIFS(Başvuru!$I:$I,Toplantı!$B$15,Başvuru!$D:$D,$A$64)</f>
        <v>0</v>
      </c>
      <c r="N64" s="101">
        <f>COUNTIFS(Başvuru!$I:$I,Toplantı!$B$16,Başvuru!$D:$D,$A$64)</f>
        <v>0</v>
      </c>
      <c r="O64" s="102">
        <f t="shared" si="1"/>
        <v>1</v>
      </c>
    </row>
    <row r="65" spans="1:15" ht="15.75" customHeight="1" x14ac:dyDescent="0.25">
      <c r="A65" s="103" t="s">
        <v>1371</v>
      </c>
      <c r="B65" s="104">
        <f>COUNTIFS(Başvuru!$I:$I,Toplantı!$B$4,Başvuru!$D:$D,$A$65)</f>
        <v>0</v>
      </c>
      <c r="C65" s="104">
        <f>COUNTIFS(Başvuru!$I:$I,Toplantı!$B$5,Başvuru!$D:$D,$A$65)</f>
        <v>0</v>
      </c>
      <c r="D65" s="104">
        <f>COUNTIFS(Başvuru!$I:$I,Toplantı!$B$6,Başvuru!$D:$D,$A$65)</f>
        <v>0</v>
      </c>
      <c r="E65" s="104">
        <f>COUNTIFS(Başvuru!$I:$I,Toplantı!$B$7,Başvuru!$D:$D,$A$65)</f>
        <v>0</v>
      </c>
      <c r="F65" s="104">
        <f>COUNTIFS(Başvuru!$I:$I,Toplantı!$B$8,Başvuru!$D:$D,$A$65)</f>
        <v>0</v>
      </c>
      <c r="G65" s="104">
        <f>COUNTIFS(Başvuru!$I:$I,Toplantı!$B$9,Başvuru!$D:$D,$A$65)</f>
        <v>1</v>
      </c>
      <c r="H65" s="104">
        <f>COUNTIFS(Başvuru!$I:$I,Toplantı!$B$10,Başvuru!$D:$D,$A$65)</f>
        <v>0</v>
      </c>
      <c r="I65" s="104">
        <f>COUNTIFS(Başvuru!$I:$I,Toplantı!$B$11,Başvuru!$D:$D,$A$65)</f>
        <v>0</v>
      </c>
      <c r="J65" s="104">
        <f>COUNTIFS(Başvuru!$I:$I,Toplantı!$B$12,Başvuru!$D:$D,$A$65)</f>
        <v>0</v>
      </c>
      <c r="K65" s="104">
        <f>COUNTIFS(Başvuru!$I:$I,Toplantı!$B$13,Başvuru!$D:$D,$A$65)</f>
        <v>0</v>
      </c>
      <c r="L65" s="104">
        <f>COUNTIFS(Başvuru!$I:$I,Toplantı!$B$14,Başvuru!$D:$D,$A$65)</f>
        <v>0</v>
      </c>
      <c r="M65" s="104">
        <f>COUNTIFS(Başvuru!$I:$I,Toplantı!$B$15,Başvuru!$D:$D,$A$65)</f>
        <v>0</v>
      </c>
      <c r="N65" s="104">
        <f>COUNTIFS(Başvuru!$I:$I,Toplantı!$B$16,Başvuru!$D:$D,$A$65)</f>
        <v>1</v>
      </c>
      <c r="O65" s="102">
        <f t="shared" si="1"/>
        <v>1</v>
      </c>
    </row>
    <row r="66" spans="1:15" ht="15.75" customHeight="1" x14ac:dyDescent="0.25">
      <c r="A66" s="100" t="s">
        <v>1494</v>
      </c>
      <c r="B66" s="101">
        <f>COUNTIFS(Başvuru!$I:$I,Toplantı!$B$4,Başvuru!$D:$D,$A$66)</f>
        <v>0</v>
      </c>
      <c r="C66" s="101">
        <f>COUNTIFS(Başvuru!$I:$I,Toplantı!$B$5,Başvuru!$D:$D,$A$66)</f>
        <v>0</v>
      </c>
      <c r="D66" s="101">
        <f>COUNTIFS(Başvuru!$I:$I,Toplantı!$B$6,Başvuru!$D:$D,$A$66)</f>
        <v>0</v>
      </c>
      <c r="E66" s="101">
        <f>COUNTIFS(Başvuru!$I:$I,Toplantı!$B$7,Başvuru!$D:$D,$A$66)</f>
        <v>0</v>
      </c>
      <c r="F66" s="101">
        <f>COUNTIFS(Başvuru!$I:$I,Toplantı!$B$8,Başvuru!$D:$D,$A$66)</f>
        <v>0</v>
      </c>
      <c r="G66" s="101">
        <f>COUNTIFS(Başvuru!$I:$I,Toplantı!$B$9,Başvuru!$D:$D,$A$66)</f>
        <v>0</v>
      </c>
      <c r="H66" s="101">
        <f>COUNTIFS(Başvuru!$I:$I,Toplantı!$B$10,Başvuru!$D:$D,$A$66)</f>
        <v>1</v>
      </c>
      <c r="I66" s="101">
        <f>COUNTIFS(Başvuru!$I:$I,Toplantı!$B$11,Başvuru!$D:$D,$A$66)</f>
        <v>0</v>
      </c>
      <c r="J66" s="101">
        <f>COUNTIFS(Başvuru!$I:$I,Toplantı!$B$12,Başvuru!$D:$D,$A$66)</f>
        <v>0</v>
      </c>
      <c r="K66" s="101">
        <f>COUNTIFS(Başvuru!$I:$I,Toplantı!$B$13,Başvuru!$D:$D,$A$66)</f>
        <v>0</v>
      </c>
      <c r="L66" s="101">
        <f>COUNTIFS(Başvuru!$I:$I,Toplantı!$B$14,Başvuru!$D:$D,$A$66)</f>
        <v>0</v>
      </c>
      <c r="M66" s="101">
        <f>COUNTIFS(Başvuru!$I:$I,Toplantı!$B$15,Başvuru!$D:$D,$A$66)</f>
        <v>0</v>
      </c>
      <c r="N66" s="101">
        <f>COUNTIFS(Başvuru!$I:$I,Toplantı!$B$16,Başvuru!$D:$D,$A$66)</f>
        <v>0</v>
      </c>
      <c r="O66" s="102">
        <f t="shared" si="1"/>
        <v>1</v>
      </c>
    </row>
    <row r="67" spans="1:15" ht="15.75" customHeight="1" x14ac:dyDescent="0.25">
      <c r="A67" s="103" t="s">
        <v>1849</v>
      </c>
      <c r="B67" s="104">
        <f>COUNTIFS(Başvuru!$I:$I,Toplantı!$B$4,Başvuru!$D:$D,$A$67)</f>
        <v>0</v>
      </c>
      <c r="C67" s="104">
        <f>COUNTIFS(Başvuru!$I:$I,Toplantı!$B$5,Başvuru!$D:$D,$A$67)</f>
        <v>0</v>
      </c>
      <c r="D67" s="104">
        <f>COUNTIFS(Başvuru!$I:$I,Toplantı!$B$6,Başvuru!$D:$D,$A$67)</f>
        <v>0</v>
      </c>
      <c r="E67" s="104">
        <f>COUNTIFS(Başvuru!$I:$I,Toplantı!$B$7,Başvuru!$D:$D,$A$67)</f>
        <v>0</v>
      </c>
      <c r="F67" s="104">
        <f>COUNTIFS(Başvuru!$I:$I,Toplantı!$B$8,Başvuru!$D:$D,$A$67)</f>
        <v>0</v>
      </c>
      <c r="G67" s="104">
        <f>COUNTIFS(Başvuru!$I:$I,Toplantı!$B$9,Başvuru!$D:$D,$A$67)</f>
        <v>0</v>
      </c>
      <c r="H67" s="104">
        <f>COUNTIFS(Başvuru!$I:$I,Toplantı!$B$10,Başvuru!$D:$D,$A$67)</f>
        <v>0</v>
      </c>
      <c r="I67" s="104">
        <f>COUNTIFS(Başvuru!$I:$I,Toplantı!$B$11,Başvuru!$D:$D,$A$67)</f>
        <v>0</v>
      </c>
      <c r="J67" s="104">
        <f>COUNTIFS(Başvuru!$I:$I,Toplantı!$B$12,Başvuru!$D:$D,$A$67)</f>
        <v>1</v>
      </c>
      <c r="K67" s="104">
        <f>COUNTIFS(Başvuru!$I:$I,Toplantı!$B$13,Başvuru!$D:$D,$A$67)</f>
        <v>0</v>
      </c>
      <c r="L67" s="104">
        <f>COUNTIFS(Başvuru!$I:$I,Toplantı!$B$14,Başvuru!$D:$D,$A$67)</f>
        <v>0</v>
      </c>
      <c r="M67" s="104">
        <f>COUNTIFS(Başvuru!$I:$I,Toplantı!$B$15,Başvuru!$D:$D,$A$67)</f>
        <v>0</v>
      </c>
      <c r="N67" s="104">
        <f>COUNTIFS(Başvuru!$I:$I,Toplantı!$B$16,Başvuru!$D:$D,$A$67)</f>
        <v>0</v>
      </c>
      <c r="O67" s="102">
        <f t="shared" si="1"/>
        <v>1</v>
      </c>
    </row>
    <row r="68" spans="1:15" ht="15.75" customHeight="1" x14ac:dyDescent="0.25">
      <c r="A68" s="100" t="s">
        <v>1923</v>
      </c>
      <c r="B68" s="101">
        <f>COUNTIFS(Başvuru!$I:$I,Toplantı!$B$4,Başvuru!$D:$D,$A$68)</f>
        <v>0</v>
      </c>
      <c r="C68" s="101">
        <f>COUNTIFS(Başvuru!$I:$I,Toplantı!$B$5,Başvuru!$D:$D,$A$68)</f>
        <v>0</v>
      </c>
      <c r="D68" s="101">
        <f>COUNTIFS(Başvuru!$I:$I,Toplantı!$B$6,Başvuru!$D:$D,$A$68)</f>
        <v>0</v>
      </c>
      <c r="E68" s="101">
        <f>COUNTIFS(Başvuru!$I:$I,Toplantı!$B$7,Başvuru!$D:$D,$A$68)</f>
        <v>0</v>
      </c>
      <c r="F68" s="101">
        <f>COUNTIFS(Başvuru!$I:$I,Toplantı!$B$8,Başvuru!$D:$D,$A$68)</f>
        <v>0</v>
      </c>
      <c r="G68" s="101">
        <f>COUNTIFS(Başvuru!$I:$I,Toplantı!$B$9,Başvuru!$D:$D,$A$68)</f>
        <v>0</v>
      </c>
      <c r="H68" s="101">
        <f>COUNTIFS(Başvuru!$I:$I,Toplantı!$B$10,Başvuru!$D:$D,$A$68)</f>
        <v>0</v>
      </c>
      <c r="I68" s="101">
        <f>COUNTIFS(Başvuru!$I:$I,Toplantı!$B$11,Başvuru!$D:$D,$A$68)</f>
        <v>0</v>
      </c>
      <c r="J68" s="101">
        <f>COUNTIFS(Başvuru!$I:$I,Toplantı!$B$12,Başvuru!$D:$D,$A$68)</f>
        <v>1</v>
      </c>
      <c r="K68" s="101">
        <f>COUNTIFS(Başvuru!$I:$I,Toplantı!$B$13,Başvuru!$D:$D,$A$68)</f>
        <v>0</v>
      </c>
      <c r="L68" s="101">
        <f>COUNTIFS(Başvuru!$I:$I,Toplantı!$B$14,Başvuru!$D:$D,$A$68)</f>
        <v>0</v>
      </c>
      <c r="M68" s="101">
        <f>COUNTIFS(Başvuru!$I:$I,Toplantı!$B$15,Başvuru!$D:$D,$A$68)</f>
        <v>0</v>
      </c>
      <c r="N68" s="101">
        <f>COUNTIFS(Başvuru!$I:$I,Toplantı!$B$16,Başvuru!$D:$D,$A$68)</f>
        <v>0</v>
      </c>
      <c r="O68" s="102">
        <f t="shared" ref="O68:O76" si="2">SUM(B68:M68)</f>
        <v>1</v>
      </c>
    </row>
    <row r="69" spans="1:15" ht="15.75" customHeight="1" x14ac:dyDescent="0.25">
      <c r="A69" s="103" t="s">
        <v>1971</v>
      </c>
      <c r="B69" s="104">
        <f>COUNTIFS(Başvuru!$I:$I,Toplantı!$B$4,Başvuru!$D:$D,$A$69)</f>
        <v>0</v>
      </c>
      <c r="C69" s="104">
        <f>COUNTIFS(Başvuru!$I:$I,Toplantı!$B$5,Başvuru!$D:$D,$A$69)</f>
        <v>0</v>
      </c>
      <c r="D69" s="104">
        <f>COUNTIFS(Başvuru!$I:$I,Toplantı!$B$6,Başvuru!$D:$D,$A$69)</f>
        <v>0</v>
      </c>
      <c r="E69" s="104">
        <f>COUNTIFS(Başvuru!$I:$I,Toplantı!$B$7,Başvuru!$D:$D,$A$69)</f>
        <v>0</v>
      </c>
      <c r="F69" s="104">
        <f>COUNTIFS(Başvuru!$I:$I,Toplantı!$B$8,Başvuru!$D:$D,$A$69)</f>
        <v>0</v>
      </c>
      <c r="G69" s="104">
        <f>COUNTIFS(Başvuru!$I:$I,Toplantı!$B$9,Başvuru!$D:$D,$A$69)</f>
        <v>0</v>
      </c>
      <c r="H69" s="104">
        <f>COUNTIFS(Başvuru!$I:$I,Toplantı!$B$10,Başvuru!$D:$D,$A$69)</f>
        <v>0</v>
      </c>
      <c r="I69" s="104">
        <f>COUNTIFS(Başvuru!$I:$I,Toplantı!$B$11,Başvuru!$D:$D,$A$69)</f>
        <v>0</v>
      </c>
      <c r="J69" s="104">
        <f>COUNTIFS(Başvuru!$I:$I,Toplantı!$B$12,Başvuru!$D:$D,$A$69)</f>
        <v>1</v>
      </c>
      <c r="K69" s="104">
        <f>COUNTIFS(Başvuru!$I:$I,Toplantı!$B$13,Başvuru!$D:$D,$A$69)</f>
        <v>0</v>
      </c>
      <c r="L69" s="104">
        <f>COUNTIFS(Başvuru!$I:$I,Toplantı!$B$14,Başvuru!$D:$D,$A$69)</f>
        <v>0</v>
      </c>
      <c r="M69" s="104">
        <f>COUNTIFS(Başvuru!$I:$I,Toplantı!$B$15,Başvuru!$D:$D,$A$69)</f>
        <v>0</v>
      </c>
      <c r="N69" s="104">
        <f>COUNTIFS(Başvuru!$I:$I,Toplantı!$B$16,Başvuru!$D:$D,$A$69)</f>
        <v>0</v>
      </c>
      <c r="O69" s="102">
        <f t="shared" si="2"/>
        <v>1</v>
      </c>
    </row>
    <row r="70" spans="1:15" ht="15.75" customHeight="1" x14ac:dyDescent="0.25">
      <c r="A70" s="100" t="s">
        <v>2155</v>
      </c>
      <c r="B70" s="101">
        <f>COUNTIFS(Başvuru!$I:$I,Toplantı!$B$4,Başvuru!$D:$D,$A$70)</f>
        <v>0</v>
      </c>
      <c r="C70" s="101">
        <f>COUNTIFS(Başvuru!$I:$I,Toplantı!$B$5,Başvuru!$D:$D,$A$70)</f>
        <v>0</v>
      </c>
      <c r="D70" s="101">
        <f>COUNTIFS(Başvuru!$I:$I,Toplantı!$B$6,Başvuru!$D:$D,$A$70)</f>
        <v>0</v>
      </c>
      <c r="E70" s="101">
        <f>COUNTIFS(Başvuru!$I:$I,Toplantı!$B$7,Başvuru!$D:$D,$A$70)</f>
        <v>0</v>
      </c>
      <c r="F70" s="101">
        <f>COUNTIFS(Başvuru!$I:$I,Toplantı!$B$8,Başvuru!$D:$D,$A$70)</f>
        <v>0</v>
      </c>
      <c r="G70" s="101">
        <f>COUNTIFS(Başvuru!$I:$I,Toplantı!$B$9,Başvuru!$D:$D,$A$70)</f>
        <v>0</v>
      </c>
      <c r="H70" s="101">
        <f>COUNTIFS(Başvuru!$I:$I,Toplantı!$B$10,Başvuru!$D:$D,$A$70)</f>
        <v>0</v>
      </c>
      <c r="I70" s="101">
        <f>COUNTIFS(Başvuru!$I:$I,Toplantı!$B$11,Başvuru!$D:$D,$A$70)</f>
        <v>0</v>
      </c>
      <c r="J70" s="101">
        <f>COUNTIFS(Başvuru!$I:$I,Toplantı!$B$12,Başvuru!$D:$D,$A$70)</f>
        <v>0</v>
      </c>
      <c r="K70" s="101">
        <f>COUNTIFS(Başvuru!$I:$I,Toplantı!$B$13,Başvuru!$D:$D,$A$70)</f>
        <v>1</v>
      </c>
      <c r="L70" s="101">
        <f>COUNTIFS(Başvuru!$I:$I,Toplantı!$B$14,Başvuru!$D:$D,$A$70)</f>
        <v>0</v>
      </c>
      <c r="M70" s="101">
        <f>COUNTIFS(Başvuru!$I:$I,Toplantı!$B$15,Başvuru!$D:$D,$A$70)</f>
        <v>0</v>
      </c>
      <c r="N70" s="101">
        <f>COUNTIFS(Başvuru!$I:$I,Toplantı!$B$16,Başvuru!$D:$D,$A$70)</f>
        <v>0</v>
      </c>
      <c r="O70" s="102">
        <f t="shared" si="2"/>
        <v>1</v>
      </c>
    </row>
    <row r="71" spans="1:15" ht="15.75" customHeight="1" x14ac:dyDescent="0.25">
      <c r="A71" s="103" t="s">
        <v>2207</v>
      </c>
      <c r="B71" s="104">
        <f>COUNTIFS(Başvuru!$I:$I,Toplantı!$B$4,Başvuru!$D:$D,$A$71)</f>
        <v>0</v>
      </c>
      <c r="C71" s="104">
        <f>COUNTIFS(Başvuru!$I:$I,Toplantı!$B$5,Başvuru!$D:$D,$A$71)</f>
        <v>0</v>
      </c>
      <c r="D71" s="104">
        <f>COUNTIFS(Başvuru!$I:$I,Toplantı!$B$6,Başvuru!$D:$D,$A$71)</f>
        <v>0</v>
      </c>
      <c r="E71" s="104">
        <f>COUNTIFS(Başvuru!$I:$I,Toplantı!$B$7,Başvuru!$D:$D,$A$71)</f>
        <v>0</v>
      </c>
      <c r="F71" s="104">
        <f>COUNTIFS(Başvuru!$I:$I,Toplantı!$B$8,Başvuru!$D:$D,$A$71)</f>
        <v>0</v>
      </c>
      <c r="G71" s="104">
        <f>COUNTIFS(Başvuru!$I:$I,Toplantı!$B$9,Başvuru!$D:$D,$A$71)</f>
        <v>0</v>
      </c>
      <c r="H71" s="104">
        <f>COUNTIFS(Başvuru!$I:$I,Toplantı!$B$10,Başvuru!$D:$D,$A$71)</f>
        <v>0</v>
      </c>
      <c r="I71" s="104">
        <f>COUNTIFS(Başvuru!$I:$I,Toplantı!$B$11,Başvuru!$D:$D,$A$71)</f>
        <v>0</v>
      </c>
      <c r="J71" s="104">
        <f>COUNTIFS(Başvuru!$I:$I,Toplantı!$B$12,Başvuru!$D:$D,$A$71)</f>
        <v>0</v>
      </c>
      <c r="K71" s="104">
        <f>COUNTIFS(Başvuru!$I:$I,Toplantı!$B$13,Başvuru!$D:$D,$A$71)</f>
        <v>1</v>
      </c>
      <c r="L71" s="104">
        <f>COUNTIFS(Başvuru!$I:$I,Toplantı!$B$14,Başvuru!$D:$D,$A$71)</f>
        <v>0</v>
      </c>
      <c r="M71" s="104">
        <f>COUNTIFS(Başvuru!$I:$I,Toplantı!$B$15,Başvuru!$D:$D,$A$71)</f>
        <v>0</v>
      </c>
      <c r="N71" s="104">
        <f>COUNTIFS(Başvuru!$I:$I,Toplantı!$B$16,Başvuru!$D:$D,$A$71)</f>
        <v>0</v>
      </c>
      <c r="O71" s="102">
        <f t="shared" si="2"/>
        <v>1</v>
      </c>
    </row>
    <row r="72" spans="1:15" ht="15.75" customHeight="1" x14ac:dyDescent="0.25">
      <c r="A72" s="100" t="s">
        <v>2244</v>
      </c>
      <c r="B72" s="101">
        <f>COUNTIFS(Başvuru!$I:$I,Toplantı!$B$4,Başvuru!$D:$D,$A$72)</f>
        <v>0</v>
      </c>
      <c r="C72" s="101">
        <f>COUNTIFS(Başvuru!$I:$I,Toplantı!$B$5,Başvuru!$D:$D,$A$72)</f>
        <v>0</v>
      </c>
      <c r="D72" s="101">
        <f>COUNTIFS(Başvuru!$I:$I,Toplantı!$B$6,Başvuru!$D:$D,$A$72)</f>
        <v>0</v>
      </c>
      <c r="E72" s="101">
        <f>COUNTIFS(Başvuru!$I:$I,Toplantı!$B$7,Başvuru!$D:$D,$A$72)</f>
        <v>0</v>
      </c>
      <c r="F72" s="101">
        <f>COUNTIFS(Başvuru!$I:$I,Toplantı!$B$8,Başvuru!$D:$D,$A$72)</f>
        <v>0</v>
      </c>
      <c r="G72" s="101">
        <f>COUNTIFS(Başvuru!$I:$I,Toplantı!$B$9,Başvuru!$D:$D,$A$72)</f>
        <v>0</v>
      </c>
      <c r="H72" s="101">
        <f>COUNTIFS(Başvuru!$I:$I,Toplantı!$B$10,Başvuru!$D:$D,$A$72)</f>
        <v>0</v>
      </c>
      <c r="I72" s="101">
        <f>COUNTIFS(Başvuru!$I:$I,Toplantı!$B$11,Başvuru!$D:$D,$A$72)</f>
        <v>0</v>
      </c>
      <c r="J72" s="101">
        <f>COUNTIFS(Başvuru!$I:$I,Toplantı!$B$12,Başvuru!$D:$D,$A$72)</f>
        <v>0</v>
      </c>
      <c r="K72" s="101">
        <f>COUNTIFS(Başvuru!$I:$I,Toplantı!$B$13,Başvuru!$D:$D,$A$72)</f>
        <v>0</v>
      </c>
      <c r="L72" s="101">
        <f>COUNTIFS(Başvuru!$I:$I,Toplantı!$B$14,Başvuru!$D:$D,$A$72)</f>
        <v>1</v>
      </c>
      <c r="M72" s="101">
        <f>COUNTIFS(Başvuru!$I:$I,Toplantı!$B$15,Başvuru!$D:$D,$A$72)</f>
        <v>0</v>
      </c>
      <c r="N72" s="101">
        <f>COUNTIFS(Başvuru!$I:$I,Toplantı!$B$16,Başvuru!$D:$D,$A$72)</f>
        <v>0</v>
      </c>
      <c r="O72" s="102">
        <f t="shared" si="2"/>
        <v>1</v>
      </c>
    </row>
    <row r="73" spans="1:15" ht="15.75" customHeight="1" x14ac:dyDescent="0.25">
      <c r="A73" s="103" t="s">
        <v>2265</v>
      </c>
      <c r="B73" s="104">
        <f>COUNTIFS(Başvuru!$I:$I,Toplantı!$B$4,Başvuru!$D:$D,$A$73)</f>
        <v>0</v>
      </c>
      <c r="C73" s="104">
        <f>COUNTIFS(Başvuru!$I:$I,Toplantı!$B$5,Başvuru!$D:$D,$A$73)</f>
        <v>0</v>
      </c>
      <c r="D73" s="104">
        <f>COUNTIFS(Başvuru!$I:$I,Toplantı!$B$6,Başvuru!$D:$D,$A$73)</f>
        <v>0</v>
      </c>
      <c r="E73" s="104">
        <f>COUNTIFS(Başvuru!$I:$I,Toplantı!$B$7,Başvuru!$D:$D,$A$73)</f>
        <v>0</v>
      </c>
      <c r="F73" s="104">
        <f>COUNTIFS(Başvuru!$I:$I,Toplantı!$B$8,Başvuru!$D:$D,$A$73)</f>
        <v>0</v>
      </c>
      <c r="G73" s="104">
        <f>COUNTIFS(Başvuru!$I:$I,Toplantı!$B$9,Başvuru!$D:$D,$A$73)</f>
        <v>0</v>
      </c>
      <c r="H73" s="104">
        <f>COUNTIFS(Başvuru!$I:$I,Toplantı!$B$10,Başvuru!$D:$D,$A$73)</f>
        <v>0</v>
      </c>
      <c r="I73" s="104">
        <f>COUNTIFS(Başvuru!$I:$I,Toplantı!$B$11,Başvuru!$D:$D,$A$73)</f>
        <v>0</v>
      </c>
      <c r="J73" s="104">
        <f>COUNTIFS(Başvuru!$I:$I,Toplantı!$B$12,Başvuru!$D:$D,$A$73)</f>
        <v>0</v>
      </c>
      <c r="K73" s="104">
        <f>COUNTIFS(Başvuru!$I:$I,Toplantı!$B$13,Başvuru!$D:$D,$A$73)</f>
        <v>0</v>
      </c>
      <c r="L73" s="104">
        <f>COUNTIFS(Başvuru!$I:$I,Toplantı!$B$14,Başvuru!$D:$D,$A$73)</f>
        <v>1</v>
      </c>
      <c r="M73" s="104">
        <f>COUNTIFS(Başvuru!$I:$I,Toplantı!$B$15,Başvuru!$D:$D,$A$73)</f>
        <v>0</v>
      </c>
      <c r="N73" s="104">
        <f>COUNTIFS(Başvuru!$I:$I,Toplantı!$B$16,Başvuru!$D:$D,$A$73)</f>
        <v>0</v>
      </c>
      <c r="O73" s="102">
        <f t="shared" si="2"/>
        <v>1</v>
      </c>
    </row>
    <row r="74" spans="1:15" ht="15.75" customHeight="1" x14ac:dyDescent="0.25">
      <c r="A74" s="100" t="s">
        <v>2297</v>
      </c>
      <c r="B74" s="101">
        <f>COUNTIFS(Başvuru!$I:$I,Toplantı!$B$4,Başvuru!$D:$D,$A$74)</f>
        <v>0</v>
      </c>
      <c r="C74" s="101">
        <f>COUNTIFS(Başvuru!$I:$I,Toplantı!$B$5,Başvuru!$D:$D,$A$74)</f>
        <v>0</v>
      </c>
      <c r="D74" s="101">
        <f>COUNTIFS(Başvuru!$I:$I,Toplantı!$B$6,Başvuru!$D:$D,$A$74)</f>
        <v>0</v>
      </c>
      <c r="E74" s="101">
        <f>COUNTIFS(Başvuru!$I:$I,Toplantı!$B$7,Başvuru!$D:$D,$A$74)</f>
        <v>0</v>
      </c>
      <c r="F74" s="101">
        <f>COUNTIFS(Başvuru!$I:$I,Toplantı!$B$8,Başvuru!$D:$D,$A$74)</f>
        <v>0</v>
      </c>
      <c r="G74" s="101">
        <f>COUNTIFS(Başvuru!$I:$I,Toplantı!$B$9,Başvuru!$D:$D,$A$74)</f>
        <v>0</v>
      </c>
      <c r="H74" s="101">
        <f>COUNTIFS(Başvuru!$I:$I,Toplantı!$B$10,Başvuru!$D:$D,$A$74)</f>
        <v>0</v>
      </c>
      <c r="I74" s="101">
        <f>COUNTIFS(Başvuru!$I:$I,Toplantı!$B$11,Başvuru!$D:$D,$A$74)</f>
        <v>0</v>
      </c>
      <c r="J74" s="101">
        <f>COUNTIFS(Başvuru!$I:$I,Toplantı!$B$12,Başvuru!$D:$D,$A$74)</f>
        <v>0</v>
      </c>
      <c r="K74" s="101">
        <f>COUNTIFS(Başvuru!$I:$I,Toplantı!$B$13,Başvuru!$D:$D,$A$74)</f>
        <v>0</v>
      </c>
      <c r="L74" s="101">
        <f>COUNTIFS(Başvuru!$I:$I,Toplantı!$B$14,Başvuru!$D:$D,$A$74)</f>
        <v>1</v>
      </c>
      <c r="M74" s="101">
        <f>COUNTIFS(Başvuru!$I:$I,Toplantı!$B$15,Başvuru!$D:$D,$A$74)</f>
        <v>0</v>
      </c>
      <c r="N74" s="101">
        <f>COUNTIFS(Başvuru!$I:$I,Toplantı!$B$16,Başvuru!$D:$D,$A$74)</f>
        <v>0</v>
      </c>
      <c r="O74" s="102">
        <f t="shared" si="2"/>
        <v>1</v>
      </c>
    </row>
    <row r="75" spans="1:15" ht="34.15" customHeight="1" x14ac:dyDescent="0.25">
      <c r="A75" s="103" t="s">
        <v>2456</v>
      </c>
      <c r="B75" s="104">
        <f>COUNTIFS(Başvuru!$I:$I,Toplantı!$B$4,Başvuru!$D:$D,$A$75)</f>
        <v>0</v>
      </c>
      <c r="C75" s="104">
        <f>COUNTIFS(Başvuru!$I:$I,Toplantı!$B$5,Başvuru!$D:$D,$A$75)</f>
        <v>0</v>
      </c>
      <c r="D75" s="104">
        <f>COUNTIFS(Başvuru!$I:$I,Toplantı!$B$6,Başvuru!$D:$D,$A$75)</f>
        <v>0</v>
      </c>
      <c r="E75" s="104">
        <f>COUNTIFS(Başvuru!$I:$I,Toplantı!$B$7,Başvuru!$D:$D,$A$75)</f>
        <v>0</v>
      </c>
      <c r="F75" s="104">
        <f>COUNTIFS(Başvuru!$I:$I,Toplantı!$B$8,Başvuru!$D:$D,$A$75)</f>
        <v>0</v>
      </c>
      <c r="G75" s="104">
        <f>COUNTIFS(Başvuru!$I:$I,Toplantı!$B$9,Başvuru!$D:$D,$A$75)</f>
        <v>0</v>
      </c>
      <c r="H75" s="104">
        <f>COUNTIFS(Başvuru!$I:$I,Toplantı!$B$10,Başvuru!$D:$D,$A$75)</f>
        <v>0</v>
      </c>
      <c r="I75" s="104">
        <f>COUNTIFS(Başvuru!$I:$I,Toplantı!$B$11,Başvuru!$D:$D,$A$75)</f>
        <v>0</v>
      </c>
      <c r="J75" s="104">
        <f>COUNTIFS(Başvuru!$I:$I,Toplantı!$B$12,Başvuru!$D:$D,$A$75)</f>
        <v>0</v>
      </c>
      <c r="K75" s="104">
        <f>COUNTIFS(Başvuru!$I:$I,Toplantı!$B$13,Başvuru!$D:$D,$A$75)</f>
        <v>0</v>
      </c>
      <c r="L75" s="104">
        <f>COUNTIFS(Başvuru!$I:$I,Toplantı!$B$14,Başvuru!$D:$D,$A$75)</f>
        <v>0</v>
      </c>
      <c r="M75" s="104">
        <f>COUNTIFS(Başvuru!$I:$I,Toplantı!$B$15,Başvuru!$D:$D,$A$75)</f>
        <v>1</v>
      </c>
      <c r="N75" s="104">
        <f>COUNTIFS(Başvuru!$I:$I,Toplantı!$B$16,Başvuru!$D:$D,$A$75)</f>
        <v>0</v>
      </c>
      <c r="O75" s="102">
        <f t="shared" si="2"/>
        <v>1</v>
      </c>
    </row>
    <row r="76" spans="1:15" ht="15.75" customHeight="1" x14ac:dyDescent="0.25">
      <c r="A76" s="100" t="s">
        <v>2533</v>
      </c>
      <c r="B76" s="101">
        <f>COUNTIFS(Başvuru!$I:$I,Toplantı!$B$4,Başvuru!$D:$D,$A$76)</f>
        <v>0</v>
      </c>
      <c r="C76" s="101">
        <f>COUNTIFS(Başvuru!$I:$I,Toplantı!$B$5,Başvuru!$D:$D,$A$76)</f>
        <v>0</v>
      </c>
      <c r="D76" s="101">
        <f>COUNTIFS(Başvuru!$I:$I,Toplantı!$B$6,Başvuru!$D:$D,$A$76)</f>
        <v>0</v>
      </c>
      <c r="E76" s="101">
        <f>COUNTIFS(Başvuru!$I:$I,Toplantı!$B$7,Başvuru!$D:$D,$A$76)</f>
        <v>0</v>
      </c>
      <c r="F76" s="101">
        <f>COUNTIFS(Başvuru!$I:$I,Toplantı!$B$8,Başvuru!$D:$D,$A$76)</f>
        <v>0</v>
      </c>
      <c r="G76" s="101">
        <f>COUNTIFS(Başvuru!$I:$I,Toplantı!$B$9,Başvuru!$D:$D,$A$76)</f>
        <v>0</v>
      </c>
      <c r="H76" s="101">
        <f>COUNTIFS(Başvuru!$I:$I,Toplantı!$B$10,Başvuru!$D:$D,$A$76)</f>
        <v>0</v>
      </c>
      <c r="I76" s="101">
        <f>COUNTIFS(Başvuru!$I:$I,Toplantı!$B$11,Başvuru!$D:$D,$A$76)</f>
        <v>0</v>
      </c>
      <c r="J76" s="101">
        <f>COUNTIFS(Başvuru!$I:$I,Toplantı!$B$12,Başvuru!$D:$D,$A$76)</f>
        <v>0</v>
      </c>
      <c r="K76" s="101">
        <f>COUNTIFS(Başvuru!$I:$I,Toplantı!$B$13,Başvuru!$D:$D,$A$76)</f>
        <v>0</v>
      </c>
      <c r="L76" s="101">
        <f>COUNTIFS(Başvuru!$I:$I,Toplantı!$B$14,Başvuru!$D:$D,$A$76)</f>
        <v>0</v>
      </c>
      <c r="M76" s="101">
        <f>COUNTIFS(Başvuru!$I:$I,Toplantı!$B$15,Başvuru!$D:$D,$A$76)</f>
        <v>1</v>
      </c>
      <c r="N76" s="101">
        <f>COUNTIFS(Başvuru!$I:$I,Toplantı!$B$16,Başvuru!$D:$D,$A$76)</f>
        <v>0</v>
      </c>
      <c r="O76" s="102">
        <f t="shared" si="2"/>
        <v>1</v>
      </c>
    </row>
    <row r="77" spans="1:15" ht="21.75" customHeight="1" x14ac:dyDescent="0.25">
      <c r="A77" s="98" t="s">
        <v>4</v>
      </c>
      <c r="B77" s="105">
        <f t="shared" ref="B77:O77" si="3">SUM(B4:B76)</f>
        <v>55</v>
      </c>
      <c r="C77" s="105">
        <f t="shared" si="3"/>
        <v>45</v>
      </c>
      <c r="D77" s="105">
        <f t="shared" si="3"/>
        <v>45</v>
      </c>
      <c r="E77" s="105">
        <f t="shared" si="3"/>
        <v>45</v>
      </c>
      <c r="F77" s="105">
        <f t="shared" si="3"/>
        <v>35</v>
      </c>
      <c r="G77" s="105">
        <f t="shared" si="3"/>
        <v>47</v>
      </c>
      <c r="H77" s="105">
        <f t="shared" si="3"/>
        <v>40</v>
      </c>
      <c r="I77" s="105">
        <f t="shared" si="3"/>
        <v>40</v>
      </c>
      <c r="J77" s="105">
        <f t="shared" si="3"/>
        <v>48</v>
      </c>
      <c r="K77" s="105">
        <f t="shared" si="3"/>
        <v>52</v>
      </c>
      <c r="L77" s="105">
        <f t="shared" si="3"/>
        <v>40</v>
      </c>
      <c r="M77" s="105">
        <f t="shared" si="3"/>
        <v>45</v>
      </c>
      <c r="N77" s="105">
        <f t="shared" si="3"/>
        <v>39</v>
      </c>
      <c r="O77" s="106">
        <f t="shared" si="3"/>
        <v>537</v>
      </c>
    </row>
    <row r="79" spans="1:15" ht="18" customHeight="1" x14ac:dyDescent="0.25">
      <c r="A79" s="326" t="s">
        <v>3767</v>
      </c>
      <c r="B79" s="294"/>
      <c r="C79" s="294"/>
      <c r="D79" s="294"/>
      <c r="E79" s="294"/>
      <c r="F79" s="294"/>
      <c r="G79" s="294"/>
      <c r="H79" s="294"/>
      <c r="I79" s="294"/>
      <c r="J79" s="294"/>
      <c r="K79" s="294"/>
      <c r="L79" s="294"/>
      <c r="M79" s="294"/>
      <c r="N79" s="294"/>
      <c r="O79" s="294"/>
    </row>
  </sheetData>
  <mergeCells count="3">
    <mergeCell ref="A1:O1"/>
    <mergeCell ref="A79:O79"/>
    <mergeCell ref="A2:O2"/>
  </mergeCells>
  <conditionalFormatting sqref="B4:N76">
    <cfRule type="cellIs" dxfId="8" priority="2" operator="greaterThanOrEqual">
      <formula>5</formula>
    </cfRule>
    <cfRule type="cellIs" dxfId="7" priority="3" operator="between">
      <formula>3</formula>
      <formula>4</formula>
    </cfRule>
    <cfRule type="cellIs" dxfId="6" priority="4" operator="equal">
      <formula>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2060"/>
  </sheetPr>
  <dimension ref="B1:S291"/>
  <sheetViews>
    <sheetView showGridLines="0" workbookViewId="0">
      <pane xSplit="2" ySplit="5" topLeftCell="C114" activePane="bottomRight" state="frozen"/>
      <selection pane="topRight"/>
      <selection pane="bottomLeft"/>
      <selection pane="bottomRight" activeCell="A26" sqref="A26"/>
    </sheetView>
  </sheetViews>
  <sheetFormatPr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6.1" customHeight="1" x14ac:dyDescent="0.25">
      <c r="B2" s="324" t="s">
        <v>5663</v>
      </c>
      <c r="C2" s="294"/>
      <c r="D2" s="294"/>
      <c r="E2" s="294"/>
      <c r="F2" s="294"/>
      <c r="G2" s="294"/>
      <c r="H2" s="294"/>
      <c r="I2" s="294"/>
      <c r="J2" s="294"/>
      <c r="K2" s="294"/>
      <c r="L2" s="294"/>
      <c r="M2" s="294"/>
      <c r="N2" s="294"/>
      <c r="O2" s="294"/>
      <c r="P2" s="294"/>
    </row>
    <row r="3" spans="2:19" ht="18" customHeight="1" x14ac:dyDescent="0.25">
      <c r="B3" s="323" t="s">
        <v>5650</v>
      </c>
      <c r="C3" s="294"/>
      <c r="D3" s="294"/>
      <c r="E3" s="294"/>
      <c r="F3" s="294"/>
      <c r="G3" s="294"/>
      <c r="H3" s="294"/>
      <c r="I3" s="294"/>
      <c r="J3" s="294"/>
      <c r="K3" s="294"/>
      <c r="L3" s="294"/>
      <c r="M3" s="294"/>
      <c r="N3" s="294"/>
      <c r="O3" s="294"/>
      <c r="P3" s="294"/>
    </row>
    <row r="4" spans="2:19" ht="6" customHeight="1" x14ac:dyDescent="0.25"/>
    <row r="5" spans="2:19" ht="20.100000000000001" customHeight="1" x14ac:dyDescent="0.25">
      <c r="B5" s="237" t="s">
        <v>5594</v>
      </c>
      <c r="C5" s="238" t="s">
        <v>5651</v>
      </c>
      <c r="D5" s="239" t="s">
        <v>4</v>
      </c>
      <c r="E5" s="237" t="s">
        <v>5608</v>
      </c>
      <c r="F5" s="240" t="s">
        <v>5652</v>
      </c>
      <c r="G5" s="240" t="s">
        <v>5653</v>
      </c>
      <c r="H5" s="240" t="s">
        <v>5654</v>
      </c>
      <c r="I5" s="240" t="s">
        <v>5655</v>
      </c>
      <c r="J5" s="241" t="s">
        <v>66</v>
      </c>
      <c r="K5" s="242" t="s">
        <v>5656</v>
      </c>
      <c r="L5" s="243" t="s">
        <v>229</v>
      </c>
      <c r="M5" s="244" t="s">
        <v>215</v>
      </c>
      <c r="N5" s="245" t="s">
        <v>175</v>
      </c>
      <c r="O5" s="246" t="s">
        <v>5657</v>
      </c>
      <c r="P5" s="247" t="s">
        <v>5658</v>
      </c>
      <c r="Q5" s="248" t="s">
        <v>5659</v>
      </c>
      <c r="R5" s="248" t="s">
        <v>5660</v>
      </c>
      <c r="S5" s="248" t="s">
        <v>5661</v>
      </c>
    </row>
    <row r="6" spans="2:19" ht="15" customHeight="1" x14ac:dyDescent="0.25">
      <c r="B6" s="249">
        <v>1</v>
      </c>
      <c r="C6" s="250" t="str">
        <f>IFERROR(INDEX($Q$6:$Q$290,MATCH(1,$S$6:$S$290,0)),"")</f>
        <v>Prof. Dr. Meltem Gülhan HALİL</v>
      </c>
      <c r="D6" s="251">
        <f>IF(C6="","",COUNTIFS(Başvuru!$C:$C,C6,Başvuru!$F:$F,"&lt;&gt;"&amp;""))</f>
        <v>16</v>
      </c>
      <c r="E6" s="249" t="str">
        <f>IF(D6&gt;0,TEXT(D6/COUNTIF(Başvuru!$F:$F,"&lt;&gt;"&amp;"")*100,"0.0")&amp;"%","-")</f>
        <v>01%</v>
      </c>
      <c r="F6" s="252">
        <f>IF(C6="","",COUNTIFS(Başvuru!$C:$C,C6,Başvuru!$G:$G,"Bireysel Araştırma",Başvuru!$F:$F,"&lt;&gt;"&amp;""))</f>
        <v>14</v>
      </c>
      <c r="G6" s="252">
        <f>IF(C6="","",COUNTIFS(Başvuru!$C:$C,C6,Başvuru!$G:$G,"Uzmanlık Tezi",Başvuru!$F:$F,"&lt;&gt;"&amp;""))</f>
        <v>1</v>
      </c>
      <c r="H6" s="252">
        <f>IF(C6="","",COUNTIFS(Başvuru!$C:$C,C6,Başvuru!$G:$G,"Doktora Tezi",Başvuru!$F:$F,"&lt;&gt;"&amp;""))</f>
        <v>1</v>
      </c>
      <c r="I6" s="252">
        <f>IF(C6="","",COUNTIFS(Başvuru!$C:$C,C6,Başvuru!$G:$G,"Yüksek Lisans Tezi",Başvuru!$F:$F,"&lt;&gt;"&amp;""))</f>
        <v>0</v>
      </c>
      <c r="J6" s="253">
        <f>IF(C6="","",COUNTIFS(Başvuru!$C:$C,C6,Başvuru!$L:$L,"ONAY",Başvuru!$F:$F,"&lt;&gt;"&amp;""))</f>
        <v>6</v>
      </c>
      <c r="K6" s="254">
        <f>IF(C6="","",COUNTIFS(Başvuru!$C:$C,C6,Başvuru!$L:$L,"DÜZELTME",Başvuru!$F:$F,"&lt;&gt;"&amp;""))</f>
        <v>3</v>
      </c>
      <c r="L6" s="255">
        <f>IF(C6="","",COUNTIFS(Başvuru!$C:$C,C6,Başvuru!$L:$L,"KAEK",Başvuru!$F:$F,"&lt;&gt;"&amp;""))</f>
        <v>0</v>
      </c>
      <c r="M6" s="256">
        <f>IF(C6="","",COUNTIFS(Başvuru!$C:$C,C6,Başvuru!$L:$L,"GÖRÜŞ",Başvuru!$F:$F,"&lt;&gt;"&amp;""))</f>
        <v>4</v>
      </c>
      <c r="N6" s="257">
        <f>IF(C6="","",COUNTIFS(Başvuru!$C:$C,C6,Başvuru!$L:$L,"RET",Başvuru!$F:$F,"&lt;&gt;"&amp;""))</f>
        <v>1</v>
      </c>
      <c r="O6" s="258">
        <f>IF(C6="","",COUNTIFS(Başvuru!$C:$C,C6,Başvuru!$L:$L,"KAPSAM DIŞI",Başvuru!$F:$F,"&lt;&gt;"&amp;""))</f>
        <v>0</v>
      </c>
      <c r="P6" s="259">
        <f>IF(C6="","",COUNTIFS(Başvuru!$C:$C,C6,Başvuru!$L:$L,"GERİ ÇEKİLDİ",Başvuru!$F:$F,"&lt;&gt;"&amp;""))</f>
        <v>0</v>
      </c>
      <c r="Q6" s="260" t="s">
        <v>472</v>
      </c>
      <c r="R6" s="261">
        <f>COUNTIFS(Başvuru!$C:$C,Q6,Başvuru!$F:$F,"&lt;&gt;"&amp;"")</f>
        <v>1</v>
      </c>
      <c r="S6" s="261">
        <f>RANK(R6,$R$6:$R$290,0)+COUNTIF($R$6:R6,R6)-1</f>
        <v>119</v>
      </c>
    </row>
    <row r="7" spans="2:19" ht="15" customHeight="1" x14ac:dyDescent="0.25">
      <c r="B7" s="262">
        <v>2</v>
      </c>
      <c r="C7" s="263" t="str">
        <f>IFERROR(INDEX($Q$6:$Q$290,MATCH(2,$S$6:$S$290,0)),"")</f>
        <v>Doç. Dr. Mert EŞME</v>
      </c>
      <c r="D7" s="264">
        <f>IF(C7="","",COUNTIFS(Başvuru!$C:$C,C7,Başvuru!$F:$F,"&lt;&gt;"&amp;""))</f>
        <v>10</v>
      </c>
      <c r="E7" s="262" t="str">
        <f>IF(D7&gt;0,TEXT(D7/COUNTIF(Başvuru!$F:$F,"&lt;&gt;"&amp;"")*100,"0.0")&amp;"%","-")</f>
        <v>01%</v>
      </c>
      <c r="F7" s="265">
        <f>IF(C7="","",COUNTIFS(Başvuru!$C:$C,C7,Başvuru!$G:$G,"Bireysel Araştırma",Başvuru!$F:$F,"&lt;&gt;"&amp;""))</f>
        <v>9</v>
      </c>
      <c r="G7" s="265">
        <f>IF(C7="","",COUNTIFS(Başvuru!$C:$C,C7,Başvuru!$G:$G,"Uzmanlık Tezi",Başvuru!$F:$F,"&lt;&gt;"&amp;""))</f>
        <v>1</v>
      </c>
      <c r="H7" s="265">
        <f>IF(C7="","",COUNTIFS(Başvuru!$C:$C,C7,Başvuru!$G:$G,"Doktora Tezi",Başvuru!$F:$F,"&lt;&gt;"&amp;""))</f>
        <v>0</v>
      </c>
      <c r="I7" s="265">
        <f>IF(C7="","",COUNTIFS(Başvuru!$C:$C,C7,Başvuru!$G:$G,"Yüksek Lisans Tezi",Başvuru!$F:$F,"&lt;&gt;"&amp;""))</f>
        <v>0</v>
      </c>
      <c r="J7" s="266">
        <f>IF(C7="","",COUNTIFS(Başvuru!$C:$C,C7,Başvuru!$L:$L,"ONAY",Başvuru!$F:$F,"&lt;&gt;"&amp;""))</f>
        <v>3</v>
      </c>
      <c r="K7" s="267">
        <f>IF(C7="","",COUNTIFS(Başvuru!$C:$C,C7,Başvuru!$L:$L,"DÜZELTME",Başvuru!$F:$F,"&lt;&gt;"&amp;""))</f>
        <v>1</v>
      </c>
      <c r="L7" s="268">
        <f>IF(C7="","",COUNTIFS(Başvuru!$C:$C,C7,Başvuru!$L:$L,"KAEK",Başvuru!$F:$F,"&lt;&gt;"&amp;""))</f>
        <v>0</v>
      </c>
      <c r="M7" s="269">
        <f>IF(C7="","",COUNTIFS(Başvuru!$C:$C,C7,Başvuru!$L:$L,"GÖRÜŞ",Başvuru!$F:$F,"&lt;&gt;"&amp;""))</f>
        <v>2</v>
      </c>
      <c r="N7" s="270">
        <f>IF(C7="","",COUNTIFS(Başvuru!$C:$C,C7,Başvuru!$L:$L,"RET",Başvuru!$F:$F,"&lt;&gt;"&amp;""))</f>
        <v>0</v>
      </c>
      <c r="O7" s="271">
        <f>IF(C7="","",COUNTIFS(Başvuru!$C:$C,C7,Başvuru!$L:$L,"KAPSAM DIŞI",Başvuru!$F:$F,"&lt;&gt;"&amp;""))</f>
        <v>0</v>
      </c>
      <c r="P7" s="272">
        <f>IF(C7="","",COUNTIFS(Başvuru!$C:$C,C7,Başvuru!$L:$L,"GERİ ÇEKİLDİ",Başvuru!$F:$F,"&lt;&gt;"&amp;""))</f>
        <v>0</v>
      </c>
      <c r="Q7" s="260" t="s">
        <v>2565</v>
      </c>
      <c r="R7" s="261">
        <f>COUNTIFS(Başvuru!$C:$C,Q7,Başvuru!$F:$F,"&lt;&gt;"&amp;"")</f>
        <v>1</v>
      </c>
      <c r="S7" s="261">
        <f>RANK(R7,$R$6:$R$290,0)+COUNTIF($R$6:R7,R7)-1</f>
        <v>120</v>
      </c>
    </row>
    <row r="8" spans="2:19" ht="15" customHeight="1" x14ac:dyDescent="0.25">
      <c r="B8" s="249">
        <v>3</v>
      </c>
      <c r="C8" s="250" t="str">
        <f>IFERROR(INDEX($Q$6:$Q$290,MATCH(3,$S$6:$S$290,0)),"")</f>
        <v>Prof. Dr. Yasemin ÖZSÜREKCİ</v>
      </c>
      <c r="D8" s="251">
        <f>IF(C8="","",COUNTIFS(Başvuru!$C:$C,C8,Başvuru!$F:$F,"&lt;&gt;"&amp;""))</f>
        <v>9</v>
      </c>
      <c r="E8" s="249" t="str">
        <f>IF(D8&gt;0,TEXT(D8/COUNTIF(Başvuru!$F:$F,"&lt;&gt;"&amp;"")*100,"0.0")&amp;"%","-")</f>
        <v>01%</v>
      </c>
      <c r="F8" s="252">
        <f>IF(C8="","",COUNTIFS(Başvuru!$C:$C,C8,Başvuru!$G:$G,"Bireysel Araştırma",Başvuru!$F:$F,"&lt;&gt;"&amp;""))</f>
        <v>8</v>
      </c>
      <c r="G8" s="252">
        <f>IF(C8="","",COUNTIFS(Başvuru!$C:$C,C8,Başvuru!$G:$G,"Uzmanlık Tezi",Başvuru!$F:$F,"&lt;&gt;"&amp;""))</f>
        <v>1</v>
      </c>
      <c r="H8" s="252">
        <f>IF(C8="","",COUNTIFS(Başvuru!$C:$C,C8,Başvuru!$G:$G,"Doktora Tezi",Başvuru!$F:$F,"&lt;&gt;"&amp;""))</f>
        <v>0</v>
      </c>
      <c r="I8" s="252">
        <f>IF(C8="","",COUNTIFS(Başvuru!$C:$C,C8,Başvuru!$G:$G,"Yüksek Lisans Tezi",Başvuru!$F:$F,"&lt;&gt;"&amp;""))</f>
        <v>0</v>
      </c>
      <c r="J8" s="253">
        <f>IF(C8="","",COUNTIFS(Başvuru!$C:$C,C8,Başvuru!$L:$L,"ONAY",Başvuru!$F:$F,"&lt;&gt;"&amp;""))</f>
        <v>4</v>
      </c>
      <c r="K8" s="254">
        <f>IF(C8="","",COUNTIFS(Başvuru!$C:$C,C8,Başvuru!$L:$L,"DÜZELTME",Başvuru!$F:$F,"&lt;&gt;"&amp;""))</f>
        <v>3</v>
      </c>
      <c r="L8" s="255">
        <f>IF(C8="","",COUNTIFS(Başvuru!$C:$C,C8,Başvuru!$L:$L,"KAEK",Başvuru!$F:$F,"&lt;&gt;"&amp;""))</f>
        <v>0</v>
      </c>
      <c r="M8" s="256">
        <f>IF(C8="","",COUNTIFS(Başvuru!$C:$C,C8,Başvuru!$L:$L,"GÖRÜŞ",Başvuru!$F:$F,"&lt;&gt;"&amp;""))</f>
        <v>1</v>
      </c>
      <c r="N8" s="257">
        <f>IF(C8="","",COUNTIFS(Başvuru!$C:$C,C8,Başvuru!$L:$L,"RET",Başvuru!$F:$F,"&lt;&gt;"&amp;""))</f>
        <v>1</v>
      </c>
      <c r="O8" s="258">
        <f>IF(C8="","",COUNTIFS(Başvuru!$C:$C,C8,Başvuru!$L:$L,"KAPSAM DIŞI",Başvuru!$F:$F,"&lt;&gt;"&amp;""))</f>
        <v>0</v>
      </c>
      <c r="P8" s="259">
        <f>IF(C8="","",COUNTIFS(Başvuru!$C:$C,C8,Başvuru!$L:$L,"GERİ ÇEKİLDİ",Başvuru!$F:$F,"&lt;&gt;"&amp;""))</f>
        <v>0</v>
      </c>
      <c r="Q8" s="260" t="s">
        <v>2243</v>
      </c>
      <c r="R8" s="261">
        <f>COUNTIFS(Başvuru!$C:$C,Q8,Başvuru!$F:$F,"&lt;&gt;"&amp;"")</f>
        <v>1</v>
      </c>
      <c r="S8" s="261">
        <f>RANK(R8,$R$6:$R$290,0)+COUNTIF($R$6:R8,R8)-1</f>
        <v>121</v>
      </c>
    </row>
    <row r="9" spans="2:19" ht="15" customHeight="1" x14ac:dyDescent="0.25">
      <c r="B9" s="262">
        <v>4</v>
      </c>
      <c r="C9" s="263" t="str">
        <f>IFERROR(INDEX($Q$6:$Q$290,MATCH(4,$S$6:$S$290,0)),"")</f>
        <v>Dr. Öğr. Üyesi Figen BEZCİ AYGÜN</v>
      </c>
      <c r="D9" s="264">
        <f>IF(C9="","",COUNTIFS(Başvuru!$C:$C,C9,Başvuru!$F:$F,"&lt;&gt;"&amp;""))</f>
        <v>8</v>
      </c>
      <c r="E9" s="262" t="str">
        <f>IF(D9&gt;0,TEXT(D9/COUNTIF(Başvuru!$F:$F,"&lt;&gt;"&amp;"")*100,"0.0")&amp;"%","-")</f>
        <v>00%</v>
      </c>
      <c r="F9" s="265">
        <f>IF(C9="","",COUNTIFS(Başvuru!$C:$C,C9,Başvuru!$G:$G,"Bireysel Araştırma",Başvuru!$F:$F,"&lt;&gt;"&amp;""))</f>
        <v>8</v>
      </c>
      <c r="G9" s="265">
        <f>IF(C9="","",COUNTIFS(Başvuru!$C:$C,C9,Başvuru!$G:$G,"Uzmanlık Tezi",Başvuru!$F:$F,"&lt;&gt;"&amp;""))</f>
        <v>0</v>
      </c>
      <c r="H9" s="265">
        <f>IF(C9="","",COUNTIFS(Başvuru!$C:$C,C9,Başvuru!$G:$G,"Doktora Tezi",Başvuru!$F:$F,"&lt;&gt;"&amp;""))</f>
        <v>0</v>
      </c>
      <c r="I9" s="265">
        <f>IF(C9="","",COUNTIFS(Başvuru!$C:$C,C9,Başvuru!$G:$G,"Yüksek Lisans Tezi",Başvuru!$F:$F,"&lt;&gt;"&amp;""))</f>
        <v>0</v>
      </c>
      <c r="J9" s="266">
        <f>IF(C9="","",COUNTIFS(Başvuru!$C:$C,C9,Başvuru!$L:$L,"ONAY",Başvuru!$F:$F,"&lt;&gt;"&amp;""))</f>
        <v>3</v>
      </c>
      <c r="K9" s="267">
        <f>IF(C9="","",COUNTIFS(Başvuru!$C:$C,C9,Başvuru!$L:$L,"DÜZELTME",Başvuru!$F:$F,"&lt;&gt;"&amp;""))</f>
        <v>3</v>
      </c>
      <c r="L9" s="268">
        <f>IF(C9="","",COUNTIFS(Başvuru!$C:$C,C9,Başvuru!$L:$L,"KAEK",Başvuru!$F:$F,"&lt;&gt;"&amp;""))</f>
        <v>0</v>
      </c>
      <c r="M9" s="269">
        <f>IF(C9="","",COUNTIFS(Başvuru!$C:$C,C9,Başvuru!$L:$L,"GÖRÜŞ",Başvuru!$F:$F,"&lt;&gt;"&amp;""))</f>
        <v>0</v>
      </c>
      <c r="N9" s="270">
        <f>IF(C9="","",COUNTIFS(Başvuru!$C:$C,C9,Başvuru!$L:$L,"RET",Başvuru!$F:$F,"&lt;&gt;"&amp;""))</f>
        <v>0</v>
      </c>
      <c r="O9" s="271">
        <f>IF(C9="","",COUNTIFS(Başvuru!$C:$C,C9,Başvuru!$L:$L,"KAPSAM DIŞI",Başvuru!$F:$F,"&lt;&gt;"&amp;""))</f>
        <v>0</v>
      </c>
      <c r="P9" s="272">
        <f>IF(C9="","",COUNTIFS(Başvuru!$C:$C,C9,Başvuru!$L:$L,"GERİ ÇEKİLDİ",Başvuru!$F:$F,"&lt;&gt;"&amp;""))</f>
        <v>0</v>
      </c>
      <c r="Q9" s="260" t="s">
        <v>671</v>
      </c>
      <c r="R9" s="261">
        <f>COUNTIFS(Başvuru!$C:$C,Q9,Başvuru!$F:$F,"&lt;&gt;"&amp;"")</f>
        <v>2</v>
      </c>
      <c r="S9" s="261">
        <f>RANK(R9,$R$6:$R$290,0)+COUNTIF($R$6:R9,R9)-1</f>
        <v>60</v>
      </c>
    </row>
    <row r="10" spans="2:19" ht="15" customHeight="1" x14ac:dyDescent="0.25">
      <c r="B10" s="249">
        <v>5</v>
      </c>
      <c r="C10" s="250" t="str">
        <f>IFERROR(INDEX($Q$6:$Q$290,MATCH(5,$S$6:$S$290,0)),"")</f>
        <v>Dr. Öğr. Üyesi Gonca ÖZTEN DERE</v>
      </c>
      <c r="D10" s="251">
        <f>IF(C10="","",COUNTIFS(Başvuru!$C:$C,C10,Başvuru!$F:$F,"&lt;&gt;"&amp;""))</f>
        <v>8</v>
      </c>
      <c r="E10" s="249" t="str">
        <f>IF(D10&gt;0,TEXT(D10/COUNTIF(Başvuru!$F:$F,"&lt;&gt;"&amp;"")*100,"0.0")&amp;"%","-")</f>
        <v>00%</v>
      </c>
      <c r="F10" s="252">
        <f>IF(C10="","",COUNTIFS(Başvuru!$C:$C,C10,Başvuru!$G:$G,"Bireysel Araştırma",Başvuru!$F:$F,"&lt;&gt;"&amp;""))</f>
        <v>8</v>
      </c>
      <c r="G10" s="252">
        <f>IF(C10="","",COUNTIFS(Başvuru!$C:$C,C10,Başvuru!$G:$G,"Uzmanlık Tezi",Başvuru!$F:$F,"&lt;&gt;"&amp;""))</f>
        <v>0</v>
      </c>
      <c r="H10" s="252">
        <f>IF(C10="","",COUNTIFS(Başvuru!$C:$C,C10,Başvuru!$G:$G,"Doktora Tezi",Başvuru!$F:$F,"&lt;&gt;"&amp;""))</f>
        <v>0</v>
      </c>
      <c r="I10" s="252">
        <f>IF(C10="","",COUNTIFS(Başvuru!$C:$C,C10,Başvuru!$G:$G,"Yüksek Lisans Tezi",Başvuru!$F:$F,"&lt;&gt;"&amp;""))</f>
        <v>0</v>
      </c>
      <c r="J10" s="253">
        <f>IF(C10="","",COUNTIFS(Başvuru!$C:$C,C10,Başvuru!$L:$L,"ONAY",Başvuru!$F:$F,"&lt;&gt;"&amp;""))</f>
        <v>4</v>
      </c>
      <c r="K10" s="254">
        <f>IF(C10="","",COUNTIFS(Başvuru!$C:$C,C10,Başvuru!$L:$L,"DÜZELTME",Başvuru!$F:$F,"&lt;&gt;"&amp;""))</f>
        <v>2</v>
      </c>
      <c r="L10" s="255">
        <f>IF(C10="","",COUNTIFS(Başvuru!$C:$C,C10,Başvuru!$L:$L,"KAEK",Başvuru!$F:$F,"&lt;&gt;"&amp;""))</f>
        <v>0</v>
      </c>
      <c r="M10" s="256">
        <f>IF(C10="","",COUNTIFS(Başvuru!$C:$C,C10,Başvuru!$L:$L,"GÖRÜŞ",Başvuru!$F:$F,"&lt;&gt;"&amp;""))</f>
        <v>0</v>
      </c>
      <c r="N10" s="257">
        <f>IF(C10="","",COUNTIFS(Başvuru!$C:$C,C10,Başvuru!$L:$L,"RET",Başvuru!$F:$F,"&lt;&gt;"&amp;""))</f>
        <v>1</v>
      </c>
      <c r="O10" s="258">
        <f>IF(C10="","",COUNTIFS(Başvuru!$C:$C,C10,Başvuru!$L:$L,"KAPSAM DIŞI",Başvuru!$F:$F,"&lt;&gt;"&amp;""))</f>
        <v>0</v>
      </c>
      <c r="P10" s="259">
        <f>IF(C10="","",COUNTIFS(Başvuru!$C:$C,C10,Başvuru!$L:$L,"GERİ ÇEKİLDİ",Başvuru!$F:$F,"&lt;&gt;"&amp;""))</f>
        <v>0</v>
      </c>
      <c r="Q10" s="260" t="s">
        <v>1499</v>
      </c>
      <c r="R10" s="261">
        <f>COUNTIFS(Başvuru!$C:$C,Q10,Başvuru!$F:$F,"&lt;&gt;"&amp;"")</f>
        <v>1</v>
      </c>
      <c r="S10" s="261">
        <f>RANK(R10,$R$6:$R$290,0)+COUNTIF($R$6:R10,R10)-1</f>
        <v>122</v>
      </c>
    </row>
    <row r="11" spans="2:19" ht="15" customHeight="1" x14ac:dyDescent="0.25">
      <c r="B11" s="262">
        <v>6</v>
      </c>
      <c r="C11" s="263" t="str">
        <f>IFERROR(INDEX($Q$6:$Q$290,MATCH(6,$S$6:$S$290,0)),"")</f>
        <v>Prof. Dr. Mehmet AYVAZ</v>
      </c>
      <c r="D11" s="264">
        <f>IF(C11="","",COUNTIFS(Başvuru!$C:$C,C11,Başvuru!$F:$F,"&lt;&gt;"&amp;""))</f>
        <v>8</v>
      </c>
      <c r="E11" s="262" t="str">
        <f>IF(D11&gt;0,TEXT(D11/COUNTIF(Başvuru!$F:$F,"&lt;&gt;"&amp;"")*100,"0.0")&amp;"%","-")</f>
        <v>00%</v>
      </c>
      <c r="F11" s="265">
        <f>IF(C11="","",COUNTIFS(Başvuru!$C:$C,C11,Başvuru!$G:$G,"Bireysel Araştırma",Başvuru!$F:$F,"&lt;&gt;"&amp;""))</f>
        <v>8</v>
      </c>
      <c r="G11" s="265">
        <f>IF(C11="","",COUNTIFS(Başvuru!$C:$C,C11,Başvuru!$G:$G,"Uzmanlık Tezi",Başvuru!$F:$F,"&lt;&gt;"&amp;""))</f>
        <v>0</v>
      </c>
      <c r="H11" s="265">
        <f>IF(C11="","",COUNTIFS(Başvuru!$C:$C,C11,Başvuru!$G:$G,"Doktora Tezi",Başvuru!$F:$F,"&lt;&gt;"&amp;""))</f>
        <v>0</v>
      </c>
      <c r="I11" s="265">
        <f>IF(C11="","",COUNTIFS(Başvuru!$C:$C,C11,Başvuru!$G:$G,"Yüksek Lisans Tezi",Başvuru!$F:$F,"&lt;&gt;"&amp;""))</f>
        <v>0</v>
      </c>
      <c r="J11" s="266">
        <f>IF(C11="","",COUNTIFS(Başvuru!$C:$C,C11,Başvuru!$L:$L,"ONAY",Başvuru!$F:$F,"&lt;&gt;"&amp;""))</f>
        <v>3</v>
      </c>
      <c r="K11" s="267">
        <f>IF(C11="","",COUNTIFS(Başvuru!$C:$C,C11,Başvuru!$L:$L,"DÜZELTME",Başvuru!$F:$F,"&lt;&gt;"&amp;""))</f>
        <v>4</v>
      </c>
      <c r="L11" s="268">
        <f>IF(C11="","",COUNTIFS(Başvuru!$C:$C,C11,Başvuru!$L:$L,"KAEK",Başvuru!$F:$F,"&lt;&gt;"&amp;""))</f>
        <v>0</v>
      </c>
      <c r="M11" s="269">
        <f>IF(C11="","",COUNTIFS(Başvuru!$C:$C,C11,Başvuru!$L:$L,"GÖRÜŞ",Başvuru!$F:$F,"&lt;&gt;"&amp;""))</f>
        <v>0</v>
      </c>
      <c r="N11" s="270">
        <f>IF(C11="","",COUNTIFS(Başvuru!$C:$C,C11,Başvuru!$L:$L,"RET",Başvuru!$F:$F,"&lt;&gt;"&amp;""))</f>
        <v>0</v>
      </c>
      <c r="O11" s="271">
        <f>IF(C11="","",COUNTIFS(Başvuru!$C:$C,C11,Başvuru!$L:$L,"KAPSAM DIŞI",Başvuru!$F:$F,"&lt;&gt;"&amp;""))</f>
        <v>1</v>
      </c>
      <c r="P11" s="272">
        <f>IF(C11="","",COUNTIFS(Başvuru!$C:$C,C11,Başvuru!$L:$L,"GERİ ÇEKİLDİ",Başvuru!$F:$F,"&lt;&gt;"&amp;""))</f>
        <v>0</v>
      </c>
      <c r="Q11" s="260" t="s">
        <v>2133</v>
      </c>
      <c r="R11" s="261">
        <f>COUNTIFS(Başvuru!$C:$C,Q11,Başvuru!$F:$F,"&lt;&gt;"&amp;"")</f>
        <v>1</v>
      </c>
      <c r="S11" s="261">
        <f>RANK(R11,$R$6:$R$290,0)+COUNTIF($R$6:R11,R11)-1</f>
        <v>123</v>
      </c>
    </row>
    <row r="12" spans="2:19" ht="15" customHeight="1" x14ac:dyDescent="0.25">
      <c r="B12" s="249">
        <v>7</v>
      </c>
      <c r="C12" s="250" t="str">
        <f>IFERROR(INDEX($Q$6:$Q$290,MATCH(7,$S$6:$S$290,0)),"")</f>
        <v>Doç. Dr. Utku AKGÖR</v>
      </c>
      <c r="D12" s="251">
        <f>IF(C12="","",COUNTIFS(Başvuru!$C:$C,C12,Başvuru!$F:$F,"&lt;&gt;"&amp;""))</f>
        <v>7</v>
      </c>
      <c r="E12" s="249" t="str">
        <f>IF(D12&gt;0,TEXT(D12/COUNTIF(Başvuru!$F:$F,"&lt;&gt;"&amp;"")*100,"0.0")&amp;"%","-")</f>
        <v>00%</v>
      </c>
      <c r="F12" s="252">
        <f>IF(C12="","",COUNTIFS(Başvuru!$C:$C,C12,Başvuru!$G:$G,"Bireysel Araştırma",Başvuru!$F:$F,"&lt;&gt;"&amp;""))</f>
        <v>6</v>
      </c>
      <c r="G12" s="252">
        <f>IF(C12="","",COUNTIFS(Başvuru!$C:$C,C12,Başvuru!$G:$G,"Uzmanlık Tezi",Başvuru!$F:$F,"&lt;&gt;"&amp;""))</f>
        <v>1</v>
      </c>
      <c r="H12" s="252">
        <f>IF(C12="","",COUNTIFS(Başvuru!$C:$C,C12,Başvuru!$G:$G,"Doktora Tezi",Başvuru!$F:$F,"&lt;&gt;"&amp;""))</f>
        <v>0</v>
      </c>
      <c r="I12" s="252">
        <f>IF(C12="","",COUNTIFS(Başvuru!$C:$C,C12,Başvuru!$G:$G,"Yüksek Lisans Tezi",Başvuru!$F:$F,"&lt;&gt;"&amp;""))</f>
        <v>0</v>
      </c>
      <c r="J12" s="253">
        <f>IF(C12="","",COUNTIFS(Başvuru!$C:$C,C12,Başvuru!$L:$L,"ONAY",Başvuru!$F:$F,"&lt;&gt;"&amp;""))</f>
        <v>4</v>
      </c>
      <c r="K12" s="254">
        <f>IF(C12="","",COUNTIFS(Başvuru!$C:$C,C12,Başvuru!$L:$L,"DÜZELTME",Başvuru!$F:$F,"&lt;&gt;"&amp;""))</f>
        <v>2</v>
      </c>
      <c r="L12" s="255">
        <f>IF(C12="","",COUNTIFS(Başvuru!$C:$C,C12,Başvuru!$L:$L,"KAEK",Başvuru!$F:$F,"&lt;&gt;"&amp;""))</f>
        <v>0</v>
      </c>
      <c r="M12" s="256">
        <f>IF(C12="","",COUNTIFS(Başvuru!$C:$C,C12,Başvuru!$L:$L,"GÖRÜŞ",Başvuru!$F:$F,"&lt;&gt;"&amp;""))</f>
        <v>0</v>
      </c>
      <c r="N12" s="257">
        <f>IF(C12="","",COUNTIFS(Başvuru!$C:$C,C12,Başvuru!$L:$L,"RET",Başvuru!$F:$F,"&lt;&gt;"&amp;""))</f>
        <v>1</v>
      </c>
      <c r="O12" s="258">
        <f>IF(C12="","",COUNTIFS(Başvuru!$C:$C,C12,Başvuru!$L:$L,"KAPSAM DIŞI",Başvuru!$F:$F,"&lt;&gt;"&amp;""))</f>
        <v>0</v>
      </c>
      <c r="P12" s="259">
        <f>IF(C12="","",COUNTIFS(Başvuru!$C:$C,C12,Başvuru!$L:$L,"GERİ ÇEKİLDİ",Başvuru!$F:$F,"&lt;&gt;"&amp;""))</f>
        <v>0</v>
      </c>
      <c r="Q12" s="260" t="s">
        <v>1056</v>
      </c>
      <c r="R12" s="261">
        <f>COUNTIFS(Başvuru!$C:$C,Q12,Başvuru!$F:$F,"&lt;&gt;"&amp;"")</f>
        <v>2</v>
      </c>
      <c r="S12" s="261">
        <f>RANK(R12,$R$6:$R$290,0)+COUNTIF($R$6:R12,R12)-1</f>
        <v>61</v>
      </c>
    </row>
    <row r="13" spans="2:19" ht="15" customHeight="1" x14ac:dyDescent="0.25">
      <c r="B13" s="262">
        <v>8</v>
      </c>
      <c r="C13" s="263" t="str">
        <f>IFERROR(INDEX($Q$6:$Q$290,MATCH(8,$S$6:$S$290,0)),"")</f>
        <v>Prof. Dr. Burcu Balam DOĞU</v>
      </c>
      <c r="D13" s="264">
        <f>IF(C13="","",COUNTIFS(Başvuru!$C:$C,C13,Başvuru!$F:$F,"&lt;&gt;"&amp;""))</f>
        <v>7</v>
      </c>
      <c r="E13" s="262" t="str">
        <f>IF(D13&gt;0,TEXT(D13/COUNTIF(Başvuru!$F:$F,"&lt;&gt;"&amp;"")*100,"0.0")&amp;"%","-")</f>
        <v>00%</v>
      </c>
      <c r="F13" s="265">
        <f>IF(C13="","",COUNTIFS(Başvuru!$C:$C,C13,Başvuru!$G:$G,"Bireysel Araştırma",Başvuru!$F:$F,"&lt;&gt;"&amp;""))</f>
        <v>7</v>
      </c>
      <c r="G13" s="265">
        <f>IF(C13="","",COUNTIFS(Başvuru!$C:$C,C13,Başvuru!$G:$G,"Uzmanlık Tezi",Başvuru!$F:$F,"&lt;&gt;"&amp;""))</f>
        <v>0</v>
      </c>
      <c r="H13" s="265">
        <f>IF(C13="","",COUNTIFS(Başvuru!$C:$C,C13,Başvuru!$G:$G,"Doktora Tezi",Başvuru!$F:$F,"&lt;&gt;"&amp;""))</f>
        <v>0</v>
      </c>
      <c r="I13" s="265">
        <f>IF(C13="","",COUNTIFS(Başvuru!$C:$C,C13,Başvuru!$G:$G,"Yüksek Lisans Tezi",Başvuru!$F:$F,"&lt;&gt;"&amp;""))</f>
        <v>0</v>
      </c>
      <c r="J13" s="266">
        <f>IF(C13="","",COUNTIFS(Başvuru!$C:$C,C13,Başvuru!$L:$L,"ONAY",Başvuru!$F:$F,"&lt;&gt;"&amp;""))</f>
        <v>2</v>
      </c>
      <c r="K13" s="267">
        <f>IF(C13="","",COUNTIFS(Başvuru!$C:$C,C13,Başvuru!$L:$L,"DÜZELTME",Başvuru!$F:$F,"&lt;&gt;"&amp;""))</f>
        <v>5</v>
      </c>
      <c r="L13" s="268">
        <f>IF(C13="","",COUNTIFS(Başvuru!$C:$C,C13,Başvuru!$L:$L,"KAEK",Başvuru!$F:$F,"&lt;&gt;"&amp;""))</f>
        <v>0</v>
      </c>
      <c r="M13" s="269">
        <f>IF(C13="","",COUNTIFS(Başvuru!$C:$C,C13,Başvuru!$L:$L,"GÖRÜŞ",Başvuru!$F:$F,"&lt;&gt;"&amp;""))</f>
        <v>0</v>
      </c>
      <c r="N13" s="270">
        <f>IF(C13="","",COUNTIFS(Başvuru!$C:$C,C13,Başvuru!$L:$L,"RET",Başvuru!$F:$F,"&lt;&gt;"&amp;""))</f>
        <v>0</v>
      </c>
      <c r="O13" s="271">
        <f>IF(C13="","",COUNTIFS(Başvuru!$C:$C,C13,Başvuru!$L:$L,"KAPSAM DIŞI",Başvuru!$F:$F,"&lt;&gt;"&amp;""))</f>
        <v>0</v>
      </c>
      <c r="P13" s="272">
        <f>IF(C13="","",COUNTIFS(Başvuru!$C:$C,C13,Başvuru!$L:$L,"GERİ ÇEKİLDİ",Başvuru!$F:$F,"&lt;&gt;"&amp;""))</f>
        <v>0</v>
      </c>
      <c r="Q13" s="260" t="s">
        <v>666</v>
      </c>
      <c r="R13" s="261">
        <f>COUNTIFS(Başvuru!$C:$C,Q13,Başvuru!$F:$F,"&lt;&gt;"&amp;"")</f>
        <v>1</v>
      </c>
      <c r="S13" s="261">
        <f>RANK(R13,$R$6:$R$290,0)+COUNTIF($R$6:R13,R13)-1</f>
        <v>124</v>
      </c>
    </row>
    <row r="14" spans="2:19" ht="15" customHeight="1" x14ac:dyDescent="0.25">
      <c r="B14" s="249">
        <v>9</v>
      </c>
      <c r="C14" s="250" t="str">
        <f>IFERROR(INDEX($Q$6:$Q$290,MATCH(9,$S$6:$S$290,0)),"")</f>
        <v>Prof. Dr. Deniz ÇAĞDAŞ AYVAZ</v>
      </c>
      <c r="D14" s="251">
        <f>IF(C14="","",COUNTIFS(Başvuru!$C:$C,C14,Başvuru!$F:$F,"&lt;&gt;"&amp;""))</f>
        <v>7</v>
      </c>
      <c r="E14" s="249" t="str">
        <f>IF(D14&gt;0,TEXT(D14/COUNTIF(Başvuru!$F:$F,"&lt;&gt;"&amp;"")*100,"0.0")&amp;"%","-")</f>
        <v>00%</v>
      </c>
      <c r="F14" s="252">
        <f>IF(C14="","",COUNTIFS(Başvuru!$C:$C,C14,Başvuru!$G:$G,"Bireysel Araştırma",Başvuru!$F:$F,"&lt;&gt;"&amp;""))</f>
        <v>6</v>
      </c>
      <c r="G14" s="252">
        <f>IF(C14="","",COUNTIFS(Başvuru!$C:$C,C14,Başvuru!$G:$G,"Uzmanlık Tezi",Başvuru!$F:$F,"&lt;&gt;"&amp;""))</f>
        <v>0</v>
      </c>
      <c r="H14" s="252">
        <f>IF(C14="","",COUNTIFS(Başvuru!$C:$C,C14,Başvuru!$G:$G,"Doktora Tezi",Başvuru!$F:$F,"&lt;&gt;"&amp;""))</f>
        <v>0</v>
      </c>
      <c r="I14" s="252">
        <f>IF(C14="","",COUNTIFS(Başvuru!$C:$C,C14,Başvuru!$G:$G,"Yüksek Lisans Tezi",Başvuru!$F:$F,"&lt;&gt;"&amp;""))</f>
        <v>1</v>
      </c>
      <c r="J14" s="253">
        <f>IF(C14="","",COUNTIFS(Başvuru!$C:$C,C14,Başvuru!$L:$L,"ONAY",Başvuru!$F:$F,"&lt;&gt;"&amp;""))</f>
        <v>1</v>
      </c>
      <c r="K14" s="254">
        <f>IF(C14="","",COUNTIFS(Başvuru!$C:$C,C14,Başvuru!$L:$L,"DÜZELTME",Başvuru!$F:$F,"&lt;&gt;"&amp;""))</f>
        <v>4</v>
      </c>
      <c r="L14" s="255">
        <f>IF(C14="","",COUNTIFS(Başvuru!$C:$C,C14,Başvuru!$L:$L,"KAEK",Başvuru!$F:$F,"&lt;&gt;"&amp;""))</f>
        <v>0</v>
      </c>
      <c r="M14" s="256">
        <f>IF(C14="","",COUNTIFS(Başvuru!$C:$C,C14,Başvuru!$L:$L,"GÖRÜŞ",Başvuru!$F:$F,"&lt;&gt;"&amp;""))</f>
        <v>0</v>
      </c>
      <c r="N14" s="257">
        <f>IF(C14="","",COUNTIFS(Başvuru!$C:$C,C14,Başvuru!$L:$L,"RET",Başvuru!$F:$F,"&lt;&gt;"&amp;""))</f>
        <v>0</v>
      </c>
      <c r="O14" s="258">
        <f>IF(C14="","",COUNTIFS(Başvuru!$C:$C,C14,Başvuru!$L:$L,"KAPSAM DIŞI",Başvuru!$F:$F,"&lt;&gt;"&amp;""))</f>
        <v>0</v>
      </c>
      <c r="P14" s="259">
        <f>IF(C14="","",COUNTIFS(Başvuru!$C:$C,C14,Başvuru!$L:$L,"GERİ ÇEKİLDİ",Başvuru!$F:$F,"&lt;&gt;"&amp;""))</f>
        <v>0</v>
      </c>
      <c r="Q14" s="260" t="s">
        <v>1125</v>
      </c>
      <c r="R14" s="261">
        <f>COUNTIFS(Başvuru!$C:$C,Q14,Başvuru!$F:$F,"&lt;&gt;"&amp;"")</f>
        <v>2</v>
      </c>
      <c r="S14" s="261">
        <f>RANK(R14,$R$6:$R$290,0)+COUNTIF($R$6:R14,R14)-1</f>
        <v>62</v>
      </c>
    </row>
    <row r="15" spans="2:19" ht="15" customHeight="1" x14ac:dyDescent="0.25">
      <c r="B15" s="262">
        <v>10</v>
      </c>
      <c r="C15" s="263" t="str">
        <f>IFERROR(INDEX($Q$6:$Q$290,MATCH(10,$S$6:$S$290,0)),"")</f>
        <v>Prof. Dr. Mustafa CANKURTARAN</v>
      </c>
      <c r="D15" s="264">
        <f>IF(C15="","",COUNTIFS(Başvuru!$C:$C,C15,Başvuru!$F:$F,"&lt;&gt;"&amp;""))</f>
        <v>7</v>
      </c>
      <c r="E15" s="262" t="str">
        <f>IF(D15&gt;0,TEXT(D15/COUNTIF(Başvuru!$F:$F,"&lt;&gt;"&amp;"")*100,"0.0")&amp;"%","-")</f>
        <v>00%</v>
      </c>
      <c r="F15" s="265">
        <f>IF(C15="","",COUNTIFS(Başvuru!$C:$C,C15,Başvuru!$G:$G,"Bireysel Araştırma",Başvuru!$F:$F,"&lt;&gt;"&amp;""))</f>
        <v>7</v>
      </c>
      <c r="G15" s="265">
        <f>IF(C15="","",COUNTIFS(Başvuru!$C:$C,C15,Başvuru!$G:$G,"Uzmanlık Tezi",Başvuru!$F:$F,"&lt;&gt;"&amp;""))</f>
        <v>0</v>
      </c>
      <c r="H15" s="265">
        <f>IF(C15="","",COUNTIFS(Başvuru!$C:$C,C15,Başvuru!$G:$G,"Doktora Tezi",Başvuru!$F:$F,"&lt;&gt;"&amp;""))</f>
        <v>0</v>
      </c>
      <c r="I15" s="265">
        <f>IF(C15="","",COUNTIFS(Başvuru!$C:$C,C15,Başvuru!$G:$G,"Yüksek Lisans Tezi",Başvuru!$F:$F,"&lt;&gt;"&amp;""))</f>
        <v>0</v>
      </c>
      <c r="J15" s="266">
        <f>IF(C15="","",COUNTIFS(Başvuru!$C:$C,C15,Başvuru!$L:$L,"ONAY",Başvuru!$F:$F,"&lt;&gt;"&amp;""))</f>
        <v>1</v>
      </c>
      <c r="K15" s="267">
        <f>IF(C15="","",COUNTIFS(Başvuru!$C:$C,C15,Başvuru!$L:$L,"DÜZELTME",Başvuru!$F:$F,"&lt;&gt;"&amp;""))</f>
        <v>1</v>
      </c>
      <c r="L15" s="268">
        <f>IF(C15="","",COUNTIFS(Başvuru!$C:$C,C15,Başvuru!$L:$L,"KAEK",Başvuru!$F:$F,"&lt;&gt;"&amp;""))</f>
        <v>0</v>
      </c>
      <c r="M15" s="269">
        <f>IF(C15="","",COUNTIFS(Başvuru!$C:$C,C15,Başvuru!$L:$L,"GÖRÜŞ",Başvuru!$F:$F,"&lt;&gt;"&amp;""))</f>
        <v>0</v>
      </c>
      <c r="N15" s="270">
        <f>IF(C15="","",COUNTIFS(Başvuru!$C:$C,C15,Başvuru!$L:$L,"RET",Başvuru!$F:$F,"&lt;&gt;"&amp;""))</f>
        <v>0</v>
      </c>
      <c r="O15" s="271">
        <f>IF(C15="","",COUNTIFS(Başvuru!$C:$C,C15,Başvuru!$L:$L,"KAPSAM DIŞI",Başvuru!$F:$F,"&lt;&gt;"&amp;""))</f>
        <v>3</v>
      </c>
      <c r="P15" s="272">
        <f>IF(C15="","",COUNTIFS(Başvuru!$C:$C,C15,Başvuru!$L:$L,"GERİ ÇEKİLDİ",Başvuru!$F:$F,"&lt;&gt;"&amp;""))</f>
        <v>0</v>
      </c>
      <c r="Q15" s="260" t="s">
        <v>2230</v>
      </c>
      <c r="R15" s="261">
        <f>COUNTIFS(Başvuru!$C:$C,Q15,Başvuru!$F:$F,"&lt;&gt;"&amp;"")</f>
        <v>4</v>
      </c>
      <c r="S15" s="261">
        <f>RANK(R15,$R$6:$R$290,0)+COUNTIF($R$6:R15,R15)-1</f>
        <v>22</v>
      </c>
    </row>
    <row r="16" spans="2:19" ht="15" customHeight="1" x14ac:dyDescent="0.25">
      <c r="B16" s="249">
        <v>11</v>
      </c>
      <c r="C16" s="250" t="str">
        <f>IFERROR(INDEX($Q$6:$Q$290,MATCH(11,$S$6:$S$290,0)),"")</f>
        <v>Prof. Dr. Taylan KAV</v>
      </c>
      <c r="D16" s="251">
        <f>IF(C16="","",COUNTIFS(Başvuru!$C:$C,C16,Başvuru!$F:$F,"&lt;&gt;"&amp;""))</f>
        <v>7</v>
      </c>
      <c r="E16" s="249" t="str">
        <f>IF(D16&gt;0,TEXT(D16/COUNTIF(Başvuru!$F:$F,"&lt;&gt;"&amp;"")*100,"0.0")&amp;"%","-")</f>
        <v>00%</v>
      </c>
      <c r="F16" s="252">
        <f>IF(C16="","",COUNTIFS(Başvuru!$C:$C,C16,Başvuru!$G:$G,"Bireysel Araştırma",Başvuru!$F:$F,"&lt;&gt;"&amp;""))</f>
        <v>6</v>
      </c>
      <c r="G16" s="252">
        <f>IF(C16="","",COUNTIFS(Başvuru!$C:$C,C16,Başvuru!$G:$G,"Uzmanlık Tezi",Başvuru!$F:$F,"&lt;&gt;"&amp;""))</f>
        <v>1</v>
      </c>
      <c r="H16" s="252">
        <f>IF(C16="","",COUNTIFS(Başvuru!$C:$C,C16,Başvuru!$G:$G,"Doktora Tezi",Başvuru!$F:$F,"&lt;&gt;"&amp;""))</f>
        <v>0</v>
      </c>
      <c r="I16" s="252">
        <f>IF(C16="","",COUNTIFS(Başvuru!$C:$C,C16,Başvuru!$G:$G,"Yüksek Lisans Tezi",Başvuru!$F:$F,"&lt;&gt;"&amp;""))</f>
        <v>0</v>
      </c>
      <c r="J16" s="253">
        <f>IF(C16="","",COUNTIFS(Başvuru!$C:$C,C16,Başvuru!$L:$L,"ONAY",Başvuru!$F:$F,"&lt;&gt;"&amp;""))</f>
        <v>3</v>
      </c>
      <c r="K16" s="254">
        <f>IF(C16="","",COUNTIFS(Başvuru!$C:$C,C16,Başvuru!$L:$L,"DÜZELTME",Başvuru!$F:$F,"&lt;&gt;"&amp;""))</f>
        <v>3</v>
      </c>
      <c r="L16" s="255">
        <f>IF(C16="","",COUNTIFS(Başvuru!$C:$C,C16,Başvuru!$L:$L,"KAEK",Başvuru!$F:$F,"&lt;&gt;"&amp;""))</f>
        <v>0</v>
      </c>
      <c r="M16" s="256">
        <f>IF(C16="","",COUNTIFS(Başvuru!$C:$C,C16,Başvuru!$L:$L,"GÖRÜŞ",Başvuru!$F:$F,"&lt;&gt;"&amp;""))</f>
        <v>0</v>
      </c>
      <c r="N16" s="257">
        <f>IF(C16="","",COUNTIFS(Başvuru!$C:$C,C16,Başvuru!$L:$L,"RET",Başvuru!$F:$F,"&lt;&gt;"&amp;""))</f>
        <v>0</v>
      </c>
      <c r="O16" s="258">
        <f>IF(C16="","",COUNTIFS(Başvuru!$C:$C,C16,Başvuru!$L:$L,"KAPSAM DIŞI",Başvuru!$F:$F,"&lt;&gt;"&amp;""))</f>
        <v>0</v>
      </c>
      <c r="P16" s="259">
        <f>IF(C16="","",COUNTIFS(Başvuru!$C:$C,C16,Başvuru!$L:$L,"GERİ ÇEKİLDİ",Başvuru!$F:$F,"&lt;&gt;"&amp;""))</f>
        <v>0</v>
      </c>
      <c r="Q16" s="260" t="s">
        <v>900</v>
      </c>
      <c r="R16" s="261">
        <f>COUNTIFS(Başvuru!$C:$C,Q16,Başvuru!$F:$F,"&lt;&gt;"&amp;"")</f>
        <v>1</v>
      </c>
      <c r="S16" s="261">
        <f>RANK(R16,$R$6:$R$290,0)+COUNTIF($R$6:R16,R16)-1</f>
        <v>125</v>
      </c>
    </row>
    <row r="17" spans="2:19" ht="15" customHeight="1" x14ac:dyDescent="0.25">
      <c r="B17" s="262">
        <v>12</v>
      </c>
      <c r="C17" s="263" t="str">
        <f>IFERROR(INDEX($Q$6:$Q$290,MATCH(12,$S$6:$S$290,0)),"")</f>
        <v>Doç. Dr. Cafer BALCI</v>
      </c>
      <c r="D17" s="264">
        <f>IF(C17="","",COUNTIFS(Başvuru!$C:$C,C17,Başvuru!$F:$F,"&lt;&gt;"&amp;""))</f>
        <v>6</v>
      </c>
      <c r="E17" s="262" t="str">
        <f>IF(D17&gt;0,TEXT(D17/COUNTIF(Başvuru!$F:$F,"&lt;&gt;"&amp;"")*100,"0.0")&amp;"%","-")</f>
        <v>00%</v>
      </c>
      <c r="F17" s="265">
        <f>IF(C17="","",COUNTIFS(Başvuru!$C:$C,C17,Başvuru!$G:$G,"Bireysel Araştırma",Başvuru!$F:$F,"&lt;&gt;"&amp;""))</f>
        <v>6</v>
      </c>
      <c r="G17" s="265">
        <f>IF(C17="","",COUNTIFS(Başvuru!$C:$C,C17,Başvuru!$G:$G,"Uzmanlık Tezi",Başvuru!$F:$F,"&lt;&gt;"&amp;""))</f>
        <v>0</v>
      </c>
      <c r="H17" s="265">
        <f>IF(C17="","",COUNTIFS(Başvuru!$C:$C,C17,Başvuru!$G:$G,"Doktora Tezi",Başvuru!$F:$F,"&lt;&gt;"&amp;""))</f>
        <v>0</v>
      </c>
      <c r="I17" s="265">
        <f>IF(C17="","",COUNTIFS(Başvuru!$C:$C,C17,Başvuru!$G:$G,"Yüksek Lisans Tezi",Başvuru!$F:$F,"&lt;&gt;"&amp;""))</f>
        <v>0</v>
      </c>
      <c r="J17" s="266">
        <f>IF(C17="","",COUNTIFS(Başvuru!$C:$C,C17,Başvuru!$L:$L,"ONAY",Başvuru!$F:$F,"&lt;&gt;"&amp;""))</f>
        <v>2</v>
      </c>
      <c r="K17" s="267">
        <f>IF(C17="","",COUNTIFS(Başvuru!$C:$C,C17,Başvuru!$L:$L,"DÜZELTME",Başvuru!$F:$F,"&lt;&gt;"&amp;""))</f>
        <v>1</v>
      </c>
      <c r="L17" s="268">
        <f>IF(C17="","",COUNTIFS(Başvuru!$C:$C,C17,Başvuru!$L:$L,"KAEK",Başvuru!$F:$F,"&lt;&gt;"&amp;""))</f>
        <v>0</v>
      </c>
      <c r="M17" s="269">
        <f>IF(C17="","",COUNTIFS(Başvuru!$C:$C,C17,Başvuru!$L:$L,"GÖRÜŞ",Başvuru!$F:$F,"&lt;&gt;"&amp;""))</f>
        <v>1</v>
      </c>
      <c r="N17" s="270">
        <f>IF(C17="","",COUNTIFS(Başvuru!$C:$C,C17,Başvuru!$L:$L,"RET",Başvuru!$F:$F,"&lt;&gt;"&amp;""))</f>
        <v>0</v>
      </c>
      <c r="O17" s="271">
        <f>IF(C17="","",COUNTIFS(Başvuru!$C:$C,C17,Başvuru!$L:$L,"KAPSAM DIŞI",Başvuru!$F:$F,"&lt;&gt;"&amp;""))</f>
        <v>0</v>
      </c>
      <c r="P17" s="272">
        <f>IF(C17="","",COUNTIFS(Başvuru!$C:$C,C17,Başvuru!$L:$L,"GERİ ÇEKİLDİ",Başvuru!$F:$F,"&lt;&gt;"&amp;""))</f>
        <v>0</v>
      </c>
      <c r="Q17" s="260" t="s">
        <v>611</v>
      </c>
      <c r="R17" s="261">
        <f>COUNTIFS(Başvuru!$C:$C,Q17,Başvuru!$F:$F,"&lt;&gt;"&amp;"")</f>
        <v>2</v>
      </c>
      <c r="S17" s="261">
        <f>RANK(R17,$R$6:$R$290,0)+COUNTIF($R$6:R17,R17)-1</f>
        <v>63</v>
      </c>
    </row>
    <row r="18" spans="2:19" ht="15" customHeight="1" x14ac:dyDescent="0.25">
      <c r="B18" s="249">
        <v>13</v>
      </c>
      <c r="C18" s="250" t="str">
        <f>IFERROR(INDEX($Q$6:$Q$290,MATCH(13,$S$6:$S$290,0)),"")</f>
        <v>Doç. Dr. Cem ÇÖTELİ</v>
      </c>
      <c r="D18" s="251">
        <f>IF(C18="","",COUNTIFS(Başvuru!$C:$C,C18,Başvuru!$F:$F,"&lt;&gt;"&amp;""))</f>
        <v>6</v>
      </c>
      <c r="E18" s="249" t="str">
        <f>IF(D18&gt;0,TEXT(D18/COUNTIF(Başvuru!$F:$F,"&lt;&gt;"&amp;"")*100,"0.0")&amp;"%","-")</f>
        <v>00%</v>
      </c>
      <c r="F18" s="252">
        <f>IF(C18="","",COUNTIFS(Başvuru!$C:$C,C18,Başvuru!$G:$G,"Bireysel Araştırma",Başvuru!$F:$F,"&lt;&gt;"&amp;""))</f>
        <v>6</v>
      </c>
      <c r="G18" s="252">
        <f>IF(C18="","",COUNTIFS(Başvuru!$C:$C,C18,Başvuru!$G:$G,"Uzmanlık Tezi",Başvuru!$F:$F,"&lt;&gt;"&amp;""))</f>
        <v>0</v>
      </c>
      <c r="H18" s="252">
        <f>IF(C18="","",COUNTIFS(Başvuru!$C:$C,C18,Başvuru!$G:$G,"Doktora Tezi",Başvuru!$F:$F,"&lt;&gt;"&amp;""))</f>
        <v>0</v>
      </c>
      <c r="I18" s="252">
        <f>IF(C18="","",COUNTIFS(Başvuru!$C:$C,C18,Başvuru!$G:$G,"Yüksek Lisans Tezi",Başvuru!$F:$F,"&lt;&gt;"&amp;""))</f>
        <v>0</v>
      </c>
      <c r="J18" s="253">
        <f>IF(C18="","",COUNTIFS(Başvuru!$C:$C,C18,Başvuru!$L:$L,"ONAY",Başvuru!$F:$F,"&lt;&gt;"&amp;""))</f>
        <v>2</v>
      </c>
      <c r="K18" s="254">
        <f>IF(C18="","",COUNTIFS(Başvuru!$C:$C,C18,Başvuru!$L:$L,"DÜZELTME",Başvuru!$F:$F,"&lt;&gt;"&amp;""))</f>
        <v>1</v>
      </c>
      <c r="L18" s="255">
        <f>IF(C18="","",COUNTIFS(Başvuru!$C:$C,C18,Başvuru!$L:$L,"KAEK",Başvuru!$F:$F,"&lt;&gt;"&amp;""))</f>
        <v>0</v>
      </c>
      <c r="M18" s="256">
        <f>IF(C18="","",COUNTIFS(Başvuru!$C:$C,C18,Başvuru!$L:$L,"GÖRÜŞ",Başvuru!$F:$F,"&lt;&gt;"&amp;""))</f>
        <v>0</v>
      </c>
      <c r="N18" s="257">
        <f>IF(C18="","",COUNTIFS(Başvuru!$C:$C,C18,Başvuru!$L:$L,"RET",Başvuru!$F:$F,"&lt;&gt;"&amp;""))</f>
        <v>0</v>
      </c>
      <c r="O18" s="258">
        <f>IF(C18="","",COUNTIFS(Başvuru!$C:$C,C18,Başvuru!$L:$L,"KAPSAM DIŞI",Başvuru!$F:$F,"&lt;&gt;"&amp;""))</f>
        <v>0</v>
      </c>
      <c r="P18" s="259">
        <f>IF(C18="","",COUNTIFS(Başvuru!$C:$C,C18,Başvuru!$L:$L,"GERİ ÇEKİLDİ",Başvuru!$F:$F,"&lt;&gt;"&amp;""))</f>
        <v>0</v>
      </c>
      <c r="Q18" s="260" t="s">
        <v>114</v>
      </c>
      <c r="R18" s="261">
        <f>COUNTIFS(Başvuru!$C:$C,Q18,Başvuru!$F:$F,"&lt;&gt;"&amp;"")</f>
        <v>1</v>
      </c>
      <c r="S18" s="261">
        <f>RANK(R18,$R$6:$R$290,0)+COUNTIF($R$6:R18,R18)-1</f>
        <v>126</v>
      </c>
    </row>
    <row r="19" spans="2:19" ht="15" customHeight="1" x14ac:dyDescent="0.25">
      <c r="B19" s="262">
        <v>14</v>
      </c>
      <c r="C19" s="263" t="str">
        <f>IFERROR(INDEX($Q$6:$Q$290,MATCH(14,$S$6:$S$290,0)),"")</f>
        <v>Doç. Dr. Süleyman Nahit ŞENDUR</v>
      </c>
      <c r="D19" s="264">
        <f>IF(C19="","",COUNTIFS(Başvuru!$C:$C,C19,Başvuru!$F:$F,"&lt;&gt;"&amp;""))</f>
        <v>6</v>
      </c>
      <c r="E19" s="262" t="str">
        <f>IF(D19&gt;0,TEXT(D19/COUNTIF(Başvuru!$F:$F,"&lt;&gt;"&amp;"")*100,"0.0")&amp;"%","-")</f>
        <v>00%</v>
      </c>
      <c r="F19" s="265">
        <f>IF(C19="","",COUNTIFS(Başvuru!$C:$C,C19,Başvuru!$G:$G,"Bireysel Araştırma",Başvuru!$F:$F,"&lt;&gt;"&amp;""))</f>
        <v>5</v>
      </c>
      <c r="G19" s="265">
        <f>IF(C19="","",COUNTIFS(Başvuru!$C:$C,C19,Başvuru!$G:$G,"Uzmanlık Tezi",Başvuru!$F:$F,"&lt;&gt;"&amp;""))</f>
        <v>1</v>
      </c>
      <c r="H19" s="265">
        <f>IF(C19="","",COUNTIFS(Başvuru!$C:$C,C19,Başvuru!$G:$G,"Doktora Tezi",Başvuru!$F:$F,"&lt;&gt;"&amp;""))</f>
        <v>0</v>
      </c>
      <c r="I19" s="265">
        <f>IF(C19="","",COUNTIFS(Başvuru!$C:$C,C19,Başvuru!$G:$G,"Yüksek Lisans Tezi",Başvuru!$F:$F,"&lt;&gt;"&amp;""))</f>
        <v>0</v>
      </c>
      <c r="J19" s="266">
        <f>IF(C19="","",COUNTIFS(Başvuru!$C:$C,C19,Başvuru!$L:$L,"ONAY",Başvuru!$F:$F,"&lt;&gt;"&amp;""))</f>
        <v>4</v>
      </c>
      <c r="K19" s="267">
        <f>IF(C19="","",COUNTIFS(Başvuru!$C:$C,C19,Başvuru!$L:$L,"DÜZELTME",Başvuru!$F:$F,"&lt;&gt;"&amp;""))</f>
        <v>0</v>
      </c>
      <c r="L19" s="268">
        <f>IF(C19="","",COUNTIFS(Başvuru!$C:$C,C19,Başvuru!$L:$L,"KAEK",Başvuru!$F:$F,"&lt;&gt;"&amp;""))</f>
        <v>0</v>
      </c>
      <c r="M19" s="269">
        <f>IF(C19="","",COUNTIFS(Başvuru!$C:$C,C19,Başvuru!$L:$L,"GÖRÜŞ",Başvuru!$F:$F,"&lt;&gt;"&amp;""))</f>
        <v>0</v>
      </c>
      <c r="N19" s="270">
        <f>IF(C19="","",COUNTIFS(Başvuru!$C:$C,C19,Başvuru!$L:$L,"RET",Başvuru!$F:$F,"&lt;&gt;"&amp;""))</f>
        <v>0</v>
      </c>
      <c r="O19" s="271">
        <f>IF(C19="","",COUNTIFS(Başvuru!$C:$C,C19,Başvuru!$L:$L,"KAPSAM DIŞI",Başvuru!$F:$F,"&lt;&gt;"&amp;""))</f>
        <v>0</v>
      </c>
      <c r="P19" s="272">
        <f>IF(C19="","",COUNTIFS(Başvuru!$C:$C,C19,Başvuru!$L:$L,"GERİ ÇEKİLDİ",Başvuru!$F:$F,"&lt;&gt;"&amp;""))</f>
        <v>0</v>
      </c>
      <c r="Q19" s="260" t="s">
        <v>2154</v>
      </c>
      <c r="R19" s="261">
        <f>COUNTIFS(Başvuru!$C:$C,Q19,Başvuru!$F:$F,"&lt;&gt;"&amp;"")</f>
        <v>1</v>
      </c>
      <c r="S19" s="261">
        <f>RANK(R19,$R$6:$R$290,0)+COUNTIF($R$6:R19,R19)-1</f>
        <v>127</v>
      </c>
    </row>
    <row r="20" spans="2:19" ht="15" customHeight="1" x14ac:dyDescent="0.25">
      <c r="B20" s="249">
        <v>15</v>
      </c>
      <c r="C20" s="250" t="str">
        <f>IFERROR(INDEX($Q$6:$Q$290,MATCH(15,$S$6:$S$290,0)),"")</f>
        <v>Prof. Dr. Neşe DERİCİOĞLU</v>
      </c>
      <c r="D20" s="251">
        <f>IF(C20="","",COUNTIFS(Başvuru!$C:$C,C20,Başvuru!$F:$F,"&lt;&gt;"&amp;""))</f>
        <v>6</v>
      </c>
      <c r="E20" s="249" t="str">
        <f>IF(D20&gt;0,TEXT(D20/COUNTIF(Başvuru!$F:$F,"&lt;&gt;"&amp;"")*100,"0.0")&amp;"%","-")</f>
        <v>00%</v>
      </c>
      <c r="F20" s="252">
        <f>IF(C20="","",COUNTIFS(Başvuru!$C:$C,C20,Başvuru!$G:$G,"Bireysel Araştırma",Başvuru!$F:$F,"&lt;&gt;"&amp;""))</f>
        <v>6</v>
      </c>
      <c r="G20" s="252">
        <f>IF(C20="","",COUNTIFS(Başvuru!$C:$C,C20,Başvuru!$G:$G,"Uzmanlık Tezi",Başvuru!$F:$F,"&lt;&gt;"&amp;""))</f>
        <v>0</v>
      </c>
      <c r="H20" s="252">
        <f>IF(C20="","",COUNTIFS(Başvuru!$C:$C,C20,Başvuru!$G:$G,"Doktora Tezi",Başvuru!$F:$F,"&lt;&gt;"&amp;""))</f>
        <v>0</v>
      </c>
      <c r="I20" s="252">
        <f>IF(C20="","",COUNTIFS(Başvuru!$C:$C,C20,Başvuru!$G:$G,"Yüksek Lisans Tezi",Başvuru!$F:$F,"&lt;&gt;"&amp;""))</f>
        <v>0</v>
      </c>
      <c r="J20" s="253">
        <f>IF(C20="","",COUNTIFS(Başvuru!$C:$C,C20,Başvuru!$L:$L,"ONAY",Başvuru!$F:$F,"&lt;&gt;"&amp;""))</f>
        <v>4</v>
      </c>
      <c r="K20" s="254">
        <f>IF(C20="","",COUNTIFS(Başvuru!$C:$C,C20,Başvuru!$L:$L,"DÜZELTME",Başvuru!$F:$F,"&lt;&gt;"&amp;""))</f>
        <v>1</v>
      </c>
      <c r="L20" s="255">
        <f>IF(C20="","",COUNTIFS(Başvuru!$C:$C,C20,Başvuru!$L:$L,"KAEK",Başvuru!$F:$F,"&lt;&gt;"&amp;""))</f>
        <v>0</v>
      </c>
      <c r="M20" s="256">
        <f>IF(C20="","",COUNTIFS(Başvuru!$C:$C,C20,Başvuru!$L:$L,"GÖRÜŞ",Başvuru!$F:$F,"&lt;&gt;"&amp;""))</f>
        <v>0</v>
      </c>
      <c r="N20" s="257">
        <f>IF(C20="","",COUNTIFS(Başvuru!$C:$C,C20,Başvuru!$L:$L,"RET",Başvuru!$F:$F,"&lt;&gt;"&amp;""))</f>
        <v>0</v>
      </c>
      <c r="O20" s="258">
        <f>IF(C20="","",COUNTIFS(Başvuru!$C:$C,C20,Başvuru!$L:$L,"KAPSAM DIŞI",Başvuru!$F:$F,"&lt;&gt;"&amp;""))</f>
        <v>0</v>
      </c>
      <c r="P20" s="259">
        <f>IF(C20="","",COUNTIFS(Başvuru!$C:$C,C20,Başvuru!$L:$L,"GERİ ÇEKİLDİ",Başvuru!$F:$F,"&lt;&gt;"&amp;""))</f>
        <v>0</v>
      </c>
      <c r="Q20" s="260" t="s">
        <v>2202</v>
      </c>
      <c r="R20" s="261">
        <f>COUNTIFS(Başvuru!$C:$C,Q20,Başvuru!$F:$F,"&lt;&gt;"&amp;"")</f>
        <v>1</v>
      </c>
      <c r="S20" s="261">
        <f>RANK(R20,$R$6:$R$290,0)+COUNTIF($R$6:R20,R20)-1</f>
        <v>128</v>
      </c>
    </row>
    <row r="21" spans="2:19" ht="15" customHeight="1" x14ac:dyDescent="0.25">
      <c r="B21" s="262">
        <v>16</v>
      </c>
      <c r="C21" s="263" t="str">
        <f>IFERROR(INDEX($Q$6:$Q$290,MATCH(16,$S$6:$S$290,0)),"")</f>
        <v>Prof. Dr. Salih Kutay DEMİRKAN</v>
      </c>
      <c r="D21" s="264">
        <f>IF(C21="","",COUNTIFS(Başvuru!$C:$C,C21,Başvuru!$F:$F,"&lt;&gt;"&amp;""))</f>
        <v>6</v>
      </c>
      <c r="E21" s="262" t="str">
        <f>IF(D21&gt;0,TEXT(D21/COUNTIF(Başvuru!$F:$F,"&lt;&gt;"&amp;"")*100,"0.0")&amp;"%","-")</f>
        <v>00%</v>
      </c>
      <c r="F21" s="265">
        <f>IF(C21="","",COUNTIFS(Başvuru!$C:$C,C21,Başvuru!$G:$G,"Bireysel Araştırma",Başvuru!$F:$F,"&lt;&gt;"&amp;""))</f>
        <v>3</v>
      </c>
      <c r="G21" s="265">
        <f>IF(C21="","",COUNTIFS(Başvuru!$C:$C,C21,Başvuru!$G:$G,"Uzmanlık Tezi",Başvuru!$F:$F,"&lt;&gt;"&amp;""))</f>
        <v>0</v>
      </c>
      <c r="H21" s="265">
        <f>IF(C21="","",COUNTIFS(Başvuru!$C:$C,C21,Başvuru!$G:$G,"Doktora Tezi",Başvuru!$F:$F,"&lt;&gt;"&amp;""))</f>
        <v>3</v>
      </c>
      <c r="I21" s="265">
        <f>IF(C21="","",COUNTIFS(Başvuru!$C:$C,C21,Başvuru!$G:$G,"Yüksek Lisans Tezi",Başvuru!$F:$F,"&lt;&gt;"&amp;""))</f>
        <v>0</v>
      </c>
      <c r="J21" s="266">
        <f>IF(C21="","",COUNTIFS(Başvuru!$C:$C,C21,Başvuru!$L:$L,"ONAY",Başvuru!$F:$F,"&lt;&gt;"&amp;""))</f>
        <v>1</v>
      </c>
      <c r="K21" s="267">
        <f>IF(C21="","",COUNTIFS(Başvuru!$C:$C,C21,Başvuru!$L:$L,"DÜZELTME",Başvuru!$F:$F,"&lt;&gt;"&amp;""))</f>
        <v>3</v>
      </c>
      <c r="L21" s="268">
        <f>IF(C21="","",COUNTIFS(Başvuru!$C:$C,C21,Başvuru!$L:$L,"KAEK",Başvuru!$F:$F,"&lt;&gt;"&amp;""))</f>
        <v>0</v>
      </c>
      <c r="M21" s="269">
        <f>IF(C21="","",COUNTIFS(Başvuru!$C:$C,C21,Başvuru!$L:$L,"GÖRÜŞ",Başvuru!$F:$F,"&lt;&gt;"&amp;""))</f>
        <v>1</v>
      </c>
      <c r="N21" s="270">
        <f>IF(C21="","",COUNTIFS(Başvuru!$C:$C,C21,Başvuru!$L:$L,"RET",Başvuru!$F:$F,"&lt;&gt;"&amp;""))</f>
        <v>0</v>
      </c>
      <c r="O21" s="271">
        <f>IF(C21="","",COUNTIFS(Başvuru!$C:$C,C21,Başvuru!$L:$L,"KAPSAM DIŞI",Başvuru!$F:$F,"&lt;&gt;"&amp;""))</f>
        <v>0</v>
      </c>
      <c r="P21" s="272">
        <f>IF(C21="","",COUNTIFS(Başvuru!$C:$C,C21,Başvuru!$L:$L,"GERİ ÇEKİLDİ",Başvuru!$F:$F,"&lt;&gt;"&amp;""))</f>
        <v>0</v>
      </c>
      <c r="Q21" s="260" t="s">
        <v>1003</v>
      </c>
      <c r="R21" s="261">
        <f>COUNTIFS(Başvuru!$C:$C,Q21,Başvuru!$F:$F,"&lt;&gt;"&amp;"")</f>
        <v>1</v>
      </c>
      <c r="S21" s="261">
        <f>RANK(R21,$R$6:$R$290,0)+COUNTIF($R$6:R21,R21)-1</f>
        <v>129</v>
      </c>
    </row>
    <row r="22" spans="2:19" ht="15" customHeight="1" x14ac:dyDescent="0.25">
      <c r="B22" s="249">
        <v>17</v>
      </c>
      <c r="C22" s="250" t="str">
        <f>IFERROR(INDEX($Q$6:$Q$290,MATCH(17,$S$6:$S$290,0)),"")</f>
        <v>Prof. Dr. Tutku SOYER</v>
      </c>
      <c r="D22" s="251">
        <f>IF(C22="","",COUNTIFS(Başvuru!$C:$C,C22,Başvuru!$F:$F,"&lt;&gt;"&amp;""))</f>
        <v>6</v>
      </c>
      <c r="E22" s="249" t="str">
        <f>IF(D22&gt;0,TEXT(D22/COUNTIF(Başvuru!$F:$F,"&lt;&gt;"&amp;"")*100,"0.0")&amp;"%","-")</f>
        <v>00%</v>
      </c>
      <c r="F22" s="252">
        <f>IF(C22="","",COUNTIFS(Başvuru!$C:$C,C22,Başvuru!$G:$G,"Bireysel Araştırma",Başvuru!$F:$F,"&lt;&gt;"&amp;""))</f>
        <v>5</v>
      </c>
      <c r="G22" s="252">
        <f>IF(C22="","",COUNTIFS(Başvuru!$C:$C,C22,Başvuru!$G:$G,"Uzmanlık Tezi",Başvuru!$F:$F,"&lt;&gt;"&amp;""))</f>
        <v>1</v>
      </c>
      <c r="H22" s="252">
        <f>IF(C22="","",COUNTIFS(Başvuru!$C:$C,C22,Başvuru!$G:$G,"Doktora Tezi",Başvuru!$F:$F,"&lt;&gt;"&amp;""))</f>
        <v>0</v>
      </c>
      <c r="I22" s="252">
        <f>IF(C22="","",COUNTIFS(Başvuru!$C:$C,C22,Başvuru!$G:$G,"Yüksek Lisans Tezi",Başvuru!$F:$F,"&lt;&gt;"&amp;""))</f>
        <v>0</v>
      </c>
      <c r="J22" s="253">
        <f>IF(C22="","",COUNTIFS(Başvuru!$C:$C,C22,Başvuru!$L:$L,"ONAY",Başvuru!$F:$F,"&lt;&gt;"&amp;""))</f>
        <v>1</v>
      </c>
      <c r="K22" s="254">
        <f>IF(C22="","",COUNTIFS(Başvuru!$C:$C,C22,Başvuru!$L:$L,"DÜZELTME",Başvuru!$F:$F,"&lt;&gt;"&amp;""))</f>
        <v>3</v>
      </c>
      <c r="L22" s="255">
        <f>IF(C22="","",COUNTIFS(Başvuru!$C:$C,C22,Başvuru!$L:$L,"KAEK",Başvuru!$F:$F,"&lt;&gt;"&amp;""))</f>
        <v>0</v>
      </c>
      <c r="M22" s="256">
        <f>IF(C22="","",COUNTIFS(Başvuru!$C:$C,C22,Başvuru!$L:$L,"GÖRÜŞ",Başvuru!$F:$F,"&lt;&gt;"&amp;""))</f>
        <v>0</v>
      </c>
      <c r="N22" s="257">
        <f>IF(C22="","",COUNTIFS(Başvuru!$C:$C,C22,Başvuru!$L:$L,"RET",Başvuru!$F:$F,"&lt;&gt;"&amp;""))</f>
        <v>0</v>
      </c>
      <c r="O22" s="258">
        <f>IF(C22="","",COUNTIFS(Başvuru!$C:$C,C22,Başvuru!$L:$L,"KAPSAM DIŞI",Başvuru!$F:$F,"&lt;&gt;"&amp;""))</f>
        <v>0</v>
      </c>
      <c r="P22" s="259">
        <f>IF(C22="","",COUNTIFS(Başvuru!$C:$C,C22,Başvuru!$L:$L,"GERİ ÇEKİLDİ",Başvuru!$F:$F,"&lt;&gt;"&amp;""))</f>
        <v>0</v>
      </c>
      <c r="Q22" s="260" t="s">
        <v>1301</v>
      </c>
      <c r="R22" s="261">
        <f>COUNTIFS(Başvuru!$C:$C,Q22,Başvuru!$F:$F,"&lt;&gt;"&amp;"")</f>
        <v>1</v>
      </c>
      <c r="S22" s="261">
        <f>RANK(R22,$R$6:$R$290,0)+COUNTIF($R$6:R22,R22)-1</f>
        <v>130</v>
      </c>
    </row>
    <row r="23" spans="2:19" ht="15" customHeight="1" x14ac:dyDescent="0.25">
      <c r="B23" s="262">
        <v>18</v>
      </c>
      <c r="C23" s="263" t="str">
        <f>IFERROR(INDEX($Q$6:$Q$290,MATCH(18,$S$6:$S$290,0)),"")</f>
        <v>Doç. Dr. Duygu AYHAN BAŞER</v>
      </c>
      <c r="D23" s="264">
        <f>IF(C23="","",COUNTIFS(Başvuru!$C:$C,C23,Başvuru!$F:$F,"&lt;&gt;"&amp;""))</f>
        <v>5</v>
      </c>
      <c r="E23" s="262" t="str">
        <f>IF(D23&gt;0,TEXT(D23/COUNTIF(Başvuru!$F:$F,"&lt;&gt;"&amp;"")*100,"0.0")&amp;"%","-")</f>
        <v>00%</v>
      </c>
      <c r="F23" s="265">
        <f>IF(C23="","",COUNTIFS(Başvuru!$C:$C,C23,Başvuru!$G:$G,"Bireysel Araştırma",Başvuru!$F:$F,"&lt;&gt;"&amp;""))</f>
        <v>4</v>
      </c>
      <c r="G23" s="265">
        <f>IF(C23="","",COUNTIFS(Başvuru!$C:$C,C23,Başvuru!$G:$G,"Uzmanlık Tezi",Başvuru!$F:$F,"&lt;&gt;"&amp;""))</f>
        <v>1</v>
      </c>
      <c r="H23" s="265">
        <f>IF(C23="","",COUNTIFS(Başvuru!$C:$C,C23,Başvuru!$G:$G,"Doktora Tezi",Başvuru!$F:$F,"&lt;&gt;"&amp;""))</f>
        <v>0</v>
      </c>
      <c r="I23" s="265">
        <f>IF(C23="","",COUNTIFS(Başvuru!$C:$C,C23,Başvuru!$G:$G,"Yüksek Lisans Tezi",Başvuru!$F:$F,"&lt;&gt;"&amp;""))</f>
        <v>0</v>
      </c>
      <c r="J23" s="266">
        <f>IF(C23="","",COUNTIFS(Başvuru!$C:$C,C23,Başvuru!$L:$L,"ONAY",Başvuru!$F:$F,"&lt;&gt;"&amp;""))</f>
        <v>2</v>
      </c>
      <c r="K23" s="267">
        <f>IF(C23="","",COUNTIFS(Başvuru!$C:$C,C23,Başvuru!$L:$L,"DÜZELTME",Başvuru!$F:$F,"&lt;&gt;"&amp;""))</f>
        <v>1</v>
      </c>
      <c r="L23" s="268">
        <f>IF(C23="","",COUNTIFS(Başvuru!$C:$C,C23,Başvuru!$L:$L,"KAEK",Başvuru!$F:$F,"&lt;&gt;"&amp;""))</f>
        <v>0</v>
      </c>
      <c r="M23" s="269">
        <f>IF(C23="","",COUNTIFS(Başvuru!$C:$C,C23,Başvuru!$L:$L,"GÖRÜŞ",Başvuru!$F:$F,"&lt;&gt;"&amp;""))</f>
        <v>0</v>
      </c>
      <c r="N23" s="270">
        <f>IF(C23="","",COUNTIFS(Başvuru!$C:$C,C23,Başvuru!$L:$L,"RET",Başvuru!$F:$F,"&lt;&gt;"&amp;""))</f>
        <v>2</v>
      </c>
      <c r="O23" s="271">
        <f>IF(C23="","",COUNTIFS(Başvuru!$C:$C,C23,Başvuru!$L:$L,"KAPSAM DIŞI",Başvuru!$F:$F,"&lt;&gt;"&amp;""))</f>
        <v>0</v>
      </c>
      <c r="P23" s="272">
        <f>IF(C23="","",COUNTIFS(Başvuru!$C:$C,C23,Başvuru!$L:$L,"GERİ ÇEKİLDİ",Başvuru!$F:$F,"&lt;&gt;"&amp;""))</f>
        <v>0</v>
      </c>
      <c r="Q23" s="260" t="s">
        <v>397</v>
      </c>
      <c r="R23" s="261">
        <f>COUNTIFS(Başvuru!$C:$C,Q23,Başvuru!$F:$F,"&lt;&gt;"&amp;"")</f>
        <v>3</v>
      </c>
      <c r="S23" s="261">
        <f>RANK(R23,$R$6:$R$290,0)+COUNTIF($R$6:R23,R23)-1</f>
        <v>38</v>
      </c>
    </row>
    <row r="24" spans="2:19" ht="15" customHeight="1" x14ac:dyDescent="0.25">
      <c r="B24" s="249">
        <v>19</v>
      </c>
      <c r="C24" s="250" t="str">
        <f>IFERROR(INDEX($Q$6:$Q$290,MATCH(19,$S$6:$S$290,0)),"")</f>
        <v>Doç. Dr. İrem KOÇ</v>
      </c>
      <c r="D24" s="251">
        <f>IF(C24="","",COUNTIFS(Başvuru!$C:$C,C24,Başvuru!$F:$F,"&lt;&gt;"&amp;""))</f>
        <v>5</v>
      </c>
      <c r="E24" s="249" t="str">
        <f>IF(D24&gt;0,TEXT(D24/COUNTIF(Başvuru!$F:$F,"&lt;&gt;"&amp;"")*100,"0.0")&amp;"%","-")</f>
        <v>00%</v>
      </c>
      <c r="F24" s="252">
        <f>IF(C24="","",COUNTIFS(Başvuru!$C:$C,C24,Başvuru!$G:$G,"Bireysel Araştırma",Başvuru!$F:$F,"&lt;&gt;"&amp;""))</f>
        <v>5</v>
      </c>
      <c r="G24" s="252">
        <f>IF(C24="","",COUNTIFS(Başvuru!$C:$C,C24,Başvuru!$G:$G,"Uzmanlık Tezi",Başvuru!$F:$F,"&lt;&gt;"&amp;""))</f>
        <v>0</v>
      </c>
      <c r="H24" s="252">
        <f>IF(C24="","",COUNTIFS(Başvuru!$C:$C,C24,Başvuru!$G:$G,"Doktora Tezi",Başvuru!$F:$F,"&lt;&gt;"&amp;""))</f>
        <v>0</v>
      </c>
      <c r="I24" s="252">
        <f>IF(C24="","",COUNTIFS(Başvuru!$C:$C,C24,Başvuru!$G:$G,"Yüksek Lisans Tezi",Başvuru!$F:$F,"&lt;&gt;"&amp;""))</f>
        <v>0</v>
      </c>
      <c r="J24" s="253">
        <f>IF(C24="","",COUNTIFS(Başvuru!$C:$C,C24,Başvuru!$L:$L,"ONAY",Başvuru!$F:$F,"&lt;&gt;"&amp;""))</f>
        <v>3</v>
      </c>
      <c r="K24" s="254">
        <f>IF(C24="","",COUNTIFS(Başvuru!$C:$C,C24,Başvuru!$L:$L,"DÜZELTME",Başvuru!$F:$F,"&lt;&gt;"&amp;""))</f>
        <v>1</v>
      </c>
      <c r="L24" s="255">
        <f>IF(C24="","",COUNTIFS(Başvuru!$C:$C,C24,Başvuru!$L:$L,"KAEK",Başvuru!$F:$F,"&lt;&gt;"&amp;""))</f>
        <v>0</v>
      </c>
      <c r="M24" s="256">
        <f>IF(C24="","",COUNTIFS(Başvuru!$C:$C,C24,Başvuru!$L:$L,"GÖRÜŞ",Başvuru!$F:$F,"&lt;&gt;"&amp;""))</f>
        <v>0</v>
      </c>
      <c r="N24" s="257">
        <f>IF(C24="","",COUNTIFS(Başvuru!$C:$C,C24,Başvuru!$L:$L,"RET",Başvuru!$F:$F,"&lt;&gt;"&amp;""))</f>
        <v>0</v>
      </c>
      <c r="O24" s="258">
        <f>IF(C24="","",COUNTIFS(Başvuru!$C:$C,C24,Başvuru!$L:$L,"KAPSAM DIŞI",Başvuru!$F:$F,"&lt;&gt;"&amp;""))</f>
        <v>0</v>
      </c>
      <c r="P24" s="259">
        <f>IF(C24="","",COUNTIFS(Başvuru!$C:$C,C24,Başvuru!$L:$L,"GERİ ÇEKİLDİ",Başvuru!$F:$F,"&lt;&gt;"&amp;""))</f>
        <v>0</v>
      </c>
      <c r="Q24" s="260" t="s">
        <v>1152</v>
      </c>
      <c r="R24" s="261">
        <f>COUNTIFS(Başvuru!$C:$C,Q24,Başvuru!$F:$F,"&lt;&gt;"&amp;"")</f>
        <v>1</v>
      </c>
      <c r="S24" s="261">
        <f>RANK(R24,$R$6:$R$290,0)+COUNTIF($R$6:R24,R24)-1</f>
        <v>131</v>
      </c>
    </row>
    <row r="25" spans="2:19" ht="15" customHeight="1" x14ac:dyDescent="0.25">
      <c r="B25" s="262">
        <v>20</v>
      </c>
      <c r="C25" s="263" t="str">
        <f>IFERROR(INDEX($Q$6:$Q$290,MATCH(20,$S$6:$S$290,0)),"")</f>
        <v>Prof. Dr. Murat GÜLTEKİN</v>
      </c>
      <c r="D25" s="264">
        <f>IF(C25="","",COUNTIFS(Başvuru!$C:$C,C25,Başvuru!$F:$F,"&lt;&gt;"&amp;""))</f>
        <v>5</v>
      </c>
      <c r="E25" s="262" t="str">
        <f>IF(D25&gt;0,TEXT(D25/COUNTIF(Başvuru!$F:$F,"&lt;&gt;"&amp;"")*100,"0.0")&amp;"%","-")</f>
        <v>00%</v>
      </c>
      <c r="F25" s="265">
        <f>IF(C25="","",COUNTIFS(Başvuru!$C:$C,C25,Başvuru!$G:$G,"Bireysel Araştırma",Başvuru!$F:$F,"&lt;&gt;"&amp;""))</f>
        <v>5</v>
      </c>
      <c r="G25" s="265">
        <f>IF(C25="","",COUNTIFS(Başvuru!$C:$C,C25,Başvuru!$G:$G,"Uzmanlık Tezi",Başvuru!$F:$F,"&lt;&gt;"&amp;""))</f>
        <v>0</v>
      </c>
      <c r="H25" s="265">
        <f>IF(C25="","",COUNTIFS(Başvuru!$C:$C,C25,Başvuru!$G:$G,"Doktora Tezi",Başvuru!$F:$F,"&lt;&gt;"&amp;""))</f>
        <v>0</v>
      </c>
      <c r="I25" s="265">
        <f>IF(C25="","",COUNTIFS(Başvuru!$C:$C,C25,Başvuru!$G:$G,"Yüksek Lisans Tezi",Başvuru!$F:$F,"&lt;&gt;"&amp;""))</f>
        <v>0</v>
      </c>
      <c r="J25" s="266">
        <f>IF(C25="","",COUNTIFS(Başvuru!$C:$C,C25,Başvuru!$L:$L,"ONAY",Başvuru!$F:$F,"&lt;&gt;"&amp;""))</f>
        <v>1</v>
      </c>
      <c r="K25" s="267">
        <f>IF(C25="","",COUNTIFS(Başvuru!$C:$C,C25,Başvuru!$L:$L,"DÜZELTME",Başvuru!$F:$F,"&lt;&gt;"&amp;""))</f>
        <v>0</v>
      </c>
      <c r="L25" s="268">
        <f>IF(C25="","",COUNTIFS(Başvuru!$C:$C,C25,Başvuru!$L:$L,"KAEK",Başvuru!$F:$F,"&lt;&gt;"&amp;""))</f>
        <v>0</v>
      </c>
      <c r="M25" s="269">
        <f>IF(C25="","",COUNTIFS(Başvuru!$C:$C,C25,Başvuru!$L:$L,"GÖRÜŞ",Başvuru!$F:$F,"&lt;&gt;"&amp;""))</f>
        <v>1</v>
      </c>
      <c r="N25" s="270">
        <f>IF(C25="","",COUNTIFS(Başvuru!$C:$C,C25,Başvuru!$L:$L,"RET",Başvuru!$F:$F,"&lt;&gt;"&amp;""))</f>
        <v>1</v>
      </c>
      <c r="O25" s="271">
        <f>IF(C25="","",COUNTIFS(Başvuru!$C:$C,C25,Başvuru!$L:$L,"KAPSAM DIŞI",Başvuru!$F:$F,"&lt;&gt;"&amp;""))</f>
        <v>0</v>
      </c>
      <c r="P25" s="272">
        <f>IF(C25="","",COUNTIFS(Başvuru!$C:$C,C25,Başvuru!$L:$L,"GERİ ÇEKİLDİ",Başvuru!$F:$F,"&lt;&gt;"&amp;""))</f>
        <v>0</v>
      </c>
      <c r="Q25" s="260" t="s">
        <v>2040</v>
      </c>
      <c r="R25" s="261">
        <f>COUNTIFS(Başvuru!$C:$C,Q25,Başvuru!$F:$F,"&lt;&gt;"&amp;"")</f>
        <v>1</v>
      </c>
      <c r="S25" s="261">
        <f>RANK(R25,$R$6:$R$290,0)+COUNTIF($R$6:R25,R25)-1</f>
        <v>132</v>
      </c>
    </row>
    <row r="26" spans="2:19" ht="15" customHeight="1" x14ac:dyDescent="0.25">
      <c r="B26" s="249">
        <v>21</v>
      </c>
      <c r="C26" s="250" t="str">
        <f>IFERROR(INDEX($Q$6:$Q$290,MATCH(21,$S$6:$S$290,0)),"")</f>
        <v>Prof. Dr. Şule ÜNAL CANGÜL</v>
      </c>
      <c r="D26" s="251">
        <f>IF(C26="","",COUNTIFS(Başvuru!$C:$C,C26,Başvuru!$F:$F,"&lt;&gt;"&amp;""))</f>
        <v>5</v>
      </c>
      <c r="E26" s="249" t="str">
        <f>IF(D26&gt;0,TEXT(D26/COUNTIF(Başvuru!$F:$F,"&lt;&gt;"&amp;"")*100,"0.0")&amp;"%","-")</f>
        <v>00%</v>
      </c>
      <c r="F26" s="252">
        <f>IF(C26="","",COUNTIFS(Başvuru!$C:$C,C26,Başvuru!$G:$G,"Bireysel Araştırma",Başvuru!$F:$F,"&lt;&gt;"&amp;""))</f>
        <v>4</v>
      </c>
      <c r="G26" s="252">
        <f>IF(C26="","",COUNTIFS(Başvuru!$C:$C,C26,Başvuru!$G:$G,"Uzmanlık Tezi",Başvuru!$F:$F,"&lt;&gt;"&amp;""))</f>
        <v>1</v>
      </c>
      <c r="H26" s="252">
        <f>IF(C26="","",COUNTIFS(Başvuru!$C:$C,C26,Başvuru!$G:$G,"Doktora Tezi",Başvuru!$F:$F,"&lt;&gt;"&amp;""))</f>
        <v>0</v>
      </c>
      <c r="I26" s="252">
        <f>IF(C26="","",COUNTIFS(Başvuru!$C:$C,C26,Başvuru!$G:$G,"Yüksek Lisans Tezi",Başvuru!$F:$F,"&lt;&gt;"&amp;""))</f>
        <v>0</v>
      </c>
      <c r="J26" s="253">
        <f>IF(C26="","",COUNTIFS(Başvuru!$C:$C,C26,Başvuru!$L:$L,"ONAY",Başvuru!$F:$F,"&lt;&gt;"&amp;""))</f>
        <v>2</v>
      </c>
      <c r="K26" s="254">
        <f>IF(C26="","",COUNTIFS(Başvuru!$C:$C,C26,Başvuru!$L:$L,"DÜZELTME",Başvuru!$F:$F,"&lt;&gt;"&amp;""))</f>
        <v>1</v>
      </c>
      <c r="L26" s="255">
        <f>IF(C26="","",COUNTIFS(Başvuru!$C:$C,C26,Başvuru!$L:$L,"KAEK",Başvuru!$F:$F,"&lt;&gt;"&amp;""))</f>
        <v>1</v>
      </c>
      <c r="M26" s="256">
        <f>IF(C26="","",COUNTIFS(Başvuru!$C:$C,C26,Başvuru!$L:$L,"GÖRÜŞ",Başvuru!$F:$F,"&lt;&gt;"&amp;""))</f>
        <v>0</v>
      </c>
      <c r="N26" s="257">
        <f>IF(C26="","",COUNTIFS(Başvuru!$C:$C,C26,Başvuru!$L:$L,"RET",Başvuru!$F:$F,"&lt;&gt;"&amp;""))</f>
        <v>0</v>
      </c>
      <c r="O26" s="258">
        <f>IF(C26="","",COUNTIFS(Başvuru!$C:$C,C26,Başvuru!$L:$L,"KAPSAM DIŞI",Başvuru!$F:$F,"&lt;&gt;"&amp;""))</f>
        <v>0</v>
      </c>
      <c r="P26" s="259">
        <f>IF(C26="","",COUNTIFS(Başvuru!$C:$C,C26,Başvuru!$L:$L,"GERİ ÇEKİLDİ",Başvuru!$F:$F,"&lt;&gt;"&amp;""))</f>
        <v>0</v>
      </c>
      <c r="Q26" s="260" t="s">
        <v>92</v>
      </c>
      <c r="R26" s="261">
        <f>COUNTIFS(Başvuru!$C:$C,Q26,Başvuru!$F:$F,"&lt;&gt;"&amp;"")</f>
        <v>2</v>
      </c>
      <c r="S26" s="261">
        <f>RANK(R26,$R$6:$R$290,0)+COUNTIF($R$6:R26,R26)-1</f>
        <v>64</v>
      </c>
    </row>
    <row r="27" spans="2:19" ht="15" customHeight="1" x14ac:dyDescent="0.25">
      <c r="B27" s="262">
        <v>22</v>
      </c>
      <c r="C27" s="263" t="str">
        <f>IFERROR(INDEX($Q$6:$Q$290,MATCH(22,$S$6:$S$290,0)),"")</f>
        <v>Doç. Dr. Ahmet KIVRAK</v>
      </c>
      <c r="D27" s="264">
        <f>IF(C27="","",COUNTIFS(Başvuru!$C:$C,C27,Başvuru!$F:$F,"&lt;&gt;"&amp;""))</f>
        <v>4</v>
      </c>
      <c r="E27" s="262" t="str">
        <f>IF(D27&gt;0,TEXT(D27/COUNTIF(Başvuru!$F:$F,"&lt;&gt;"&amp;"")*100,"0.0")&amp;"%","-")</f>
        <v>00%</v>
      </c>
      <c r="F27" s="265">
        <f>IF(C27="","",COUNTIFS(Başvuru!$C:$C,C27,Başvuru!$G:$G,"Bireysel Araştırma",Başvuru!$F:$F,"&lt;&gt;"&amp;""))</f>
        <v>4</v>
      </c>
      <c r="G27" s="265">
        <f>IF(C27="","",COUNTIFS(Başvuru!$C:$C,C27,Başvuru!$G:$G,"Uzmanlık Tezi",Başvuru!$F:$F,"&lt;&gt;"&amp;""))</f>
        <v>0</v>
      </c>
      <c r="H27" s="265">
        <f>IF(C27="","",COUNTIFS(Başvuru!$C:$C,C27,Başvuru!$G:$G,"Doktora Tezi",Başvuru!$F:$F,"&lt;&gt;"&amp;""))</f>
        <v>0</v>
      </c>
      <c r="I27" s="265">
        <f>IF(C27="","",COUNTIFS(Başvuru!$C:$C,C27,Başvuru!$G:$G,"Yüksek Lisans Tezi",Başvuru!$F:$F,"&lt;&gt;"&amp;""))</f>
        <v>0</v>
      </c>
      <c r="J27" s="266">
        <f>IF(C27="","",COUNTIFS(Başvuru!$C:$C,C27,Başvuru!$L:$L,"ONAY",Başvuru!$F:$F,"&lt;&gt;"&amp;""))</f>
        <v>1</v>
      </c>
      <c r="K27" s="267">
        <f>IF(C27="","",COUNTIFS(Başvuru!$C:$C,C27,Başvuru!$L:$L,"DÜZELTME",Başvuru!$F:$F,"&lt;&gt;"&amp;""))</f>
        <v>1</v>
      </c>
      <c r="L27" s="268">
        <f>IF(C27="","",COUNTIFS(Başvuru!$C:$C,C27,Başvuru!$L:$L,"KAEK",Başvuru!$F:$F,"&lt;&gt;"&amp;""))</f>
        <v>0</v>
      </c>
      <c r="M27" s="269">
        <f>IF(C27="","",COUNTIFS(Başvuru!$C:$C,C27,Başvuru!$L:$L,"GÖRÜŞ",Başvuru!$F:$F,"&lt;&gt;"&amp;""))</f>
        <v>0</v>
      </c>
      <c r="N27" s="270">
        <f>IF(C27="","",COUNTIFS(Başvuru!$C:$C,C27,Başvuru!$L:$L,"RET",Başvuru!$F:$F,"&lt;&gt;"&amp;""))</f>
        <v>0</v>
      </c>
      <c r="O27" s="271">
        <f>IF(C27="","",COUNTIFS(Başvuru!$C:$C,C27,Başvuru!$L:$L,"KAPSAM DIŞI",Başvuru!$F:$F,"&lt;&gt;"&amp;""))</f>
        <v>0</v>
      </c>
      <c r="P27" s="272">
        <f>IF(C27="","",COUNTIFS(Başvuru!$C:$C,C27,Başvuru!$L:$L,"GERİ ÇEKİLDİ",Başvuru!$F:$F,"&lt;&gt;"&amp;""))</f>
        <v>0</v>
      </c>
      <c r="Q27" s="260" t="s">
        <v>881</v>
      </c>
      <c r="R27" s="261">
        <f>COUNTIFS(Başvuru!$C:$C,Q27,Başvuru!$F:$F,"&lt;&gt;"&amp;"")</f>
        <v>2</v>
      </c>
      <c r="S27" s="261">
        <f>RANK(R27,$R$6:$R$290,0)+COUNTIF($R$6:R27,R27)-1</f>
        <v>65</v>
      </c>
    </row>
    <row r="28" spans="2:19" ht="15" customHeight="1" x14ac:dyDescent="0.25">
      <c r="B28" s="249">
        <v>23</v>
      </c>
      <c r="C28" s="250" t="str">
        <f>IFERROR(INDEX($Q$6:$Q$290,MATCH(23,$S$6:$S$290,0)),"")</f>
        <v>Doç. Dr. Dilek ÜNAL</v>
      </c>
      <c r="D28" s="251">
        <f>IF(C28="","",COUNTIFS(Başvuru!$C:$C,C28,Başvuru!$F:$F,"&lt;&gt;"&amp;""))</f>
        <v>4</v>
      </c>
      <c r="E28" s="249" t="str">
        <f>IF(D28&gt;0,TEXT(D28/COUNTIF(Başvuru!$F:$F,"&lt;&gt;"&amp;"")*100,"0.0")&amp;"%","-")</f>
        <v>00%</v>
      </c>
      <c r="F28" s="252">
        <f>IF(C28="","",COUNTIFS(Başvuru!$C:$C,C28,Başvuru!$G:$G,"Bireysel Araştırma",Başvuru!$F:$F,"&lt;&gt;"&amp;""))</f>
        <v>2</v>
      </c>
      <c r="G28" s="252">
        <f>IF(C28="","",COUNTIFS(Başvuru!$C:$C,C28,Başvuru!$G:$G,"Uzmanlık Tezi",Başvuru!$F:$F,"&lt;&gt;"&amp;""))</f>
        <v>2</v>
      </c>
      <c r="H28" s="252">
        <f>IF(C28="","",COUNTIFS(Başvuru!$C:$C,C28,Başvuru!$G:$G,"Doktora Tezi",Başvuru!$F:$F,"&lt;&gt;"&amp;""))</f>
        <v>0</v>
      </c>
      <c r="I28" s="252">
        <f>IF(C28="","",COUNTIFS(Başvuru!$C:$C,C28,Başvuru!$G:$G,"Yüksek Lisans Tezi",Başvuru!$F:$F,"&lt;&gt;"&amp;""))</f>
        <v>0</v>
      </c>
      <c r="J28" s="253">
        <f>IF(C28="","",COUNTIFS(Başvuru!$C:$C,C28,Başvuru!$L:$L,"ONAY",Başvuru!$F:$F,"&lt;&gt;"&amp;""))</f>
        <v>1</v>
      </c>
      <c r="K28" s="254">
        <f>IF(C28="","",COUNTIFS(Başvuru!$C:$C,C28,Başvuru!$L:$L,"DÜZELTME",Başvuru!$F:$F,"&lt;&gt;"&amp;""))</f>
        <v>3</v>
      </c>
      <c r="L28" s="255">
        <f>IF(C28="","",COUNTIFS(Başvuru!$C:$C,C28,Başvuru!$L:$L,"KAEK",Başvuru!$F:$F,"&lt;&gt;"&amp;""))</f>
        <v>0</v>
      </c>
      <c r="M28" s="256">
        <f>IF(C28="","",COUNTIFS(Başvuru!$C:$C,C28,Başvuru!$L:$L,"GÖRÜŞ",Başvuru!$F:$F,"&lt;&gt;"&amp;""))</f>
        <v>0</v>
      </c>
      <c r="N28" s="257">
        <f>IF(C28="","",COUNTIFS(Başvuru!$C:$C,C28,Başvuru!$L:$L,"RET",Başvuru!$F:$F,"&lt;&gt;"&amp;""))</f>
        <v>0</v>
      </c>
      <c r="O28" s="258">
        <f>IF(C28="","",COUNTIFS(Başvuru!$C:$C,C28,Başvuru!$L:$L,"KAPSAM DIŞI",Başvuru!$F:$F,"&lt;&gt;"&amp;""))</f>
        <v>0</v>
      </c>
      <c r="P28" s="259">
        <f>IF(C28="","",COUNTIFS(Başvuru!$C:$C,C28,Başvuru!$L:$L,"GERİ ÇEKİLDİ",Başvuru!$F:$F,"&lt;&gt;"&amp;""))</f>
        <v>0</v>
      </c>
      <c r="Q28" s="260" t="s">
        <v>1612</v>
      </c>
      <c r="R28" s="261">
        <f>COUNTIFS(Başvuru!$C:$C,Q28,Başvuru!$F:$F,"&lt;&gt;"&amp;"")</f>
        <v>6</v>
      </c>
      <c r="S28" s="261">
        <f>RANK(R28,$R$6:$R$290,0)+COUNTIF($R$6:R28,R28)-1</f>
        <v>12</v>
      </c>
    </row>
    <row r="29" spans="2:19" ht="15" customHeight="1" x14ac:dyDescent="0.25">
      <c r="B29" s="262">
        <v>24</v>
      </c>
      <c r="C29" s="263" t="str">
        <f>IFERROR(INDEX($Q$6:$Q$290,MATCH(24,$S$6:$S$290,0)),"")</f>
        <v>Doç. Dr. Erdem FADILOĞLU</v>
      </c>
      <c r="D29" s="264">
        <f>IF(C29="","",COUNTIFS(Başvuru!$C:$C,C29,Başvuru!$F:$F,"&lt;&gt;"&amp;""))</f>
        <v>4</v>
      </c>
      <c r="E29" s="262" t="str">
        <f>IF(D29&gt;0,TEXT(D29/COUNTIF(Başvuru!$F:$F,"&lt;&gt;"&amp;"")*100,"0.0")&amp;"%","-")</f>
        <v>00%</v>
      </c>
      <c r="F29" s="265">
        <f>IF(C29="","",COUNTIFS(Başvuru!$C:$C,C29,Başvuru!$G:$G,"Bireysel Araştırma",Başvuru!$F:$F,"&lt;&gt;"&amp;""))</f>
        <v>2</v>
      </c>
      <c r="G29" s="265">
        <f>IF(C29="","",COUNTIFS(Başvuru!$C:$C,C29,Başvuru!$G:$G,"Uzmanlık Tezi",Başvuru!$F:$F,"&lt;&gt;"&amp;""))</f>
        <v>2</v>
      </c>
      <c r="H29" s="265">
        <f>IF(C29="","",COUNTIFS(Başvuru!$C:$C,C29,Başvuru!$G:$G,"Doktora Tezi",Başvuru!$F:$F,"&lt;&gt;"&amp;""))</f>
        <v>0</v>
      </c>
      <c r="I29" s="265">
        <f>IF(C29="","",COUNTIFS(Başvuru!$C:$C,C29,Başvuru!$G:$G,"Yüksek Lisans Tezi",Başvuru!$F:$F,"&lt;&gt;"&amp;""))</f>
        <v>0</v>
      </c>
      <c r="J29" s="266">
        <f>IF(C29="","",COUNTIFS(Başvuru!$C:$C,C29,Başvuru!$L:$L,"ONAY",Başvuru!$F:$F,"&lt;&gt;"&amp;""))</f>
        <v>0</v>
      </c>
      <c r="K29" s="267">
        <f>IF(C29="","",COUNTIFS(Başvuru!$C:$C,C29,Başvuru!$L:$L,"DÜZELTME",Başvuru!$F:$F,"&lt;&gt;"&amp;""))</f>
        <v>2</v>
      </c>
      <c r="L29" s="268">
        <f>IF(C29="","",COUNTIFS(Başvuru!$C:$C,C29,Başvuru!$L:$L,"KAEK",Başvuru!$F:$F,"&lt;&gt;"&amp;""))</f>
        <v>0</v>
      </c>
      <c r="M29" s="269">
        <f>IF(C29="","",COUNTIFS(Başvuru!$C:$C,C29,Başvuru!$L:$L,"GÖRÜŞ",Başvuru!$F:$F,"&lt;&gt;"&amp;""))</f>
        <v>0</v>
      </c>
      <c r="N29" s="270">
        <f>IF(C29="","",COUNTIFS(Başvuru!$C:$C,C29,Başvuru!$L:$L,"RET",Başvuru!$F:$F,"&lt;&gt;"&amp;""))</f>
        <v>0</v>
      </c>
      <c r="O29" s="271">
        <f>IF(C29="","",COUNTIFS(Başvuru!$C:$C,C29,Başvuru!$L:$L,"KAPSAM DIŞI",Başvuru!$F:$F,"&lt;&gt;"&amp;""))</f>
        <v>0</v>
      </c>
      <c r="P29" s="272">
        <f>IF(C29="","",COUNTIFS(Başvuru!$C:$C,C29,Başvuru!$L:$L,"GERİ ÇEKİLDİ",Başvuru!$F:$F,"&lt;&gt;"&amp;""))</f>
        <v>0</v>
      </c>
      <c r="Q29" s="260" t="s">
        <v>1622</v>
      </c>
      <c r="R29" s="261">
        <f>COUNTIFS(Başvuru!$C:$C,Q29,Başvuru!$F:$F,"&lt;&gt;"&amp;"")</f>
        <v>1</v>
      </c>
      <c r="S29" s="261">
        <f>RANK(R29,$R$6:$R$290,0)+COUNTIF($R$6:R29,R29)-1</f>
        <v>133</v>
      </c>
    </row>
    <row r="30" spans="2:19" ht="15" customHeight="1" x14ac:dyDescent="0.25">
      <c r="B30" s="249">
        <v>25</v>
      </c>
      <c r="C30" s="250" t="str">
        <f>IFERROR(INDEX($Q$6:$Q$290,MATCH(25,$S$6:$S$290,0)),"")</f>
        <v>Doç. Dr. Ezgi ATİK</v>
      </c>
      <c r="D30" s="251">
        <f>IF(C30="","",COUNTIFS(Başvuru!$C:$C,C30,Başvuru!$F:$F,"&lt;&gt;"&amp;""))</f>
        <v>4</v>
      </c>
      <c r="E30" s="249" t="str">
        <f>IF(D30&gt;0,TEXT(D30/COUNTIF(Başvuru!$F:$F,"&lt;&gt;"&amp;"")*100,"0.0")&amp;"%","-")</f>
        <v>00%</v>
      </c>
      <c r="F30" s="252">
        <f>IF(C30="","",COUNTIFS(Başvuru!$C:$C,C30,Başvuru!$G:$G,"Bireysel Araştırma",Başvuru!$F:$F,"&lt;&gt;"&amp;""))</f>
        <v>4</v>
      </c>
      <c r="G30" s="252">
        <f>IF(C30="","",COUNTIFS(Başvuru!$C:$C,C30,Başvuru!$G:$G,"Uzmanlık Tezi",Başvuru!$F:$F,"&lt;&gt;"&amp;""))</f>
        <v>0</v>
      </c>
      <c r="H30" s="252">
        <f>IF(C30="","",COUNTIFS(Başvuru!$C:$C,C30,Başvuru!$G:$G,"Doktora Tezi",Başvuru!$F:$F,"&lt;&gt;"&amp;""))</f>
        <v>0</v>
      </c>
      <c r="I30" s="252">
        <f>IF(C30="","",COUNTIFS(Başvuru!$C:$C,C30,Başvuru!$G:$G,"Yüksek Lisans Tezi",Başvuru!$F:$F,"&lt;&gt;"&amp;""))</f>
        <v>0</v>
      </c>
      <c r="J30" s="253">
        <f>IF(C30="","",COUNTIFS(Başvuru!$C:$C,C30,Başvuru!$L:$L,"ONAY",Başvuru!$F:$F,"&lt;&gt;"&amp;""))</f>
        <v>2</v>
      </c>
      <c r="K30" s="254">
        <f>IF(C30="","",COUNTIFS(Başvuru!$C:$C,C30,Başvuru!$L:$L,"DÜZELTME",Başvuru!$F:$F,"&lt;&gt;"&amp;""))</f>
        <v>1</v>
      </c>
      <c r="L30" s="255">
        <f>IF(C30="","",COUNTIFS(Başvuru!$C:$C,C30,Başvuru!$L:$L,"KAEK",Başvuru!$F:$F,"&lt;&gt;"&amp;""))</f>
        <v>0</v>
      </c>
      <c r="M30" s="256">
        <f>IF(C30="","",COUNTIFS(Başvuru!$C:$C,C30,Başvuru!$L:$L,"GÖRÜŞ",Başvuru!$F:$F,"&lt;&gt;"&amp;""))</f>
        <v>0</v>
      </c>
      <c r="N30" s="257">
        <f>IF(C30="","",COUNTIFS(Başvuru!$C:$C,C30,Başvuru!$L:$L,"RET",Başvuru!$F:$F,"&lt;&gt;"&amp;""))</f>
        <v>0</v>
      </c>
      <c r="O30" s="258">
        <f>IF(C30="","",COUNTIFS(Başvuru!$C:$C,C30,Başvuru!$L:$L,"KAPSAM DIŞI",Başvuru!$F:$F,"&lt;&gt;"&amp;""))</f>
        <v>0</v>
      </c>
      <c r="P30" s="259">
        <f>IF(C30="","",COUNTIFS(Başvuru!$C:$C,C30,Başvuru!$L:$L,"GERİ ÇEKİLDİ",Başvuru!$F:$F,"&lt;&gt;"&amp;""))</f>
        <v>0</v>
      </c>
      <c r="Q30" s="260" t="s">
        <v>1555</v>
      </c>
      <c r="R30" s="261">
        <f>COUNTIFS(Başvuru!$C:$C,Q30,Başvuru!$F:$F,"&lt;&gt;"&amp;"")</f>
        <v>6</v>
      </c>
      <c r="S30" s="261">
        <f>RANK(R30,$R$6:$R$290,0)+COUNTIF($R$6:R30,R30)-1</f>
        <v>13</v>
      </c>
    </row>
    <row r="31" spans="2:19" ht="15" customHeight="1" x14ac:dyDescent="0.25">
      <c r="B31" s="262">
        <v>26</v>
      </c>
      <c r="C31" s="263" t="str">
        <f>IFERROR(INDEX($Q$6:$Q$290,MATCH(26,$S$6:$S$290,0)),"")</f>
        <v>Doç. Dr. Hilal AKSOY</v>
      </c>
      <c r="D31" s="264">
        <f>IF(C31="","",COUNTIFS(Başvuru!$C:$C,C31,Başvuru!$F:$F,"&lt;&gt;"&amp;""))</f>
        <v>4</v>
      </c>
      <c r="E31" s="262" t="str">
        <f>IF(D31&gt;0,TEXT(D31/COUNTIF(Başvuru!$F:$F,"&lt;&gt;"&amp;"")*100,"0.0")&amp;"%","-")</f>
        <v>00%</v>
      </c>
      <c r="F31" s="265">
        <f>IF(C31="","",COUNTIFS(Başvuru!$C:$C,C31,Başvuru!$G:$G,"Bireysel Araştırma",Başvuru!$F:$F,"&lt;&gt;"&amp;""))</f>
        <v>1</v>
      </c>
      <c r="G31" s="265">
        <f>IF(C31="","",COUNTIFS(Başvuru!$C:$C,C31,Başvuru!$G:$G,"Uzmanlık Tezi",Başvuru!$F:$F,"&lt;&gt;"&amp;""))</f>
        <v>3</v>
      </c>
      <c r="H31" s="265">
        <f>IF(C31="","",COUNTIFS(Başvuru!$C:$C,C31,Başvuru!$G:$G,"Doktora Tezi",Başvuru!$F:$F,"&lt;&gt;"&amp;""))</f>
        <v>0</v>
      </c>
      <c r="I31" s="265">
        <f>IF(C31="","",COUNTIFS(Başvuru!$C:$C,C31,Başvuru!$G:$G,"Yüksek Lisans Tezi",Başvuru!$F:$F,"&lt;&gt;"&amp;""))</f>
        <v>0</v>
      </c>
      <c r="J31" s="266">
        <f>IF(C31="","",COUNTIFS(Başvuru!$C:$C,C31,Başvuru!$L:$L,"ONAY",Başvuru!$F:$F,"&lt;&gt;"&amp;""))</f>
        <v>0</v>
      </c>
      <c r="K31" s="267">
        <f>IF(C31="","",COUNTIFS(Başvuru!$C:$C,C31,Başvuru!$L:$L,"DÜZELTME",Başvuru!$F:$F,"&lt;&gt;"&amp;""))</f>
        <v>2</v>
      </c>
      <c r="L31" s="268">
        <f>IF(C31="","",COUNTIFS(Başvuru!$C:$C,C31,Başvuru!$L:$L,"KAEK",Başvuru!$F:$F,"&lt;&gt;"&amp;""))</f>
        <v>0</v>
      </c>
      <c r="M31" s="269">
        <f>IF(C31="","",COUNTIFS(Başvuru!$C:$C,C31,Başvuru!$L:$L,"GÖRÜŞ",Başvuru!$F:$F,"&lt;&gt;"&amp;""))</f>
        <v>1</v>
      </c>
      <c r="N31" s="270">
        <f>IF(C31="","",COUNTIFS(Başvuru!$C:$C,C31,Başvuru!$L:$L,"RET",Başvuru!$F:$F,"&lt;&gt;"&amp;""))</f>
        <v>0</v>
      </c>
      <c r="O31" s="271">
        <f>IF(C31="","",COUNTIFS(Başvuru!$C:$C,C31,Başvuru!$L:$L,"KAPSAM DIŞI",Başvuru!$F:$F,"&lt;&gt;"&amp;""))</f>
        <v>0</v>
      </c>
      <c r="P31" s="272">
        <f>IF(C31="","",COUNTIFS(Başvuru!$C:$C,C31,Başvuru!$L:$L,"GERİ ÇEKİLDİ",Başvuru!$F:$F,"&lt;&gt;"&amp;""))</f>
        <v>0</v>
      </c>
      <c r="Q31" s="260" t="s">
        <v>1735</v>
      </c>
      <c r="R31" s="261">
        <f>COUNTIFS(Başvuru!$C:$C,Q31,Başvuru!$F:$F,"&lt;&gt;"&amp;"")</f>
        <v>2</v>
      </c>
      <c r="S31" s="261">
        <f>RANK(R31,$R$6:$R$290,0)+COUNTIF($R$6:R31,R31)-1</f>
        <v>66</v>
      </c>
    </row>
    <row r="32" spans="2:19" ht="15" customHeight="1" x14ac:dyDescent="0.25">
      <c r="B32" s="249">
        <v>27</v>
      </c>
      <c r="C32" s="250" t="str">
        <f>IFERROR(INDEX($Q$6:$Q$290,MATCH(27,$S$6:$S$290,0)),"")</f>
        <v>Doç. Dr. Kübra AYKAÇ</v>
      </c>
      <c r="D32" s="251">
        <f>IF(C32="","",COUNTIFS(Başvuru!$C:$C,C32,Başvuru!$F:$F,"&lt;&gt;"&amp;""))</f>
        <v>4</v>
      </c>
      <c r="E32" s="249" t="str">
        <f>IF(D32&gt;0,TEXT(D32/COUNTIF(Başvuru!$F:$F,"&lt;&gt;"&amp;"")*100,"0.0")&amp;"%","-")</f>
        <v>00%</v>
      </c>
      <c r="F32" s="252">
        <f>IF(C32="","",COUNTIFS(Başvuru!$C:$C,C32,Başvuru!$G:$G,"Bireysel Araştırma",Başvuru!$F:$F,"&lt;&gt;"&amp;""))</f>
        <v>3</v>
      </c>
      <c r="G32" s="252">
        <f>IF(C32="","",COUNTIFS(Başvuru!$C:$C,C32,Başvuru!$G:$G,"Uzmanlık Tezi",Başvuru!$F:$F,"&lt;&gt;"&amp;""))</f>
        <v>1</v>
      </c>
      <c r="H32" s="252">
        <f>IF(C32="","",COUNTIFS(Başvuru!$C:$C,C32,Başvuru!$G:$G,"Doktora Tezi",Başvuru!$F:$F,"&lt;&gt;"&amp;""))</f>
        <v>0</v>
      </c>
      <c r="I32" s="252">
        <f>IF(C32="","",COUNTIFS(Başvuru!$C:$C,C32,Başvuru!$G:$G,"Yüksek Lisans Tezi",Başvuru!$F:$F,"&lt;&gt;"&amp;""))</f>
        <v>0</v>
      </c>
      <c r="J32" s="253">
        <f>IF(C32="","",COUNTIFS(Başvuru!$C:$C,C32,Başvuru!$L:$L,"ONAY",Başvuru!$F:$F,"&lt;&gt;"&amp;""))</f>
        <v>1</v>
      </c>
      <c r="K32" s="254">
        <f>IF(C32="","",COUNTIFS(Başvuru!$C:$C,C32,Başvuru!$L:$L,"DÜZELTME",Başvuru!$F:$F,"&lt;&gt;"&amp;""))</f>
        <v>2</v>
      </c>
      <c r="L32" s="255">
        <f>IF(C32="","",COUNTIFS(Başvuru!$C:$C,C32,Başvuru!$L:$L,"KAEK",Başvuru!$F:$F,"&lt;&gt;"&amp;""))</f>
        <v>0</v>
      </c>
      <c r="M32" s="256">
        <f>IF(C32="","",COUNTIFS(Başvuru!$C:$C,C32,Başvuru!$L:$L,"GÖRÜŞ",Başvuru!$F:$F,"&lt;&gt;"&amp;""))</f>
        <v>0</v>
      </c>
      <c r="N32" s="257">
        <f>IF(C32="","",COUNTIFS(Başvuru!$C:$C,C32,Başvuru!$L:$L,"RET",Başvuru!$F:$F,"&lt;&gt;"&amp;""))</f>
        <v>0</v>
      </c>
      <c r="O32" s="258">
        <f>IF(C32="","",COUNTIFS(Başvuru!$C:$C,C32,Başvuru!$L:$L,"KAPSAM DIŞI",Başvuru!$F:$F,"&lt;&gt;"&amp;""))</f>
        <v>0</v>
      </c>
      <c r="P32" s="259">
        <f>IF(C32="","",COUNTIFS(Başvuru!$C:$C,C32,Başvuru!$L:$L,"GERİ ÇEKİLDİ",Başvuru!$F:$F,"&lt;&gt;"&amp;""))</f>
        <v>0</v>
      </c>
      <c r="Q32" s="260" t="s">
        <v>704</v>
      </c>
      <c r="R32" s="261">
        <f>COUNTIFS(Başvuru!$C:$C,Q32,Başvuru!$F:$F,"&lt;&gt;"&amp;"")</f>
        <v>2</v>
      </c>
      <c r="S32" s="261">
        <f>RANK(R32,$R$6:$R$290,0)+COUNTIF($R$6:R32,R32)-1</f>
        <v>67</v>
      </c>
    </row>
    <row r="33" spans="2:19" ht="15" customHeight="1" x14ac:dyDescent="0.25">
      <c r="B33" s="262">
        <v>28</v>
      </c>
      <c r="C33" s="263" t="str">
        <f>IFERROR(INDEX($Q$6:$Q$290,MATCH(28,$S$6:$S$290,0)),"")</f>
        <v>Dr. Öğr. Üyesi Burcu KELLECİ ÇAKIR</v>
      </c>
      <c r="D33" s="264">
        <f>IF(C33="","",COUNTIFS(Başvuru!$C:$C,C33,Başvuru!$F:$F,"&lt;&gt;"&amp;""))</f>
        <v>4</v>
      </c>
      <c r="E33" s="262" t="str">
        <f>IF(D33&gt;0,TEXT(D33/COUNTIF(Başvuru!$F:$F,"&lt;&gt;"&amp;"")*100,"0.0")&amp;"%","-")</f>
        <v>00%</v>
      </c>
      <c r="F33" s="265">
        <f>IF(C33="","",COUNTIFS(Başvuru!$C:$C,C33,Başvuru!$G:$G,"Bireysel Araştırma",Başvuru!$F:$F,"&lt;&gt;"&amp;""))</f>
        <v>4</v>
      </c>
      <c r="G33" s="265">
        <f>IF(C33="","",COUNTIFS(Başvuru!$C:$C,C33,Başvuru!$G:$G,"Uzmanlık Tezi",Başvuru!$F:$F,"&lt;&gt;"&amp;""))</f>
        <v>0</v>
      </c>
      <c r="H33" s="265">
        <f>IF(C33="","",COUNTIFS(Başvuru!$C:$C,C33,Başvuru!$G:$G,"Doktora Tezi",Başvuru!$F:$F,"&lt;&gt;"&amp;""))</f>
        <v>0</v>
      </c>
      <c r="I33" s="265">
        <f>IF(C33="","",COUNTIFS(Başvuru!$C:$C,C33,Başvuru!$G:$G,"Yüksek Lisans Tezi",Başvuru!$F:$F,"&lt;&gt;"&amp;""))</f>
        <v>0</v>
      </c>
      <c r="J33" s="266">
        <f>IF(C33="","",COUNTIFS(Başvuru!$C:$C,C33,Başvuru!$L:$L,"ONAY",Başvuru!$F:$F,"&lt;&gt;"&amp;""))</f>
        <v>4</v>
      </c>
      <c r="K33" s="267">
        <f>IF(C33="","",COUNTIFS(Başvuru!$C:$C,C33,Başvuru!$L:$L,"DÜZELTME",Başvuru!$F:$F,"&lt;&gt;"&amp;""))</f>
        <v>0</v>
      </c>
      <c r="L33" s="268">
        <f>IF(C33="","",COUNTIFS(Başvuru!$C:$C,C33,Başvuru!$L:$L,"KAEK",Başvuru!$F:$F,"&lt;&gt;"&amp;""))</f>
        <v>0</v>
      </c>
      <c r="M33" s="269">
        <f>IF(C33="","",COUNTIFS(Başvuru!$C:$C,C33,Başvuru!$L:$L,"GÖRÜŞ",Başvuru!$F:$F,"&lt;&gt;"&amp;""))</f>
        <v>0</v>
      </c>
      <c r="N33" s="270">
        <f>IF(C33="","",COUNTIFS(Başvuru!$C:$C,C33,Başvuru!$L:$L,"RET",Başvuru!$F:$F,"&lt;&gt;"&amp;""))</f>
        <v>0</v>
      </c>
      <c r="O33" s="271">
        <f>IF(C33="","",COUNTIFS(Başvuru!$C:$C,C33,Başvuru!$L:$L,"KAPSAM DIŞI",Başvuru!$F:$F,"&lt;&gt;"&amp;""))</f>
        <v>0</v>
      </c>
      <c r="P33" s="272">
        <f>IF(C33="","",COUNTIFS(Başvuru!$C:$C,C33,Başvuru!$L:$L,"GERİ ÇEKİLDİ",Başvuru!$F:$F,"&lt;&gt;"&amp;""))</f>
        <v>0</v>
      </c>
      <c r="Q33" s="260" t="s">
        <v>752</v>
      </c>
      <c r="R33" s="261">
        <f>COUNTIFS(Başvuru!$C:$C,Q33,Başvuru!$F:$F,"&lt;&gt;"&amp;"")</f>
        <v>2</v>
      </c>
      <c r="S33" s="261">
        <f>RANK(R33,$R$6:$R$290,0)+COUNTIF($R$6:R33,R33)-1</f>
        <v>68</v>
      </c>
    </row>
    <row r="34" spans="2:19" ht="15" customHeight="1" x14ac:dyDescent="0.25">
      <c r="B34" s="249">
        <v>29</v>
      </c>
      <c r="C34" s="250" t="str">
        <f>IFERROR(INDEX($Q$6:$Q$290,MATCH(29,$S$6:$S$290,0)),"")</f>
        <v>Dr. Öğr. Üyesi Ece ÖZOĞUL</v>
      </c>
      <c r="D34" s="251">
        <f>IF(C34="","",COUNTIFS(Başvuru!$C:$C,C34,Başvuru!$F:$F,"&lt;&gt;"&amp;""))</f>
        <v>4</v>
      </c>
      <c r="E34" s="249" t="str">
        <f>IF(D34&gt;0,TEXT(D34/COUNTIF(Başvuru!$F:$F,"&lt;&gt;"&amp;"")*100,"0.0")&amp;"%","-")</f>
        <v>00%</v>
      </c>
      <c r="F34" s="252">
        <f>IF(C34="","",COUNTIFS(Başvuru!$C:$C,C34,Başvuru!$G:$G,"Bireysel Araştırma",Başvuru!$F:$F,"&lt;&gt;"&amp;""))</f>
        <v>4</v>
      </c>
      <c r="G34" s="252">
        <f>IF(C34="","",COUNTIFS(Başvuru!$C:$C,C34,Başvuru!$G:$G,"Uzmanlık Tezi",Başvuru!$F:$F,"&lt;&gt;"&amp;""))</f>
        <v>0</v>
      </c>
      <c r="H34" s="252">
        <f>IF(C34="","",COUNTIFS(Başvuru!$C:$C,C34,Başvuru!$G:$G,"Doktora Tezi",Başvuru!$F:$F,"&lt;&gt;"&amp;""))</f>
        <v>0</v>
      </c>
      <c r="I34" s="252">
        <f>IF(C34="","",COUNTIFS(Başvuru!$C:$C,C34,Başvuru!$G:$G,"Yüksek Lisans Tezi",Başvuru!$F:$F,"&lt;&gt;"&amp;""))</f>
        <v>0</v>
      </c>
      <c r="J34" s="253">
        <f>IF(C34="","",COUNTIFS(Başvuru!$C:$C,C34,Başvuru!$L:$L,"ONAY",Başvuru!$F:$F,"&lt;&gt;"&amp;""))</f>
        <v>2</v>
      </c>
      <c r="K34" s="254">
        <f>IF(C34="","",COUNTIFS(Başvuru!$C:$C,C34,Başvuru!$L:$L,"DÜZELTME",Başvuru!$F:$F,"&lt;&gt;"&amp;""))</f>
        <v>0</v>
      </c>
      <c r="L34" s="255">
        <f>IF(C34="","",COUNTIFS(Başvuru!$C:$C,C34,Başvuru!$L:$L,"KAEK",Başvuru!$F:$F,"&lt;&gt;"&amp;""))</f>
        <v>0</v>
      </c>
      <c r="M34" s="256">
        <f>IF(C34="","",COUNTIFS(Başvuru!$C:$C,C34,Başvuru!$L:$L,"GÖRÜŞ",Başvuru!$F:$F,"&lt;&gt;"&amp;""))</f>
        <v>0</v>
      </c>
      <c r="N34" s="257">
        <f>IF(C34="","",COUNTIFS(Başvuru!$C:$C,C34,Başvuru!$L:$L,"RET",Başvuru!$F:$F,"&lt;&gt;"&amp;""))</f>
        <v>0</v>
      </c>
      <c r="O34" s="258">
        <f>IF(C34="","",COUNTIFS(Başvuru!$C:$C,C34,Başvuru!$L:$L,"KAPSAM DIŞI",Başvuru!$F:$F,"&lt;&gt;"&amp;""))</f>
        <v>0</v>
      </c>
      <c r="P34" s="259">
        <f>IF(C34="","",COUNTIFS(Başvuru!$C:$C,C34,Başvuru!$L:$L,"GERİ ÇEKİLDİ",Başvuru!$F:$F,"&lt;&gt;"&amp;""))</f>
        <v>0</v>
      </c>
      <c r="Q34" s="260" t="s">
        <v>952</v>
      </c>
      <c r="R34" s="261">
        <f>COUNTIFS(Başvuru!$C:$C,Q34,Başvuru!$F:$F,"&lt;&gt;"&amp;"")</f>
        <v>1</v>
      </c>
      <c r="S34" s="261">
        <f>RANK(R34,$R$6:$R$290,0)+COUNTIF($R$6:R34,R34)-1</f>
        <v>134</v>
      </c>
    </row>
    <row r="35" spans="2:19" ht="15" customHeight="1" x14ac:dyDescent="0.25">
      <c r="B35" s="262">
        <v>30</v>
      </c>
      <c r="C35" s="263" t="str">
        <f>IFERROR(INDEX($Q$6:$Q$290,MATCH(30,$S$6:$S$290,0)),"")</f>
        <v>Prof. Dr. Ali Fuat KALYONCU</v>
      </c>
      <c r="D35" s="264">
        <f>IF(C35="","",COUNTIFS(Başvuru!$C:$C,C35,Başvuru!$F:$F,"&lt;&gt;"&amp;""))</f>
        <v>4</v>
      </c>
      <c r="E35" s="262" t="str">
        <f>IF(D35&gt;0,TEXT(D35/COUNTIF(Başvuru!$F:$F,"&lt;&gt;"&amp;"")*100,"0.0")&amp;"%","-")</f>
        <v>00%</v>
      </c>
      <c r="F35" s="265">
        <f>IF(C35="","",COUNTIFS(Başvuru!$C:$C,C35,Başvuru!$G:$G,"Bireysel Araştırma",Başvuru!$F:$F,"&lt;&gt;"&amp;""))</f>
        <v>4</v>
      </c>
      <c r="G35" s="265">
        <f>IF(C35="","",COUNTIFS(Başvuru!$C:$C,C35,Başvuru!$G:$G,"Uzmanlık Tezi",Başvuru!$F:$F,"&lt;&gt;"&amp;""))</f>
        <v>0</v>
      </c>
      <c r="H35" s="265">
        <f>IF(C35="","",COUNTIFS(Başvuru!$C:$C,C35,Başvuru!$G:$G,"Doktora Tezi",Başvuru!$F:$F,"&lt;&gt;"&amp;""))</f>
        <v>0</v>
      </c>
      <c r="I35" s="265">
        <f>IF(C35="","",COUNTIFS(Başvuru!$C:$C,C35,Başvuru!$G:$G,"Yüksek Lisans Tezi",Başvuru!$F:$F,"&lt;&gt;"&amp;""))</f>
        <v>0</v>
      </c>
      <c r="J35" s="266">
        <f>IF(C35="","",COUNTIFS(Başvuru!$C:$C,C35,Başvuru!$L:$L,"ONAY",Başvuru!$F:$F,"&lt;&gt;"&amp;""))</f>
        <v>0</v>
      </c>
      <c r="K35" s="267">
        <f>IF(C35="","",COUNTIFS(Başvuru!$C:$C,C35,Başvuru!$L:$L,"DÜZELTME",Başvuru!$F:$F,"&lt;&gt;"&amp;""))</f>
        <v>3</v>
      </c>
      <c r="L35" s="268">
        <f>IF(C35="","",COUNTIFS(Başvuru!$C:$C,C35,Başvuru!$L:$L,"KAEK",Başvuru!$F:$F,"&lt;&gt;"&amp;""))</f>
        <v>0</v>
      </c>
      <c r="M35" s="269">
        <f>IF(C35="","",COUNTIFS(Başvuru!$C:$C,C35,Başvuru!$L:$L,"GÖRÜŞ",Başvuru!$F:$F,"&lt;&gt;"&amp;""))</f>
        <v>0</v>
      </c>
      <c r="N35" s="270">
        <f>IF(C35="","",COUNTIFS(Başvuru!$C:$C,C35,Başvuru!$L:$L,"RET",Başvuru!$F:$F,"&lt;&gt;"&amp;""))</f>
        <v>1</v>
      </c>
      <c r="O35" s="271">
        <f>IF(C35="","",COUNTIFS(Başvuru!$C:$C,C35,Başvuru!$L:$L,"KAPSAM DIŞI",Başvuru!$F:$F,"&lt;&gt;"&amp;""))</f>
        <v>0</v>
      </c>
      <c r="P35" s="272">
        <f>IF(C35="","",COUNTIFS(Başvuru!$C:$C,C35,Başvuru!$L:$L,"GERİ ÇEKİLDİ",Başvuru!$F:$F,"&lt;&gt;"&amp;""))</f>
        <v>0</v>
      </c>
      <c r="Q35" s="260" t="s">
        <v>219</v>
      </c>
      <c r="R35" s="261">
        <f>COUNTIFS(Başvuru!$C:$C,Q35,Başvuru!$F:$F,"&lt;&gt;"&amp;"")</f>
        <v>4</v>
      </c>
      <c r="S35" s="261">
        <f>RANK(R35,$R$6:$R$290,0)+COUNTIF($R$6:R35,R35)-1</f>
        <v>23</v>
      </c>
    </row>
    <row r="36" spans="2:19" ht="15" customHeight="1" x14ac:dyDescent="0.25">
      <c r="B36" s="249">
        <v>31</v>
      </c>
      <c r="C36" s="250" t="str">
        <f>IFERROR(INDEX($Q$6:$Q$290,MATCH(31,$S$6:$S$290,0)),"")</f>
        <v>Prof. Dr. Alp ÇETİN</v>
      </c>
      <c r="D36" s="251">
        <f>IF(C36="","",COUNTIFS(Başvuru!$C:$C,C36,Başvuru!$F:$F,"&lt;&gt;"&amp;""))</f>
        <v>4</v>
      </c>
      <c r="E36" s="249" t="str">
        <f>IF(D36&gt;0,TEXT(D36/COUNTIF(Başvuru!$F:$F,"&lt;&gt;"&amp;"")*100,"0.0")&amp;"%","-")</f>
        <v>00%</v>
      </c>
      <c r="F36" s="252">
        <f>IF(C36="","",COUNTIFS(Başvuru!$C:$C,C36,Başvuru!$G:$G,"Bireysel Araştırma",Başvuru!$F:$F,"&lt;&gt;"&amp;""))</f>
        <v>3</v>
      </c>
      <c r="G36" s="252">
        <f>IF(C36="","",COUNTIFS(Başvuru!$C:$C,C36,Başvuru!$G:$G,"Uzmanlık Tezi",Başvuru!$F:$F,"&lt;&gt;"&amp;""))</f>
        <v>1</v>
      </c>
      <c r="H36" s="252">
        <f>IF(C36="","",COUNTIFS(Başvuru!$C:$C,C36,Başvuru!$G:$G,"Doktora Tezi",Başvuru!$F:$F,"&lt;&gt;"&amp;""))</f>
        <v>0</v>
      </c>
      <c r="I36" s="252">
        <f>IF(C36="","",COUNTIFS(Başvuru!$C:$C,C36,Başvuru!$G:$G,"Yüksek Lisans Tezi",Başvuru!$F:$F,"&lt;&gt;"&amp;""))</f>
        <v>0</v>
      </c>
      <c r="J36" s="253">
        <f>IF(C36="","",COUNTIFS(Başvuru!$C:$C,C36,Başvuru!$L:$L,"ONAY",Başvuru!$F:$F,"&lt;&gt;"&amp;""))</f>
        <v>0</v>
      </c>
      <c r="K36" s="254">
        <f>IF(C36="","",COUNTIFS(Başvuru!$C:$C,C36,Başvuru!$L:$L,"DÜZELTME",Başvuru!$F:$F,"&lt;&gt;"&amp;""))</f>
        <v>1</v>
      </c>
      <c r="L36" s="255">
        <f>IF(C36="","",COUNTIFS(Başvuru!$C:$C,C36,Başvuru!$L:$L,"KAEK",Başvuru!$F:$F,"&lt;&gt;"&amp;""))</f>
        <v>0</v>
      </c>
      <c r="M36" s="256">
        <f>IF(C36="","",COUNTIFS(Başvuru!$C:$C,C36,Başvuru!$L:$L,"GÖRÜŞ",Başvuru!$F:$F,"&lt;&gt;"&amp;""))</f>
        <v>0</v>
      </c>
      <c r="N36" s="257">
        <f>IF(C36="","",COUNTIFS(Başvuru!$C:$C,C36,Başvuru!$L:$L,"RET",Başvuru!$F:$F,"&lt;&gt;"&amp;""))</f>
        <v>2</v>
      </c>
      <c r="O36" s="258">
        <f>IF(C36="","",COUNTIFS(Başvuru!$C:$C,C36,Başvuru!$L:$L,"KAPSAM DIŞI",Başvuru!$F:$F,"&lt;&gt;"&amp;""))</f>
        <v>0</v>
      </c>
      <c r="P36" s="259">
        <f>IF(C36="","",COUNTIFS(Başvuru!$C:$C,C36,Başvuru!$L:$L,"GERİ ÇEKİLDİ",Başvuru!$F:$F,"&lt;&gt;"&amp;""))</f>
        <v>0</v>
      </c>
      <c r="Q36" s="260" t="s">
        <v>1134</v>
      </c>
      <c r="R36" s="261">
        <f>COUNTIFS(Başvuru!$C:$C,Q36,Başvuru!$F:$F,"&lt;&gt;"&amp;"")</f>
        <v>5</v>
      </c>
      <c r="S36" s="261">
        <f>RANK(R36,$R$6:$R$290,0)+COUNTIF($R$6:R36,R36)-1</f>
        <v>18</v>
      </c>
    </row>
    <row r="37" spans="2:19" ht="15" customHeight="1" x14ac:dyDescent="0.25">
      <c r="B37" s="262">
        <v>32</v>
      </c>
      <c r="C37" s="263" t="str">
        <f>IFERROR(INDEX($Q$6:$Q$290,MATCH(32,$S$6:$S$290,0)),"")</f>
        <v>Prof. Dr. Deniz DOĞRU ERSÖZ</v>
      </c>
      <c r="D37" s="264">
        <f>IF(C37="","",COUNTIFS(Başvuru!$C:$C,C37,Başvuru!$F:$F,"&lt;&gt;"&amp;""))</f>
        <v>4</v>
      </c>
      <c r="E37" s="262" t="str">
        <f>IF(D37&gt;0,TEXT(D37/COUNTIF(Başvuru!$F:$F,"&lt;&gt;"&amp;"")*100,"0.0")&amp;"%","-")</f>
        <v>00%</v>
      </c>
      <c r="F37" s="265">
        <f>IF(C37="","",COUNTIFS(Başvuru!$C:$C,C37,Başvuru!$G:$G,"Bireysel Araştırma",Başvuru!$F:$F,"&lt;&gt;"&amp;""))</f>
        <v>4</v>
      </c>
      <c r="G37" s="265">
        <f>IF(C37="","",COUNTIFS(Başvuru!$C:$C,C37,Başvuru!$G:$G,"Uzmanlık Tezi",Başvuru!$F:$F,"&lt;&gt;"&amp;""))</f>
        <v>0</v>
      </c>
      <c r="H37" s="265">
        <f>IF(C37="","",COUNTIFS(Başvuru!$C:$C,C37,Başvuru!$G:$G,"Doktora Tezi",Başvuru!$F:$F,"&lt;&gt;"&amp;""))</f>
        <v>0</v>
      </c>
      <c r="I37" s="265">
        <f>IF(C37="","",COUNTIFS(Başvuru!$C:$C,C37,Başvuru!$G:$G,"Yüksek Lisans Tezi",Başvuru!$F:$F,"&lt;&gt;"&amp;""))</f>
        <v>0</v>
      </c>
      <c r="J37" s="266">
        <f>IF(C37="","",COUNTIFS(Başvuru!$C:$C,C37,Başvuru!$L:$L,"ONAY",Başvuru!$F:$F,"&lt;&gt;"&amp;""))</f>
        <v>1</v>
      </c>
      <c r="K37" s="267">
        <f>IF(C37="","",COUNTIFS(Başvuru!$C:$C,C37,Başvuru!$L:$L,"DÜZELTME",Başvuru!$F:$F,"&lt;&gt;"&amp;""))</f>
        <v>0</v>
      </c>
      <c r="L37" s="268">
        <f>IF(C37="","",COUNTIFS(Başvuru!$C:$C,C37,Başvuru!$L:$L,"KAEK",Başvuru!$F:$F,"&lt;&gt;"&amp;""))</f>
        <v>1</v>
      </c>
      <c r="M37" s="269">
        <f>IF(C37="","",COUNTIFS(Başvuru!$C:$C,C37,Başvuru!$L:$L,"GÖRÜŞ",Başvuru!$F:$F,"&lt;&gt;"&amp;""))</f>
        <v>0</v>
      </c>
      <c r="N37" s="270">
        <f>IF(C37="","",COUNTIFS(Başvuru!$C:$C,C37,Başvuru!$L:$L,"RET",Başvuru!$F:$F,"&lt;&gt;"&amp;""))</f>
        <v>0</v>
      </c>
      <c r="O37" s="271">
        <f>IF(C37="","",COUNTIFS(Başvuru!$C:$C,C37,Başvuru!$L:$L,"KAPSAM DIŞI",Başvuru!$F:$F,"&lt;&gt;"&amp;""))</f>
        <v>0</v>
      </c>
      <c r="P37" s="272">
        <f>IF(C37="","",COUNTIFS(Başvuru!$C:$C,C37,Başvuru!$L:$L,"GERİ ÇEKİLDİ",Başvuru!$F:$F,"&lt;&gt;"&amp;""))</f>
        <v>0</v>
      </c>
      <c r="Q37" s="260" t="s">
        <v>965</v>
      </c>
      <c r="R37" s="261">
        <f>COUNTIFS(Başvuru!$C:$C,Q37,Başvuru!$F:$F,"&lt;&gt;"&amp;"")</f>
        <v>2</v>
      </c>
      <c r="S37" s="261">
        <f>RANK(R37,$R$6:$R$290,0)+COUNTIF($R$6:R37,R37)-1</f>
        <v>69</v>
      </c>
    </row>
    <row r="38" spans="2:19" ht="15" customHeight="1" x14ac:dyDescent="0.25">
      <c r="B38" s="249">
        <v>33</v>
      </c>
      <c r="C38" s="250" t="str">
        <f>IFERROR(INDEX($Q$6:$Q$290,MATCH(33,$S$6:$S$290,0)),"")</f>
        <v>Prof. Dr. Fatma Gökçem YILDIZ SARIKAYA</v>
      </c>
      <c r="D38" s="251">
        <f>IF(C38="","",COUNTIFS(Başvuru!$C:$C,C38,Başvuru!$F:$F,"&lt;&gt;"&amp;""))</f>
        <v>4</v>
      </c>
      <c r="E38" s="249" t="str">
        <f>IF(D38&gt;0,TEXT(D38/COUNTIF(Başvuru!$F:$F,"&lt;&gt;"&amp;"")*100,"0.0")&amp;"%","-")</f>
        <v>00%</v>
      </c>
      <c r="F38" s="252">
        <f>IF(C38="","",COUNTIFS(Başvuru!$C:$C,C38,Başvuru!$G:$G,"Bireysel Araştırma",Başvuru!$F:$F,"&lt;&gt;"&amp;""))</f>
        <v>4</v>
      </c>
      <c r="G38" s="252">
        <f>IF(C38="","",COUNTIFS(Başvuru!$C:$C,C38,Başvuru!$G:$G,"Uzmanlık Tezi",Başvuru!$F:$F,"&lt;&gt;"&amp;""))</f>
        <v>0</v>
      </c>
      <c r="H38" s="252">
        <f>IF(C38="","",COUNTIFS(Başvuru!$C:$C,C38,Başvuru!$G:$G,"Doktora Tezi",Başvuru!$F:$F,"&lt;&gt;"&amp;""))</f>
        <v>0</v>
      </c>
      <c r="I38" s="252">
        <f>IF(C38="","",COUNTIFS(Başvuru!$C:$C,C38,Başvuru!$G:$G,"Yüksek Lisans Tezi",Başvuru!$F:$F,"&lt;&gt;"&amp;""))</f>
        <v>0</v>
      </c>
      <c r="J38" s="253">
        <f>IF(C38="","",COUNTIFS(Başvuru!$C:$C,C38,Başvuru!$L:$L,"ONAY",Başvuru!$F:$F,"&lt;&gt;"&amp;""))</f>
        <v>3</v>
      </c>
      <c r="K38" s="254">
        <f>IF(C38="","",COUNTIFS(Başvuru!$C:$C,C38,Başvuru!$L:$L,"DÜZELTME",Başvuru!$F:$F,"&lt;&gt;"&amp;""))</f>
        <v>0</v>
      </c>
      <c r="L38" s="255">
        <f>IF(C38="","",COUNTIFS(Başvuru!$C:$C,C38,Başvuru!$L:$L,"KAEK",Başvuru!$F:$F,"&lt;&gt;"&amp;""))</f>
        <v>0</v>
      </c>
      <c r="M38" s="256">
        <f>IF(C38="","",COUNTIFS(Başvuru!$C:$C,C38,Başvuru!$L:$L,"GÖRÜŞ",Başvuru!$F:$F,"&lt;&gt;"&amp;""))</f>
        <v>1</v>
      </c>
      <c r="N38" s="257">
        <f>IF(C38="","",COUNTIFS(Başvuru!$C:$C,C38,Başvuru!$L:$L,"RET",Başvuru!$F:$F,"&lt;&gt;"&amp;""))</f>
        <v>0</v>
      </c>
      <c r="O38" s="258">
        <f>IF(C38="","",COUNTIFS(Başvuru!$C:$C,C38,Başvuru!$L:$L,"KAPSAM DIŞI",Başvuru!$F:$F,"&lt;&gt;"&amp;""))</f>
        <v>0</v>
      </c>
      <c r="P38" s="259">
        <f>IF(C38="","",COUNTIFS(Başvuru!$C:$C,C38,Başvuru!$L:$L,"GERİ ÇEKİLDİ",Başvuru!$F:$F,"&lt;&gt;"&amp;""))</f>
        <v>0</v>
      </c>
      <c r="Q38" s="260" t="s">
        <v>2114</v>
      </c>
      <c r="R38" s="261">
        <f>COUNTIFS(Başvuru!$C:$C,Q38,Başvuru!$F:$F,"&lt;&gt;"&amp;"")</f>
        <v>1</v>
      </c>
      <c r="S38" s="261">
        <f>RANK(R38,$R$6:$R$290,0)+COUNTIF($R$6:R38,R38)-1</f>
        <v>135</v>
      </c>
    </row>
    <row r="39" spans="2:19" ht="15" customHeight="1" x14ac:dyDescent="0.25">
      <c r="B39" s="262">
        <v>34</v>
      </c>
      <c r="C39" s="263" t="str">
        <f>IFERROR(INDEX($Q$6:$Q$290,MATCH(34,$S$6:$S$290,0)),"")</f>
        <v>Prof. Dr. Gül KARAKAYA</v>
      </c>
      <c r="D39" s="264">
        <f>IF(C39="","",COUNTIFS(Başvuru!$C:$C,C39,Başvuru!$F:$F,"&lt;&gt;"&amp;""))</f>
        <v>4</v>
      </c>
      <c r="E39" s="262" t="str">
        <f>IF(D39&gt;0,TEXT(D39/COUNTIF(Başvuru!$F:$F,"&lt;&gt;"&amp;"")*100,"0.0")&amp;"%","-")</f>
        <v>00%</v>
      </c>
      <c r="F39" s="265">
        <f>IF(C39="","",COUNTIFS(Başvuru!$C:$C,C39,Başvuru!$G:$G,"Bireysel Araştırma",Başvuru!$F:$F,"&lt;&gt;"&amp;""))</f>
        <v>4</v>
      </c>
      <c r="G39" s="265">
        <f>IF(C39="","",COUNTIFS(Başvuru!$C:$C,C39,Başvuru!$G:$G,"Uzmanlık Tezi",Başvuru!$F:$F,"&lt;&gt;"&amp;""))</f>
        <v>0</v>
      </c>
      <c r="H39" s="265">
        <f>IF(C39="","",COUNTIFS(Başvuru!$C:$C,C39,Başvuru!$G:$G,"Doktora Tezi",Başvuru!$F:$F,"&lt;&gt;"&amp;""))</f>
        <v>0</v>
      </c>
      <c r="I39" s="265">
        <f>IF(C39="","",COUNTIFS(Başvuru!$C:$C,C39,Başvuru!$G:$G,"Yüksek Lisans Tezi",Başvuru!$F:$F,"&lt;&gt;"&amp;""))</f>
        <v>0</v>
      </c>
      <c r="J39" s="266">
        <f>IF(C39="","",COUNTIFS(Başvuru!$C:$C,C39,Başvuru!$L:$L,"ONAY",Başvuru!$F:$F,"&lt;&gt;"&amp;""))</f>
        <v>3</v>
      </c>
      <c r="K39" s="267">
        <f>IF(C39="","",COUNTIFS(Başvuru!$C:$C,C39,Başvuru!$L:$L,"DÜZELTME",Başvuru!$F:$F,"&lt;&gt;"&amp;""))</f>
        <v>1</v>
      </c>
      <c r="L39" s="268">
        <f>IF(C39="","",COUNTIFS(Başvuru!$C:$C,C39,Başvuru!$L:$L,"KAEK",Başvuru!$F:$F,"&lt;&gt;"&amp;""))</f>
        <v>0</v>
      </c>
      <c r="M39" s="269">
        <f>IF(C39="","",COUNTIFS(Başvuru!$C:$C,C39,Başvuru!$L:$L,"GÖRÜŞ",Başvuru!$F:$F,"&lt;&gt;"&amp;""))</f>
        <v>0</v>
      </c>
      <c r="N39" s="270">
        <f>IF(C39="","",COUNTIFS(Başvuru!$C:$C,C39,Başvuru!$L:$L,"RET",Başvuru!$F:$F,"&lt;&gt;"&amp;""))</f>
        <v>0</v>
      </c>
      <c r="O39" s="271">
        <f>IF(C39="","",COUNTIFS(Başvuru!$C:$C,C39,Başvuru!$L:$L,"KAPSAM DIŞI",Başvuru!$F:$F,"&lt;&gt;"&amp;""))</f>
        <v>0</v>
      </c>
      <c r="P39" s="272">
        <f>IF(C39="","",COUNTIFS(Başvuru!$C:$C,C39,Başvuru!$L:$L,"GERİ ÇEKİLDİ",Başvuru!$F:$F,"&lt;&gt;"&amp;""))</f>
        <v>0</v>
      </c>
      <c r="Q39" s="260" t="s">
        <v>1976</v>
      </c>
      <c r="R39" s="261">
        <f>COUNTIFS(Başvuru!$C:$C,Q39,Başvuru!$F:$F,"&lt;&gt;"&amp;"")</f>
        <v>2</v>
      </c>
      <c r="S39" s="261">
        <f>RANK(R39,$R$6:$R$290,0)+COUNTIF($R$6:R39,R39)-1</f>
        <v>70</v>
      </c>
    </row>
    <row r="40" spans="2:19" ht="15" customHeight="1" x14ac:dyDescent="0.25">
      <c r="B40" s="249">
        <v>35</v>
      </c>
      <c r="C40" s="250" t="str">
        <f>IFERROR(INDEX($Q$6:$Q$290,MATCH(35,$S$6:$S$290,0)),"")</f>
        <v>Prof. Dr. Çağrı Mesut TEMUÇİN</v>
      </c>
      <c r="D40" s="251">
        <f>IF(C40="","",COUNTIFS(Başvuru!$C:$C,C40,Başvuru!$F:$F,"&lt;&gt;"&amp;""))</f>
        <v>4</v>
      </c>
      <c r="E40" s="249" t="str">
        <f>IF(D40&gt;0,TEXT(D40/COUNTIF(Başvuru!$F:$F,"&lt;&gt;"&amp;"")*100,"0.0")&amp;"%","-")</f>
        <v>00%</v>
      </c>
      <c r="F40" s="252">
        <f>IF(C40="","",COUNTIFS(Başvuru!$C:$C,C40,Başvuru!$G:$G,"Bireysel Araştırma",Başvuru!$F:$F,"&lt;&gt;"&amp;""))</f>
        <v>4</v>
      </c>
      <c r="G40" s="252">
        <f>IF(C40="","",COUNTIFS(Başvuru!$C:$C,C40,Başvuru!$G:$G,"Uzmanlık Tezi",Başvuru!$F:$F,"&lt;&gt;"&amp;""))</f>
        <v>0</v>
      </c>
      <c r="H40" s="252">
        <f>IF(C40="","",COUNTIFS(Başvuru!$C:$C,C40,Başvuru!$G:$G,"Doktora Tezi",Başvuru!$F:$F,"&lt;&gt;"&amp;""))</f>
        <v>0</v>
      </c>
      <c r="I40" s="252">
        <f>IF(C40="","",COUNTIFS(Başvuru!$C:$C,C40,Başvuru!$G:$G,"Yüksek Lisans Tezi",Başvuru!$F:$F,"&lt;&gt;"&amp;""))</f>
        <v>0</v>
      </c>
      <c r="J40" s="253">
        <f>IF(C40="","",COUNTIFS(Başvuru!$C:$C,C40,Başvuru!$L:$L,"ONAY",Başvuru!$F:$F,"&lt;&gt;"&amp;""))</f>
        <v>3</v>
      </c>
      <c r="K40" s="254">
        <f>IF(C40="","",COUNTIFS(Başvuru!$C:$C,C40,Başvuru!$L:$L,"DÜZELTME",Başvuru!$F:$F,"&lt;&gt;"&amp;""))</f>
        <v>1</v>
      </c>
      <c r="L40" s="255">
        <f>IF(C40="","",COUNTIFS(Başvuru!$C:$C,C40,Başvuru!$L:$L,"KAEK",Başvuru!$F:$F,"&lt;&gt;"&amp;""))</f>
        <v>0</v>
      </c>
      <c r="M40" s="256">
        <f>IF(C40="","",COUNTIFS(Başvuru!$C:$C,C40,Başvuru!$L:$L,"GÖRÜŞ",Başvuru!$F:$F,"&lt;&gt;"&amp;""))</f>
        <v>0</v>
      </c>
      <c r="N40" s="257">
        <f>IF(C40="","",COUNTIFS(Başvuru!$C:$C,C40,Başvuru!$L:$L,"RET",Başvuru!$F:$F,"&lt;&gt;"&amp;""))</f>
        <v>0</v>
      </c>
      <c r="O40" s="258">
        <f>IF(C40="","",COUNTIFS(Başvuru!$C:$C,C40,Başvuru!$L:$L,"KAPSAM DIŞI",Başvuru!$F:$F,"&lt;&gt;"&amp;""))</f>
        <v>0</v>
      </c>
      <c r="P40" s="259">
        <f>IF(C40="","",COUNTIFS(Başvuru!$C:$C,C40,Başvuru!$L:$L,"GERİ ÇEKİLDİ",Başvuru!$F:$F,"&lt;&gt;"&amp;""))</f>
        <v>0</v>
      </c>
      <c r="Q40" s="260" t="s">
        <v>83</v>
      </c>
      <c r="R40" s="261">
        <f>COUNTIFS(Başvuru!$C:$C,Q40,Başvuru!$F:$F,"&lt;&gt;"&amp;"")</f>
        <v>1</v>
      </c>
      <c r="S40" s="261">
        <f>RANK(R40,$R$6:$R$290,0)+COUNTIF($R$6:R40,R40)-1</f>
        <v>136</v>
      </c>
    </row>
    <row r="41" spans="2:19" ht="15" customHeight="1" x14ac:dyDescent="0.25">
      <c r="B41" s="262">
        <v>36</v>
      </c>
      <c r="C41" s="263" t="str">
        <f>IFERROR(INDEX($Q$6:$Q$290,MATCH(36,$S$6:$S$290,0)),"")</f>
        <v>Prof. Dr. Özlem TEKŞAM</v>
      </c>
      <c r="D41" s="264">
        <f>IF(C41="","",COUNTIFS(Başvuru!$C:$C,C41,Başvuru!$F:$F,"&lt;&gt;"&amp;""))</f>
        <v>4</v>
      </c>
      <c r="E41" s="262" t="str">
        <f>IF(D41&gt;0,TEXT(D41/COUNTIF(Başvuru!$F:$F,"&lt;&gt;"&amp;"")*100,"0.0")&amp;"%","-")</f>
        <v>00%</v>
      </c>
      <c r="F41" s="265">
        <f>IF(C41="","",COUNTIFS(Başvuru!$C:$C,C41,Başvuru!$G:$G,"Bireysel Araştırma",Başvuru!$F:$F,"&lt;&gt;"&amp;""))</f>
        <v>3</v>
      </c>
      <c r="G41" s="265">
        <f>IF(C41="","",COUNTIFS(Başvuru!$C:$C,C41,Başvuru!$G:$G,"Uzmanlık Tezi",Başvuru!$F:$F,"&lt;&gt;"&amp;""))</f>
        <v>1</v>
      </c>
      <c r="H41" s="265">
        <f>IF(C41="","",COUNTIFS(Başvuru!$C:$C,C41,Başvuru!$G:$G,"Doktora Tezi",Başvuru!$F:$F,"&lt;&gt;"&amp;""))</f>
        <v>0</v>
      </c>
      <c r="I41" s="265">
        <f>IF(C41="","",COUNTIFS(Başvuru!$C:$C,C41,Başvuru!$G:$G,"Yüksek Lisans Tezi",Başvuru!$F:$F,"&lt;&gt;"&amp;""))</f>
        <v>0</v>
      </c>
      <c r="J41" s="266">
        <f>IF(C41="","",COUNTIFS(Başvuru!$C:$C,C41,Başvuru!$L:$L,"ONAY",Başvuru!$F:$F,"&lt;&gt;"&amp;""))</f>
        <v>3</v>
      </c>
      <c r="K41" s="267">
        <f>IF(C41="","",COUNTIFS(Başvuru!$C:$C,C41,Başvuru!$L:$L,"DÜZELTME",Başvuru!$F:$F,"&lt;&gt;"&amp;""))</f>
        <v>1</v>
      </c>
      <c r="L41" s="268">
        <f>IF(C41="","",COUNTIFS(Başvuru!$C:$C,C41,Başvuru!$L:$L,"KAEK",Başvuru!$F:$F,"&lt;&gt;"&amp;""))</f>
        <v>0</v>
      </c>
      <c r="M41" s="269">
        <f>IF(C41="","",COUNTIFS(Başvuru!$C:$C,C41,Başvuru!$L:$L,"GÖRÜŞ",Başvuru!$F:$F,"&lt;&gt;"&amp;""))</f>
        <v>0</v>
      </c>
      <c r="N41" s="270">
        <f>IF(C41="","",COUNTIFS(Başvuru!$C:$C,C41,Başvuru!$L:$L,"RET",Başvuru!$F:$F,"&lt;&gt;"&amp;""))</f>
        <v>0</v>
      </c>
      <c r="O41" s="271">
        <f>IF(C41="","",COUNTIFS(Başvuru!$C:$C,C41,Başvuru!$L:$L,"KAPSAM DIŞI",Başvuru!$F:$F,"&lt;&gt;"&amp;""))</f>
        <v>0</v>
      </c>
      <c r="P41" s="272">
        <f>IF(C41="","",COUNTIFS(Başvuru!$C:$C,C41,Başvuru!$L:$L,"GERİ ÇEKİLDİ",Başvuru!$F:$F,"&lt;&gt;"&amp;""))</f>
        <v>0</v>
      </c>
      <c r="Q41" s="260" t="s">
        <v>601</v>
      </c>
      <c r="R41" s="261">
        <f>COUNTIFS(Başvuru!$C:$C,Q41,Başvuru!$F:$F,"&lt;&gt;"&amp;"")</f>
        <v>1</v>
      </c>
      <c r="S41" s="261">
        <f>RANK(R41,$R$6:$R$290,0)+COUNTIF($R$6:R41,R41)-1</f>
        <v>137</v>
      </c>
    </row>
    <row r="42" spans="2:19" ht="15" customHeight="1" x14ac:dyDescent="0.25">
      <c r="B42" s="249">
        <v>37</v>
      </c>
      <c r="C42" s="250" t="str">
        <f>IFERROR(INDEX($Q$6:$Q$290,MATCH(37,$S$6:$S$290,0)),"")</f>
        <v>Prof. Dr. Ümit Yavuz MALKAN</v>
      </c>
      <c r="D42" s="251">
        <f>IF(C42="","",COUNTIFS(Başvuru!$C:$C,C42,Başvuru!$F:$F,"&lt;&gt;"&amp;""))</f>
        <v>4</v>
      </c>
      <c r="E42" s="249" t="str">
        <f>IF(D42&gt;0,TEXT(D42/COUNTIF(Başvuru!$F:$F,"&lt;&gt;"&amp;"")*100,"0.0")&amp;"%","-")</f>
        <v>00%</v>
      </c>
      <c r="F42" s="252">
        <f>IF(C42="","",COUNTIFS(Başvuru!$C:$C,C42,Başvuru!$G:$G,"Bireysel Araştırma",Başvuru!$F:$F,"&lt;&gt;"&amp;""))</f>
        <v>4</v>
      </c>
      <c r="G42" s="252">
        <f>IF(C42="","",COUNTIFS(Başvuru!$C:$C,C42,Başvuru!$G:$G,"Uzmanlık Tezi",Başvuru!$F:$F,"&lt;&gt;"&amp;""))</f>
        <v>0</v>
      </c>
      <c r="H42" s="252">
        <f>IF(C42="","",COUNTIFS(Başvuru!$C:$C,C42,Başvuru!$G:$G,"Doktora Tezi",Başvuru!$F:$F,"&lt;&gt;"&amp;""))</f>
        <v>0</v>
      </c>
      <c r="I42" s="252">
        <f>IF(C42="","",COUNTIFS(Başvuru!$C:$C,C42,Başvuru!$G:$G,"Yüksek Lisans Tezi",Başvuru!$F:$F,"&lt;&gt;"&amp;""))</f>
        <v>0</v>
      </c>
      <c r="J42" s="253">
        <f>IF(C42="","",COUNTIFS(Başvuru!$C:$C,C42,Başvuru!$L:$L,"ONAY",Başvuru!$F:$F,"&lt;&gt;"&amp;""))</f>
        <v>3</v>
      </c>
      <c r="K42" s="254">
        <f>IF(C42="","",COUNTIFS(Başvuru!$C:$C,C42,Başvuru!$L:$L,"DÜZELTME",Başvuru!$F:$F,"&lt;&gt;"&amp;""))</f>
        <v>1</v>
      </c>
      <c r="L42" s="255">
        <f>IF(C42="","",COUNTIFS(Başvuru!$C:$C,C42,Başvuru!$L:$L,"KAEK",Başvuru!$F:$F,"&lt;&gt;"&amp;""))</f>
        <v>0</v>
      </c>
      <c r="M42" s="256">
        <f>IF(C42="","",COUNTIFS(Başvuru!$C:$C,C42,Başvuru!$L:$L,"GÖRÜŞ",Başvuru!$F:$F,"&lt;&gt;"&amp;""))</f>
        <v>0</v>
      </c>
      <c r="N42" s="257">
        <f>IF(C42="","",COUNTIFS(Başvuru!$C:$C,C42,Başvuru!$L:$L,"RET",Başvuru!$F:$F,"&lt;&gt;"&amp;""))</f>
        <v>0</v>
      </c>
      <c r="O42" s="258">
        <f>IF(C42="","",COUNTIFS(Başvuru!$C:$C,C42,Başvuru!$L:$L,"KAPSAM DIŞI",Başvuru!$F:$F,"&lt;&gt;"&amp;""))</f>
        <v>0</v>
      </c>
      <c r="P42" s="259">
        <f>IF(C42="","",COUNTIFS(Başvuru!$C:$C,C42,Başvuru!$L:$L,"GERİ ÇEKİLDİ",Başvuru!$F:$F,"&lt;&gt;"&amp;""))</f>
        <v>0</v>
      </c>
      <c r="Q42" s="260" t="s">
        <v>1392</v>
      </c>
      <c r="R42" s="261">
        <f>COUNTIFS(Başvuru!$C:$C,Q42,Başvuru!$F:$F,"&lt;&gt;"&amp;"")</f>
        <v>1</v>
      </c>
      <c r="S42" s="261">
        <f>RANK(R42,$R$6:$R$290,0)+COUNTIF($R$6:R42,R42)-1</f>
        <v>138</v>
      </c>
    </row>
    <row r="43" spans="2:19" ht="15" customHeight="1" x14ac:dyDescent="0.25">
      <c r="B43" s="262">
        <v>38</v>
      </c>
      <c r="C43" s="263" t="str">
        <f>IFERROR(INDEX($Q$6:$Q$290,MATCH(38,$S$6:$S$290,0)),"")</f>
        <v>Doç. Dr. Başak YALICI ARMAĞAN</v>
      </c>
      <c r="D43" s="264">
        <f>IF(C43="","",COUNTIFS(Başvuru!$C:$C,C43,Başvuru!$F:$F,"&lt;&gt;"&amp;""))</f>
        <v>3</v>
      </c>
      <c r="E43" s="262" t="str">
        <f>IF(D43&gt;0,TEXT(D43/COUNTIF(Başvuru!$F:$F,"&lt;&gt;"&amp;"")*100,"0.0")&amp;"%","-")</f>
        <v>00%</v>
      </c>
      <c r="F43" s="265">
        <f>IF(C43="","",COUNTIFS(Başvuru!$C:$C,C43,Başvuru!$G:$G,"Bireysel Araştırma",Başvuru!$F:$F,"&lt;&gt;"&amp;""))</f>
        <v>1</v>
      </c>
      <c r="G43" s="265">
        <f>IF(C43="","",COUNTIFS(Başvuru!$C:$C,C43,Başvuru!$G:$G,"Uzmanlık Tezi",Başvuru!$F:$F,"&lt;&gt;"&amp;""))</f>
        <v>2</v>
      </c>
      <c r="H43" s="265">
        <f>IF(C43="","",COUNTIFS(Başvuru!$C:$C,C43,Başvuru!$G:$G,"Doktora Tezi",Başvuru!$F:$F,"&lt;&gt;"&amp;""))</f>
        <v>0</v>
      </c>
      <c r="I43" s="265">
        <f>IF(C43="","",COUNTIFS(Başvuru!$C:$C,C43,Başvuru!$G:$G,"Yüksek Lisans Tezi",Başvuru!$F:$F,"&lt;&gt;"&amp;""))</f>
        <v>0</v>
      </c>
      <c r="J43" s="266">
        <f>IF(C43="","",COUNTIFS(Başvuru!$C:$C,C43,Başvuru!$L:$L,"ONAY",Başvuru!$F:$F,"&lt;&gt;"&amp;""))</f>
        <v>1</v>
      </c>
      <c r="K43" s="267">
        <f>IF(C43="","",COUNTIFS(Başvuru!$C:$C,C43,Başvuru!$L:$L,"DÜZELTME",Başvuru!$F:$F,"&lt;&gt;"&amp;""))</f>
        <v>1</v>
      </c>
      <c r="L43" s="268">
        <f>IF(C43="","",COUNTIFS(Başvuru!$C:$C,C43,Başvuru!$L:$L,"KAEK",Başvuru!$F:$F,"&lt;&gt;"&amp;""))</f>
        <v>1</v>
      </c>
      <c r="M43" s="269">
        <f>IF(C43="","",COUNTIFS(Başvuru!$C:$C,C43,Başvuru!$L:$L,"GÖRÜŞ",Başvuru!$F:$F,"&lt;&gt;"&amp;""))</f>
        <v>0</v>
      </c>
      <c r="N43" s="270">
        <f>IF(C43="","",COUNTIFS(Başvuru!$C:$C,C43,Başvuru!$L:$L,"RET",Başvuru!$F:$F,"&lt;&gt;"&amp;""))</f>
        <v>0</v>
      </c>
      <c r="O43" s="271">
        <f>IF(C43="","",COUNTIFS(Başvuru!$C:$C,C43,Başvuru!$L:$L,"KAPSAM DIŞI",Başvuru!$F:$F,"&lt;&gt;"&amp;""))</f>
        <v>0</v>
      </c>
      <c r="P43" s="272">
        <f>IF(C43="","",COUNTIFS(Başvuru!$C:$C,C43,Başvuru!$L:$L,"GERİ ÇEKİLDİ",Başvuru!$F:$F,"&lt;&gt;"&amp;""))</f>
        <v>0</v>
      </c>
      <c r="Q43" s="260" t="s">
        <v>537</v>
      </c>
      <c r="R43" s="261">
        <f>COUNTIFS(Başvuru!$C:$C,Q43,Başvuru!$F:$F,"&lt;&gt;"&amp;"")</f>
        <v>2</v>
      </c>
      <c r="S43" s="261">
        <f>RANK(R43,$R$6:$R$290,0)+COUNTIF($R$6:R43,R43)-1</f>
        <v>71</v>
      </c>
    </row>
    <row r="44" spans="2:19" ht="15" customHeight="1" x14ac:dyDescent="0.25">
      <c r="B44" s="249">
        <v>39</v>
      </c>
      <c r="C44" s="250" t="str">
        <f>IFERROR(INDEX($Q$6:$Q$290,MATCH(39,$S$6:$S$290,0)),"")</f>
        <v>Doç. Dr. Gamze DURHAN</v>
      </c>
      <c r="D44" s="251">
        <f>IF(C44="","",COUNTIFS(Başvuru!$C:$C,C44,Başvuru!$F:$F,"&lt;&gt;"&amp;""))</f>
        <v>3</v>
      </c>
      <c r="E44" s="249" t="str">
        <f>IF(D44&gt;0,TEXT(D44/COUNTIF(Başvuru!$F:$F,"&lt;&gt;"&amp;"")*100,"0.0")&amp;"%","-")</f>
        <v>00%</v>
      </c>
      <c r="F44" s="252">
        <f>IF(C44="","",COUNTIFS(Başvuru!$C:$C,C44,Başvuru!$G:$G,"Bireysel Araştırma",Başvuru!$F:$F,"&lt;&gt;"&amp;""))</f>
        <v>2</v>
      </c>
      <c r="G44" s="252">
        <f>IF(C44="","",COUNTIFS(Başvuru!$C:$C,C44,Başvuru!$G:$G,"Uzmanlık Tezi",Başvuru!$F:$F,"&lt;&gt;"&amp;""))</f>
        <v>1</v>
      </c>
      <c r="H44" s="252">
        <f>IF(C44="","",COUNTIFS(Başvuru!$C:$C,C44,Başvuru!$G:$G,"Doktora Tezi",Başvuru!$F:$F,"&lt;&gt;"&amp;""))</f>
        <v>0</v>
      </c>
      <c r="I44" s="252">
        <f>IF(C44="","",COUNTIFS(Başvuru!$C:$C,C44,Başvuru!$G:$G,"Yüksek Lisans Tezi",Başvuru!$F:$F,"&lt;&gt;"&amp;""))</f>
        <v>0</v>
      </c>
      <c r="J44" s="253">
        <f>IF(C44="","",COUNTIFS(Başvuru!$C:$C,C44,Başvuru!$L:$L,"ONAY",Başvuru!$F:$F,"&lt;&gt;"&amp;""))</f>
        <v>3</v>
      </c>
      <c r="K44" s="254">
        <f>IF(C44="","",COUNTIFS(Başvuru!$C:$C,C44,Başvuru!$L:$L,"DÜZELTME",Başvuru!$F:$F,"&lt;&gt;"&amp;""))</f>
        <v>0</v>
      </c>
      <c r="L44" s="255">
        <f>IF(C44="","",COUNTIFS(Başvuru!$C:$C,C44,Başvuru!$L:$L,"KAEK",Başvuru!$F:$F,"&lt;&gt;"&amp;""))</f>
        <v>0</v>
      </c>
      <c r="M44" s="256">
        <f>IF(C44="","",COUNTIFS(Başvuru!$C:$C,C44,Başvuru!$L:$L,"GÖRÜŞ",Başvuru!$F:$F,"&lt;&gt;"&amp;""))</f>
        <v>0</v>
      </c>
      <c r="N44" s="257">
        <f>IF(C44="","",COUNTIFS(Başvuru!$C:$C,C44,Başvuru!$L:$L,"RET",Başvuru!$F:$F,"&lt;&gt;"&amp;""))</f>
        <v>0</v>
      </c>
      <c r="O44" s="258">
        <f>IF(C44="","",COUNTIFS(Başvuru!$C:$C,C44,Başvuru!$L:$L,"KAPSAM DIŞI",Başvuru!$F:$F,"&lt;&gt;"&amp;""))</f>
        <v>0</v>
      </c>
      <c r="P44" s="259">
        <f>IF(C44="","",COUNTIFS(Başvuru!$C:$C,C44,Başvuru!$L:$L,"GERİ ÇEKİLDİ",Başvuru!$F:$F,"&lt;&gt;"&amp;""))</f>
        <v>0</v>
      </c>
      <c r="Q44" s="260" t="s">
        <v>386</v>
      </c>
      <c r="R44" s="261">
        <f>COUNTIFS(Başvuru!$C:$C,Q44,Başvuru!$F:$F,"&lt;&gt;"&amp;"")</f>
        <v>4</v>
      </c>
      <c r="S44" s="261">
        <f>RANK(R44,$R$6:$R$290,0)+COUNTIF($R$6:R44,R44)-1</f>
        <v>24</v>
      </c>
    </row>
    <row r="45" spans="2:19" ht="15" customHeight="1" x14ac:dyDescent="0.25">
      <c r="B45" s="262">
        <v>40</v>
      </c>
      <c r="C45" s="263" t="str">
        <f>IFERROR(INDEX($Q$6:$Q$290,MATCH(40,$S$6:$S$290,0)),"")</f>
        <v>Doç. Dr. Hayriye HIZARCIOĞLU GÜLŞEN</v>
      </c>
      <c r="D45" s="264">
        <f>IF(C45="","",COUNTIFS(Başvuru!$C:$C,C45,Başvuru!$F:$F,"&lt;&gt;"&amp;""))</f>
        <v>3</v>
      </c>
      <c r="E45" s="262" t="str">
        <f>IF(D45&gt;0,TEXT(D45/COUNTIF(Başvuru!$F:$F,"&lt;&gt;"&amp;"")*100,"0.0")&amp;"%","-")</f>
        <v>00%</v>
      </c>
      <c r="F45" s="265">
        <f>IF(C45="","",COUNTIFS(Başvuru!$C:$C,C45,Başvuru!$G:$G,"Bireysel Araştırma",Başvuru!$F:$F,"&lt;&gt;"&amp;""))</f>
        <v>3</v>
      </c>
      <c r="G45" s="265">
        <f>IF(C45="","",COUNTIFS(Başvuru!$C:$C,C45,Başvuru!$G:$G,"Uzmanlık Tezi",Başvuru!$F:$F,"&lt;&gt;"&amp;""))</f>
        <v>0</v>
      </c>
      <c r="H45" s="265">
        <f>IF(C45="","",COUNTIFS(Başvuru!$C:$C,C45,Başvuru!$G:$G,"Doktora Tezi",Başvuru!$F:$F,"&lt;&gt;"&amp;""))</f>
        <v>0</v>
      </c>
      <c r="I45" s="265">
        <f>IF(C45="","",COUNTIFS(Başvuru!$C:$C,C45,Başvuru!$G:$G,"Yüksek Lisans Tezi",Başvuru!$F:$F,"&lt;&gt;"&amp;""))</f>
        <v>0</v>
      </c>
      <c r="J45" s="266">
        <f>IF(C45="","",COUNTIFS(Başvuru!$C:$C,C45,Başvuru!$L:$L,"ONAY",Başvuru!$F:$F,"&lt;&gt;"&amp;""))</f>
        <v>1</v>
      </c>
      <c r="K45" s="267">
        <f>IF(C45="","",COUNTIFS(Başvuru!$C:$C,C45,Başvuru!$L:$L,"DÜZELTME",Başvuru!$F:$F,"&lt;&gt;"&amp;""))</f>
        <v>0</v>
      </c>
      <c r="L45" s="268">
        <f>IF(C45="","",COUNTIFS(Başvuru!$C:$C,C45,Başvuru!$L:$L,"KAEK",Başvuru!$F:$F,"&lt;&gt;"&amp;""))</f>
        <v>0</v>
      </c>
      <c r="M45" s="269">
        <f>IF(C45="","",COUNTIFS(Başvuru!$C:$C,C45,Başvuru!$L:$L,"GÖRÜŞ",Başvuru!$F:$F,"&lt;&gt;"&amp;""))</f>
        <v>0</v>
      </c>
      <c r="N45" s="270">
        <f>IF(C45="","",COUNTIFS(Başvuru!$C:$C,C45,Başvuru!$L:$L,"RET",Başvuru!$F:$F,"&lt;&gt;"&amp;""))</f>
        <v>0</v>
      </c>
      <c r="O45" s="271">
        <f>IF(C45="","",COUNTIFS(Başvuru!$C:$C,C45,Başvuru!$L:$L,"KAPSAM DIŞI",Başvuru!$F:$F,"&lt;&gt;"&amp;""))</f>
        <v>0</v>
      </c>
      <c r="P45" s="272">
        <f>IF(C45="","",COUNTIFS(Başvuru!$C:$C,C45,Başvuru!$L:$L,"GERİ ÇEKİLDİ",Başvuru!$F:$F,"&lt;&gt;"&amp;""))</f>
        <v>0</v>
      </c>
      <c r="Q45" s="260" t="s">
        <v>2532</v>
      </c>
      <c r="R45" s="261">
        <f>COUNTIFS(Başvuru!$C:$C,Q45,Başvuru!$F:$F,"&lt;&gt;"&amp;"")</f>
        <v>1</v>
      </c>
      <c r="S45" s="261">
        <f>RANK(R45,$R$6:$R$290,0)+COUNTIF($R$6:R45,R45)-1</f>
        <v>139</v>
      </c>
    </row>
    <row r="46" spans="2:19" ht="15" customHeight="1" x14ac:dyDescent="0.25">
      <c r="B46" s="249">
        <v>41</v>
      </c>
      <c r="C46" s="250" t="str">
        <f>IFERROR(INDEX($Q$6:$Q$290,MATCH(41,$S$6:$S$290,0)),"")</f>
        <v>Doç. Dr. Levent KILIÇ</v>
      </c>
      <c r="D46" s="251">
        <f>IF(C46="","",COUNTIFS(Başvuru!$C:$C,C46,Başvuru!$F:$F,"&lt;&gt;"&amp;""))</f>
        <v>3</v>
      </c>
      <c r="E46" s="249" t="str">
        <f>IF(D46&gt;0,TEXT(D46/COUNTIF(Başvuru!$F:$F,"&lt;&gt;"&amp;"")*100,"0.0")&amp;"%","-")</f>
        <v>00%</v>
      </c>
      <c r="F46" s="252">
        <f>IF(C46="","",COUNTIFS(Başvuru!$C:$C,C46,Başvuru!$G:$G,"Bireysel Araştırma",Başvuru!$F:$F,"&lt;&gt;"&amp;""))</f>
        <v>2</v>
      </c>
      <c r="G46" s="252">
        <f>IF(C46="","",COUNTIFS(Başvuru!$C:$C,C46,Başvuru!$G:$G,"Uzmanlık Tezi",Başvuru!$F:$F,"&lt;&gt;"&amp;""))</f>
        <v>1</v>
      </c>
      <c r="H46" s="252">
        <f>IF(C46="","",COUNTIFS(Başvuru!$C:$C,C46,Başvuru!$G:$G,"Doktora Tezi",Başvuru!$F:$F,"&lt;&gt;"&amp;""))</f>
        <v>0</v>
      </c>
      <c r="I46" s="252">
        <f>IF(C46="","",COUNTIFS(Başvuru!$C:$C,C46,Başvuru!$G:$G,"Yüksek Lisans Tezi",Başvuru!$F:$F,"&lt;&gt;"&amp;""))</f>
        <v>0</v>
      </c>
      <c r="J46" s="253">
        <f>IF(C46="","",COUNTIFS(Başvuru!$C:$C,C46,Başvuru!$L:$L,"ONAY",Başvuru!$F:$F,"&lt;&gt;"&amp;""))</f>
        <v>1</v>
      </c>
      <c r="K46" s="254">
        <f>IF(C46="","",COUNTIFS(Başvuru!$C:$C,C46,Başvuru!$L:$L,"DÜZELTME",Başvuru!$F:$F,"&lt;&gt;"&amp;""))</f>
        <v>1</v>
      </c>
      <c r="L46" s="255">
        <f>IF(C46="","",COUNTIFS(Başvuru!$C:$C,C46,Başvuru!$L:$L,"KAEK",Başvuru!$F:$F,"&lt;&gt;"&amp;""))</f>
        <v>0</v>
      </c>
      <c r="M46" s="256">
        <f>IF(C46="","",COUNTIFS(Başvuru!$C:$C,C46,Başvuru!$L:$L,"GÖRÜŞ",Başvuru!$F:$F,"&lt;&gt;"&amp;""))</f>
        <v>1</v>
      </c>
      <c r="N46" s="257">
        <f>IF(C46="","",COUNTIFS(Başvuru!$C:$C,C46,Başvuru!$L:$L,"RET",Başvuru!$F:$F,"&lt;&gt;"&amp;""))</f>
        <v>0</v>
      </c>
      <c r="O46" s="258">
        <f>IF(C46="","",COUNTIFS(Başvuru!$C:$C,C46,Başvuru!$L:$L,"KAPSAM DIŞI",Başvuru!$F:$F,"&lt;&gt;"&amp;""))</f>
        <v>0</v>
      </c>
      <c r="P46" s="259">
        <f>IF(C46="","",COUNTIFS(Başvuru!$C:$C,C46,Başvuru!$L:$L,"GERİ ÇEKİLDİ",Başvuru!$F:$F,"&lt;&gt;"&amp;""))</f>
        <v>0</v>
      </c>
      <c r="Q46" s="260" t="s">
        <v>2455</v>
      </c>
      <c r="R46" s="261">
        <f>COUNTIFS(Başvuru!$C:$C,Q46,Başvuru!$F:$F,"&lt;&gt;"&amp;"")</f>
        <v>1</v>
      </c>
      <c r="S46" s="261">
        <f>RANK(R46,$R$6:$R$290,0)+COUNTIF($R$6:R46,R46)-1</f>
        <v>140</v>
      </c>
    </row>
    <row r="47" spans="2:19" ht="15" customHeight="1" x14ac:dyDescent="0.25">
      <c r="B47" s="262">
        <v>42</v>
      </c>
      <c r="C47" s="263" t="str">
        <f>IFERROR(INDEX($Q$6:$Q$290,MATCH(42,$S$6:$S$290,0)),"")</f>
        <v>Doç. Dr. Mesut ALTAN</v>
      </c>
      <c r="D47" s="264">
        <f>IF(C47="","",COUNTIFS(Başvuru!$C:$C,C47,Başvuru!$F:$F,"&lt;&gt;"&amp;""))</f>
        <v>3</v>
      </c>
      <c r="E47" s="262" t="str">
        <f>IF(D47&gt;0,TEXT(D47/COUNTIF(Başvuru!$F:$F,"&lt;&gt;"&amp;"")*100,"0.0")&amp;"%","-")</f>
        <v>00%</v>
      </c>
      <c r="F47" s="265">
        <f>IF(C47="","",COUNTIFS(Başvuru!$C:$C,C47,Başvuru!$G:$G,"Bireysel Araştırma",Başvuru!$F:$F,"&lt;&gt;"&amp;""))</f>
        <v>3</v>
      </c>
      <c r="G47" s="265">
        <f>IF(C47="","",COUNTIFS(Başvuru!$C:$C,C47,Başvuru!$G:$G,"Uzmanlık Tezi",Başvuru!$F:$F,"&lt;&gt;"&amp;""))</f>
        <v>0</v>
      </c>
      <c r="H47" s="265">
        <f>IF(C47="","",COUNTIFS(Başvuru!$C:$C,C47,Başvuru!$G:$G,"Doktora Tezi",Başvuru!$F:$F,"&lt;&gt;"&amp;""))</f>
        <v>0</v>
      </c>
      <c r="I47" s="265">
        <f>IF(C47="","",COUNTIFS(Başvuru!$C:$C,C47,Başvuru!$G:$G,"Yüksek Lisans Tezi",Başvuru!$F:$F,"&lt;&gt;"&amp;""))</f>
        <v>0</v>
      </c>
      <c r="J47" s="266">
        <f>IF(C47="","",COUNTIFS(Başvuru!$C:$C,C47,Başvuru!$L:$L,"ONAY",Başvuru!$F:$F,"&lt;&gt;"&amp;""))</f>
        <v>3</v>
      </c>
      <c r="K47" s="267">
        <f>IF(C47="","",COUNTIFS(Başvuru!$C:$C,C47,Başvuru!$L:$L,"DÜZELTME",Başvuru!$F:$F,"&lt;&gt;"&amp;""))</f>
        <v>0</v>
      </c>
      <c r="L47" s="268">
        <f>IF(C47="","",COUNTIFS(Başvuru!$C:$C,C47,Başvuru!$L:$L,"KAEK",Başvuru!$F:$F,"&lt;&gt;"&amp;""))</f>
        <v>0</v>
      </c>
      <c r="M47" s="269">
        <f>IF(C47="","",COUNTIFS(Başvuru!$C:$C,C47,Başvuru!$L:$L,"GÖRÜŞ",Başvuru!$F:$F,"&lt;&gt;"&amp;""))</f>
        <v>0</v>
      </c>
      <c r="N47" s="270">
        <f>IF(C47="","",COUNTIFS(Başvuru!$C:$C,C47,Başvuru!$L:$L,"RET",Başvuru!$F:$F,"&lt;&gt;"&amp;""))</f>
        <v>0</v>
      </c>
      <c r="O47" s="271">
        <f>IF(C47="","",COUNTIFS(Başvuru!$C:$C,C47,Başvuru!$L:$L,"KAPSAM DIŞI",Başvuru!$F:$F,"&lt;&gt;"&amp;""))</f>
        <v>0</v>
      </c>
      <c r="P47" s="272">
        <f>IF(C47="","",COUNTIFS(Başvuru!$C:$C,C47,Başvuru!$L:$L,"GERİ ÇEKİLDİ",Başvuru!$F:$F,"&lt;&gt;"&amp;""))</f>
        <v>0</v>
      </c>
      <c r="Q47" s="260" t="s">
        <v>517</v>
      </c>
      <c r="R47" s="261">
        <f>COUNTIFS(Başvuru!$C:$C,Q47,Başvuru!$F:$F,"&lt;&gt;"&amp;"")</f>
        <v>4</v>
      </c>
      <c r="S47" s="261">
        <f>RANK(R47,$R$6:$R$290,0)+COUNTIF($R$6:R47,R47)-1</f>
        <v>25</v>
      </c>
    </row>
    <row r="48" spans="2:19" ht="15" customHeight="1" x14ac:dyDescent="0.25">
      <c r="B48" s="249">
        <v>43</v>
      </c>
      <c r="C48" s="250" t="str">
        <f>IFERROR(INDEX($Q$6:$Q$290,MATCH(43,$S$6:$S$290,0)),"")</f>
        <v>Dr. Öğr. Üyesi Ahmet KIVRAK</v>
      </c>
      <c r="D48" s="251">
        <f>IF(C48="","",COUNTIFS(Başvuru!$C:$C,C48,Başvuru!$F:$F,"&lt;&gt;"&amp;""))</f>
        <v>3</v>
      </c>
      <c r="E48" s="249" t="str">
        <f>IF(D48&gt;0,TEXT(D48/COUNTIF(Başvuru!$F:$F,"&lt;&gt;"&amp;"")*100,"0.0")&amp;"%","-")</f>
        <v>00%</v>
      </c>
      <c r="F48" s="252">
        <f>IF(C48="","",COUNTIFS(Başvuru!$C:$C,C48,Başvuru!$G:$G,"Bireysel Araştırma",Başvuru!$F:$F,"&lt;&gt;"&amp;""))</f>
        <v>2</v>
      </c>
      <c r="G48" s="252">
        <f>IF(C48="","",COUNTIFS(Başvuru!$C:$C,C48,Başvuru!$G:$G,"Uzmanlık Tezi",Başvuru!$F:$F,"&lt;&gt;"&amp;""))</f>
        <v>1</v>
      </c>
      <c r="H48" s="252">
        <f>IF(C48="","",COUNTIFS(Başvuru!$C:$C,C48,Başvuru!$G:$G,"Doktora Tezi",Başvuru!$F:$F,"&lt;&gt;"&amp;""))</f>
        <v>0</v>
      </c>
      <c r="I48" s="252">
        <f>IF(C48="","",COUNTIFS(Başvuru!$C:$C,C48,Başvuru!$G:$G,"Yüksek Lisans Tezi",Başvuru!$F:$F,"&lt;&gt;"&amp;""))</f>
        <v>0</v>
      </c>
      <c r="J48" s="253">
        <f>IF(C48="","",COUNTIFS(Başvuru!$C:$C,C48,Başvuru!$L:$L,"ONAY",Başvuru!$F:$F,"&lt;&gt;"&amp;""))</f>
        <v>2</v>
      </c>
      <c r="K48" s="254">
        <f>IF(C48="","",COUNTIFS(Başvuru!$C:$C,C48,Başvuru!$L:$L,"DÜZELTME",Başvuru!$F:$F,"&lt;&gt;"&amp;""))</f>
        <v>1</v>
      </c>
      <c r="L48" s="255">
        <f>IF(C48="","",COUNTIFS(Başvuru!$C:$C,C48,Başvuru!$L:$L,"KAEK",Başvuru!$F:$F,"&lt;&gt;"&amp;""))</f>
        <v>0</v>
      </c>
      <c r="M48" s="256">
        <f>IF(C48="","",COUNTIFS(Başvuru!$C:$C,C48,Başvuru!$L:$L,"GÖRÜŞ",Başvuru!$F:$F,"&lt;&gt;"&amp;""))</f>
        <v>0</v>
      </c>
      <c r="N48" s="257">
        <f>IF(C48="","",COUNTIFS(Başvuru!$C:$C,C48,Başvuru!$L:$L,"RET",Başvuru!$F:$F,"&lt;&gt;"&amp;""))</f>
        <v>0</v>
      </c>
      <c r="O48" s="258">
        <f>IF(C48="","",COUNTIFS(Başvuru!$C:$C,C48,Başvuru!$L:$L,"KAPSAM DIŞI",Başvuru!$F:$F,"&lt;&gt;"&amp;""))</f>
        <v>0</v>
      </c>
      <c r="P48" s="259">
        <f>IF(C48="","",COUNTIFS(Başvuru!$C:$C,C48,Başvuru!$L:$L,"GERİ ÇEKİLDİ",Başvuru!$F:$F,"&lt;&gt;"&amp;""))</f>
        <v>0</v>
      </c>
      <c r="Q48" s="260" t="s">
        <v>1436</v>
      </c>
      <c r="R48" s="261">
        <f>COUNTIFS(Başvuru!$C:$C,Q48,Başvuru!$F:$F,"&lt;&gt;"&amp;"")</f>
        <v>1</v>
      </c>
      <c r="S48" s="261">
        <f>RANK(R48,$R$6:$R$290,0)+COUNTIF($R$6:R48,R48)-1</f>
        <v>141</v>
      </c>
    </row>
    <row r="49" spans="2:19" ht="15" customHeight="1" x14ac:dyDescent="0.25">
      <c r="B49" s="262">
        <v>44</v>
      </c>
      <c r="C49" s="263" t="str">
        <f>IFERROR(INDEX($Q$6:$Q$290,MATCH(44,$S$6:$S$290,0)),"")</f>
        <v>Dr. Öğr. Üyesi Aycan UYSAL</v>
      </c>
      <c r="D49" s="264">
        <f>IF(C49="","",COUNTIFS(Başvuru!$C:$C,C49,Başvuru!$F:$F,"&lt;&gt;"&amp;""))</f>
        <v>3</v>
      </c>
      <c r="E49" s="262" t="str">
        <f>IF(D49&gt;0,TEXT(D49/COUNTIF(Başvuru!$F:$F,"&lt;&gt;"&amp;"")*100,"0.0")&amp;"%","-")</f>
        <v>00%</v>
      </c>
      <c r="F49" s="265">
        <f>IF(C49="","",COUNTIFS(Başvuru!$C:$C,C49,Başvuru!$G:$G,"Bireysel Araştırma",Başvuru!$F:$F,"&lt;&gt;"&amp;""))</f>
        <v>3</v>
      </c>
      <c r="G49" s="265">
        <f>IF(C49="","",COUNTIFS(Başvuru!$C:$C,C49,Başvuru!$G:$G,"Uzmanlık Tezi",Başvuru!$F:$F,"&lt;&gt;"&amp;""))</f>
        <v>0</v>
      </c>
      <c r="H49" s="265">
        <f>IF(C49="","",COUNTIFS(Başvuru!$C:$C,C49,Başvuru!$G:$G,"Doktora Tezi",Başvuru!$F:$F,"&lt;&gt;"&amp;""))</f>
        <v>0</v>
      </c>
      <c r="I49" s="265">
        <f>IF(C49="","",COUNTIFS(Başvuru!$C:$C,C49,Başvuru!$G:$G,"Yüksek Lisans Tezi",Başvuru!$F:$F,"&lt;&gt;"&amp;""))</f>
        <v>0</v>
      </c>
      <c r="J49" s="266">
        <f>IF(C49="","",COUNTIFS(Başvuru!$C:$C,C49,Başvuru!$L:$L,"ONAY",Başvuru!$F:$F,"&lt;&gt;"&amp;""))</f>
        <v>3</v>
      </c>
      <c r="K49" s="267">
        <f>IF(C49="","",COUNTIFS(Başvuru!$C:$C,C49,Başvuru!$L:$L,"DÜZELTME",Başvuru!$F:$F,"&lt;&gt;"&amp;""))</f>
        <v>0</v>
      </c>
      <c r="L49" s="268">
        <f>IF(C49="","",COUNTIFS(Başvuru!$C:$C,C49,Başvuru!$L:$L,"KAEK",Başvuru!$F:$F,"&lt;&gt;"&amp;""))</f>
        <v>0</v>
      </c>
      <c r="M49" s="269">
        <f>IF(C49="","",COUNTIFS(Başvuru!$C:$C,C49,Başvuru!$L:$L,"GÖRÜŞ",Başvuru!$F:$F,"&lt;&gt;"&amp;""))</f>
        <v>0</v>
      </c>
      <c r="N49" s="270">
        <f>IF(C49="","",COUNTIFS(Başvuru!$C:$C,C49,Başvuru!$L:$L,"RET",Başvuru!$F:$F,"&lt;&gt;"&amp;""))</f>
        <v>0</v>
      </c>
      <c r="O49" s="271">
        <f>IF(C49="","",COUNTIFS(Başvuru!$C:$C,C49,Başvuru!$L:$L,"KAPSAM DIŞI",Başvuru!$F:$F,"&lt;&gt;"&amp;""))</f>
        <v>0</v>
      </c>
      <c r="P49" s="272">
        <f>IF(C49="","",COUNTIFS(Başvuru!$C:$C,C49,Başvuru!$L:$L,"GERİ ÇEKİLDİ",Başvuru!$F:$F,"&lt;&gt;"&amp;""))</f>
        <v>0</v>
      </c>
      <c r="Q49" s="260" t="s">
        <v>1725</v>
      </c>
      <c r="R49" s="261">
        <f>COUNTIFS(Başvuru!$C:$C,Q49,Başvuru!$F:$F,"&lt;&gt;"&amp;"")</f>
        <v>2</v>
      </c>
      <c r="S49" s="261">
        <f>RANK(R49,$R$6:$R$290,0)+COUNTIF($R$6:R49,R49)-1</f>
        <v>72</v>
      </c>
    </row>
    <row r="50" spans="2:19" ht="15" customHeight="1" x14ac:dyDescent="0.25">
      <c r="B50" s="249">
        <v>45</v>
      </c>
      <c r="C50" s="250" t="str">
        <f>IFERROR(INDEX($Q$6:$Q$290,MATCH(45,$S$6:$S$290,0)),"")</f>
        <v>Dr. Öğr. Üyesi Emre KARA</v>
      </c>
      <c r="D50" s="251">
        <f>IF(C50="","",COUNTIFS(Başvuru!$C:$C,C50,Başvuru!$F:$F,"&lt;&gt;"&amp;""))</f>
        <v>3</v>
      </c>
      <c r="E50" s="249" t="str">
        <f>IF(D50&gt;0,TEXT(D50/COUNTIF(Başvuru!$F:$F,"&lt;&gt;"&amp;"")*100,"0.0")&amp;"%","-")</f>
        <v>00%</v>
      </c>
      <c r="F50" s="252">
        <f>IF(C50="","",COUNTIFS(Başvuru!$C:$C,C50,Başvuru!$G:$G,"Bireysel Araştırma",Başvuru!$F:$F,"&lt;&gt;"&amp;""))</f>
        <v>2</v>
      </c>
      <c r="G50" s="252">
        <f>IF(C50="","",COUNTIFS(Başvuru!$C:$C,C50,Başvuru!$G:$G,"Uzmanlık Tezi",Başvuru!$F:$F,"&lt;&gt;"&amp;""))</f>
        <v>0</v>
      </c>
      <c r="H50" s="252">
        <f>IF(C50="","",COUNTIFS(Başvuru!$C:$C,C50,Başvuru!$G:$G,"Doktora Tezi",Başvuru!$F:$F,"&lt;&gt;"&amp;""))</f>
        <v>0</v>
      </c>
      <c r="I50" s="252">
        <f>IF(C50="","",COUNTIFS(Başvuru!$C:$C,C50,Başvuru!$G:$G,"Yüksek Lisans Tezi",Başvuru!$F:$F,"&lt;&gt;"&amp;""))</f>
        <v>1</v>
      </c>
      <c r="J50" s="253">
        <f>IF(C50="","",COUNTIFS(Başvuru!$C:$C,C50,Başvuru!$L:$L,"ONAY",Başvuru!$F:$F,"&lt;&gt;"&amp;""))</f>
        <v>1</v>
      </c>
      <c r="K50" s="254">
        <f>IF(C50="","",COUNTIFS(Başvuru!$C:$C,C50,Başvuru!$L:$L,"DÜZELTME",Başvuru!$F:$F,"&lt;&gt;"&amp;""))</f>
        <v>1</v>
      </c>
      <c r="L50" s="255">
        <f>IF(C50="","",COUNTIFS(Başvuru!$C:$C,C50,Başvuru!$L:$L,"KAEK",Başvuru!$F:$F,"&lt;&gt;"&amp;""))</f>
        <v>0</v>
      </c>
      <c r="M50" s="256">
        <f>IF(C50="","",COUNTIFS(Başvuru!$C:$C,C50,Başvuru!$L:$L,"GÖRÜŞ",Başvuru!$F:$F,"&lt;&gt;"&amp;""))</f>
        <v>0</v>
      </c>
      <c r="N50" s="257">
        <f>IF(C50="","",COUNTIFS(Başvuru!$C:$C,C50,Başvuru!$L:$L,"RET",Başvuru!$F:$F,"&lt;&gt;"&amp;""))</f>
        <v>0</v>
      </c>
      <c r="O50" s="258">
        <f>IF(C50="","",COUNTIFS(Başvuru!$C:$C,C50,Başvuru!$L:$L,"KAPSAM DIŞI",Başvuru!$F:$F,"&lt;&gt;"&amp;""))</f>
        <v>0</v>
      </c>
      <c r="P50" s="259">
        <f>IF(C50="","",COUNTIFS(Başvuru!$C:$C,C50,Başvuru!$L:$L,"GERİ ÇEKİLDİ",Başvuru!$F:$F,"&lt;&gt;"&amp;""))</f>
        <v>0</v>
      </c>
      <c r="Q50" s="260" t="s">
        <v>905</v>
      </c>
      <c r="R50" s="261">
        <f>COUNTIFS(Başvuru!$C:$C,Q50,Başvuru!$F:$F,"&lt;&gt;"&amp;"")</f>
        <v>1</v>
      </c>
      <c r="S50" s="261">
        <f>RANK(R50,$R$6:$R$290,0)+COUNTIF($R$6:R50,R50)-1</f>
        <v>142</v>
      </c>
    </row>
    <row r="51" spans="2:19" ht="15" customHeight="1" x14ac:dyDescent="0.25">
      <c r="B51" s="262">
        <v>46</v>
      </c>
      <c r="C51" s="263" t="str">
        <f>IFERROR(INDEX($Q$6:$Q$290,MATCH(46,$S$6:$S$290,0)),"")</f>
        <v>Dr. Öğr. Üyesi Gizem ÜREL DEMİR</v>
      </c>
      <c r="D51" s="264">
        <f>IF(C51="","",COUNTIFS(Başvuru!$C:$C,C51,Başvuru!$F:$F,"&lt;&gt;"&amp;""))</f>
        <v>3</v>
      </c>
      <c r="E51" s="262" t="str">
        <f>IF(D51&gt;0,TEXT(D51/COUNTIF(Başvuru!$F:$F,"&lt;&gt;"&amp;"")*100,"0.0")&amp;"%","-")</f>
        <v>00%</v>
      </c>
      <c r="F51" s="265">
        <f>IF(C51="","",COUNTIFS(Başvuru!$C:$C,C51,Başvuru!$G:$G,"Bireysel Araştırma",Başvuru!$F:$F,"&lt;&gt;"&amp;""))</f>
        <v>3</v>
      </c>
      <c r="G51" s="265">
        <f>IF(C51="","",COUNTIFS(Başvuru!$C:$C,C51,Başvuru!$G:$G,"Uzmanlık Tezi",Başvuru!$F:$F,"&lt;&gt;"&amp;""))</f>
        <v>0</v>
      </c>
      <c r="H51" s="265">
        <f>IF(C51="","",COUNTIFS(Başvuru!$C:$C,C51,Başvuru!$G:$G,"Doktora Tezi",Başvuru!$F:$F,"&lt;&gt;"&amp;""))</f>
        <v>0</v>
      </c>
      <c r="I51" s="265">
        <f>IF(C51="","",COUNTIFS(Başvuru!$C:$C,C51,Başvuru!$G:$G,"Yüksek Lisans Tezi",Başvuru!$F:$F,"&lt;&gt;"&amp;""))</f>
        <v>0</v>
      </c>
      <c r="J51" s="266">
        <f>IF(C51="","",COUNTIFS(Başvuru!$C:$C,C51,Başvuru!$L:$L,"ONAY",Başvuru!$F:$F,"&lt;&gt;"&amp;""))</f>
        <v>3</v>
      </c>
      <c r="K51" s="267">
        <f>IF(C51="","",COUNTIFS(Başvuru!$C:$C,C51,Başvuru!$L:$L,"DÜZELTME",Başvuru!$F:$F,"&lt;&gt;"&amp;""))</f>
        <v>0</v>
      </c>
      <c r="L51" s="268">
        <f>IF(C51="","",COUNTIFS(Başvuru!$C:$C,C51,Başvuru!$L:$L,"KAEK",Başvuru!$F:$F,"&lt;&gt;"&amp;""))</f>
        <v>0</v>
      </c>
      <c r="M51" s="269">
        <f>IF(C51="","",COUNTIFS(Başvuru!$C:$C,C51,Başvuru!$L:$L,"GÖRÜŞ",Başvuru!$F:$F,"&lt;&gt;"&amp;""))</f>
        <v>0</v>
      </c>
      <c r="N51" s="270">
        <f>IF(C51="","",COUNTIFS(Başvuru!$C:$C,C51,Başvuru!$L:$L,"RET",Başvuru!$F:$F,"&lt;&gt;"&amp;""))</f>
        <v>0</v>
      </c>
      <c r="O51" s="271">
        <f>IF(C51="","",COUNTIFS(Başvuru!$C:$C,C51,Başvuru!$L:$L,"KAPSAM DIŞI",Başvuru!$F:$F,"&lt;&gt;"&amp;""))</f>
        <v>0</v>
      </c>
      <c r="P51" s="272">
        <f>IF(C51="","",COUNTIFS(Başvuru!$C:$C,C51,Başvuru!$L:$L,"GERİ ÇEKİLDİ",Başvuru!$F:$F,"&lt;&gt;"&amp;""))</f>
        <v>0</v>
      </c>
      <c r="Q51" s="260" t="s">
        <v>78</v>
      </c>
      <c r="R51" s="261">
        <f>COUNTIFS(Başvuru!$C:$C,Q51,Başvuru!$F:$F,"&lt;&gt;"&amp;"")</f>
        <v>3</v>
      </c>
      <c r="S51" s="261">
        <f>RANK(R51,$R$6:$R$290,0)+COUNTIF($R$6:R51,R51)-1</f>
        <v>39</v>
      </c>
    </row>
    <row r="52" spans="2:19" ht="15" customHeight="1" x14ac:dyDescent="0.25">
      <c r="B52" s="249">
        <v>47</v>
      </c>
      <c r="C52" s="250" t="str">
        <f>IFERROR(INDEX($Q$6:$Q$290,MATCH(47,$S$6:$S$290,0)),"")</f>
        <v>Dr. Öğr. Üyesi Murat ÇAĞAN</v>
      </c>
      <c r="D52" s="251">
        <f>IF(C52="","",COUNTIFS(Başvuru!$C:$C,C52,Başvuru!$F:$F,"&lt;&gt;"&amp;""))</f>
        <v>3</v>
      </c>
      <c r="E52" s="249" t="str">
        <f>IF(D52&gt;0,TEXT(D52/COUNTIF(Başvuru!$F:$F,"&lt;&gt;"&amp;"")*100,"0.0")&amp;"%","-")</f>
        <v>00%</v>
      </c>
      <c r="F52" s="252">
        <f>IF(C52="","",COUNTIFS(Başvuru!$C:$C,C52,Başvuru!$G:$G,"Bireysel Araştırma",Başvuru!$F:$F,"&lt;&gt;"&amp;""))</f>
        <v>1</v>
      </c>
      <c r="G52" s="252">
        <f>IF(C52="","",COUNTIFS(Başvuru!$C:$C,C52,Başvuru!$G:$G,"Uzmanlık Tezi",Başvuru!$F:$F,"&lt;&gt;"&amp;""))</f>
        <v>2</v>
      </c>
      <c r="H52" s="252">
        <f>IF(C52="","",COUNTIFS(Başvuru!$C:$C,C52,Başvuru!$G:$G,"Doktora Tezi",Başvuru!$F:$F,"&lt;&gt;"&amp;""))</f>
        <v>0</v>
      </c>
      <c r="I52" s="252">
        <f>IF(C52="","",COUNTIFS(Başvuru!$C:$C,C52,Başvuru!$G:$G,"Yüksek Lisans Tezi",Başvuru!$F:$F,"&lt;&gt;"&amp;""))</f>
        <v>0</v>
      </c>
      <c r="J52" s="253">
        <f>IF(C52="","",COUNTIFS(Başvuru!$C:$C,C52,Başvuru!$L:$L,"ONAY",Başvuru!$F:$F,"&lt;&gt;"&amp;""))</f>
        <v>2</v>
      </c>
      <c r="K52" s="254">
        <f>IF(C52="","",COUNTIFS(Başvuru!$C:$C,C52,Başvuru!$L:$L,"DÜZELTME",Başvuru!$F:$F,"&lt;&gt;"&amp;""))</f>
        <v>1</v>
      </c>
      <c r="L52" s="255">
        <f>IF(C52="","",COUNTIFS(Başvuru!$C:$C,C52,Başvuru!$L:$L,"KAEK",Başvuru!$F:$F,"&lt;&gt;"&amp;""))</f>
        <v>0</v>
      </c>
      <c r="M52" s="256">
        <f>IF(C52="","",COUNTIFS(Başvuru!$C:$C,C52,Başvuru!$L:$L,"GÖRÜŞ",Başvuru!$F:$F,"&lt;&gt;"&amp;""))</f>
        <v>0</v>
      </c>
      <c r="N52" s="257">
        <f>IF(C52="","",COUNTIFS(Başvuru!$C:$C,C52,Başvuru!$L:$L,"RET",Başvuru!$F:$F,"&lt;&gt;"&amp;""))</f>
        <v>0</v>
      </c>
      <c r="O52" s="258">
        <f>IF(C52="","",COUNTIFS(Başvuru!$C:$C,C52,Başvuru!$L:$L,"KAPSAM DIŞI",Başvuru!$F:$F,"&lt;&gt;"&amp;""))</f>
        <v>0</v>
      </c>
      <c r="P52" s="259">
        <f>IF(C52="","",COUNTIFS(Başvuru!$C:$C,C52,Başvuru!$L:$L,"GERİ ÇEKİLDİ",Başvuru!$F:$F,"&lt;&gt;"&amp;""))</f>
        <v>0</v>
      </c>
      <c r="Q52" s="260" t="s">
        <v>846</v>
      </c>
      <c r="R52" s="261">
        <f>COUNTIFS(Başvuru!$C:$C,Q52,Başvuru!$F:$F,"&lt;&gt;"&amp;"")</f>
        <v>1</v>
      </c>
      <c r="S52" s="261">
        <f>RANK(R52,$R$6:$R$290,0)+COUNTIF($R$6:R52,R52)-1</f>
        <v>143</v>
      </c>
    </row>
    <row r="53" spans="2:19" ht="15" customHeight="1" x14ac:dyDescent="0.25">
      <c r="B53" s="262">
        <v>48</v>
      </c>
      <c r="C53" s="263" t="str">
        <f>IFERROR(INDEX($Q$6:$Q$290,MATCH(48,$S$6:$S$290,0)),"")</f>
        <v>Prof. Dr. Ayşe Tomris ERBAŞ</v>
      </c>
      <c r="D53" s="264">
        <f>IF(C53="","",COUNTIFS(Başvuru!$C:$C,C53,Başvuru!$F:$F,"&lt;&gt;"&amp;""))</f>
        <v>3</v>
      </c>
      <c r="E53" s="262" t="str">
        <f>IF(D53&gt;0,TEXT(D53/COUNTIF(Başvuru!$F:$F,"&lt;&gt;"&amp;"")*100,"0.0")&amp;"%","-")</f>
        <v>00%</v>
      </c>
      <c r="F53" s="265">
        <f>IF(C53="","",COUNTIFS(Başvuru!$C:$C,C53,Başvuru!$G:$G,"Bireysel Araştırma",Başvuru!$F:$F,"&lt;&gt;"&amp;""))</f>
        <v>3</v>
      </c>
      <c r="G53" s="265">
        <f>IF(C53="","",COUNTIFS(Başvuru!$C:$C,C53,Başvuru!$G:$G,"Uzmanlık Tezi",Başvuru!$F:$F,"&lt;&gt;"&amp;""))</f>
        <v>0</v>
      </c>
      <c r="H53" s="265">
        <f>IF(C53="","",COUNTIFS(Başvuru!$C:$C,C53,Başvuru!$G:$G,"Doktora Tezi",Başvuru!$F:$F,"&lt;&gt;"&amp;""))</f>
        <v>0</v>
      </c>
      <c r="I53" s="265">
        <f>IF(C53="","",COUNTIFS(Başvuru!$C:$C,C53,Başvuru!$G:$G,"Yüksek Lisans Tezi",Başvuru!$F:$F,"&lt;&gt;"&amp;""))</f>
        <v>0</v>
      </c>
      <c r="J53" s="266">
        <f>IF(C53="","",COUNTIFS(Başvuru!$C:$C,C53,Başvuru!$L:$L,"ONAY",Başvuru!$F:$F,"&lt;&gt;"&amp;""))</f>
        <v>3</v>
      </c>
      <c r="K53" s="267">
        <f>IF(C53="","",COUNTIFS(Başvuru!$C:$C,C53,Başvuru!$L:$L,"DÜZELTME",Başvuru!$F:$F,"&lt;&gt;"&amp;""))</f>
        <v>0</v>
      </c>
      <c r="L53" s="268">
        <f>IF(C53="","",COUNTIFS(Başvuru!$C:$C,C53,Başvuru!$L:$L,"KAEK",Başvuru!$F:$F,"&lt;&gt;"&amp;""))</f>
        <v>0</v>
      </c>
      <c r="M53" s="269">
        <f>IF(C53="","",COUNTIFS(Başvuru!$C:$C,C53,Başvuru!$L:$L,"GÖRÜŞ",Başvuru!$F:$F,"&lt;&gt;"&amp;""))</f>
        <v>0</v>
      </c>
      <c r="N53" s="270">
        <f>IF(C53="","",COUNTIFS(Başvuru!$C:$C,C53,Başvuru!$L:$L,"RET",Başvuru!$F:$F,"&lt;&gt;"&amp;""))</f>
        <v>0</v>
      </c>
      <c r="O53" s="271">
        <f>IF(C53="","",COUNTIFS(Başvuru!$C:$C,C53,Başvuru!$L:$L,"KAPSAM DIŞI",Başvuru!$F:$F,"&lt;&gt;"&amp;""))</f>
        <v>0</v>
      </c>
      <c r="P53" s="272">
        <f>IF(C53="","",COUNTIFS(Başvuru!$C:$C,C53,Başvuru!$L:$L,"GERİ ÇEKİLDİ",Başvuru!$F:$F,"&lt;&gt;"&amp;""))</f>
        <v>0</v>
      </c>
      <c r="Q53" s="260" t="s">
        <v>2172</v>
      </c>
      <c r="R53" s="261">
        <f>COUNTIFS(Başvuru!$C:$C,Q53,Başvuru!$F:$F,"&lt;&gt;"&amp;"")</f>
        <v>1</v>
      </c>
      <c r="S53" s="261">
        <f>RANK(R53,$R$6:$R$290,0)+COUNTIF($R$6:R53,R53)-1</f>
        <v>144</v>
      </c>
    </row>
    <row r="54" spans="2:19" ht="15" customHeight="1" x14ac:dyDescent="0.25">
      <c r="B54" s="249">
        <v>49</v>
      </c>
      <c r="C54" s="250" t="str">
        <f>IFERROR(INDEX($Q$6:$Q$290,MATCH(49,$S$6:$S$290,0)),"")</f>
        <v>Prof. Dr. Dilek ASLAN</v>
      </c>
      <c r="D54" s="251">
        <f>IF(C54="","",COUNTIFS(Başvuru!$C:$C,C54,Başvuru!$F:$F,"&lt;&gt;"&amp;""))</f>
        <v>3</v>
      </c>
      <c r="E54" s="249" t="str">
        <f>IF(D54&gt;0,TEXT(D54/COUNTIF(Başvuru!$F:$F,"&lt;&gt;"&amp;"")*100,"0.0")&amp;"%","-")</f>
        <v>00%</v>
      </c>
      <c r="F54" s="252">
        <f>IF(C54="","",COUNTIFS(Başvuru!$C:$C,C54,Başvuru!$G:$G,"Bireysel Araştırma",Başvuru!$F:$F,"&lt;&gt;"&amp;""))</f>
        <v>0</v>
      </c>
      <c r="G54" s="252">
        <f>IF(C54="","",COUNTIFS(Başvuru!$C:$C,C54,Başvuru!$G:$G,"Uzmanlık Tezi",Başvuru!$F:$F,"&lt;&gt;"&amp;""))</f>
        <v>2</v>
      </c>
      <c r="H54" s="252">
        <f>IF(C54="","",COUNTIFS(Başvuru!$C:$C,C54,Başvuru!$G:$G,"Doktora Tezi",Başvuru!$F:$F,"&lt;&gt;"&amp;""))</f>
        <v>1</v>
      </c>
      <c r="I54" s="252">
        <f>IF(C54="","",COUNTIFS(Başvuru!$C:$C,C54,Başvuru!$G:$G,"Yüksek Lisans Tezi",Başvuru!$F:$F,"&lt;&gt;"&amp;""))</f>
        <v>0</v>
      </c>
      <c r="J54" s="253">
        <f>IF(C54="","",COUNTIFS(Başvuru!$C:$C,C54,Başvuru!$L:$L,"ONAY",Başvuru!$F:$F,"&lt;&gt;"&amp;""))</f>
        <v>3</v>
      </c>
      <c r="K54" s="254">
        <f>IF(C54="","",COUNTIFS(Başvuru!$C:$C,C54,Başvuru!$L:$L,"DÜZELTME",Başvuru!$F:$F,"&lt;&gt;"&amp;""))</f>
        <v>0</v>
      </c>
      <c r="L54" s="255">
        <f>IF(C54="","",COUNTIFS(Başvuru!$C:$C,C54,Başvuru!$L:$L,"KAEK",Başvuru!$F:$F,"&lt;&gt;"&amp;""))</f>
        <v>0</v>
      </c>
      <c r="M54" s="256">
        <f>IF(C54="","",COUNTIFS(Başvuru!$C:$C,C54,Başvuru!$L:$L,"GÖRÜŞ",Başvuru!$F:$F,"&lt;&gt;"&amp;""))</f>
        <v>0</v>
      </c>
      <c r="N54" s="257">
        <f>IF(C54="","",COUNTIFS(Başvuru!$C:$C,C54,Başvuru!$L:$L,"RET",Başvuru!$F:$F,"&lt;&gt;"&amp;""))</f>
        <v>0</v>
      </c>
      <c r="O54" s="258">
        <f>IF(C54="","",COUNTIFS(Başvuru!$C:$C,C54,Başvuru!$L:$L,"KAPSAM DIŞI",Başvuru!$F:$F,"&lt;&gt;"&amp;""))</f>
        <v>0</v>
      </c>
      <c r="P54" s="259">
        <f>IF(C54="","",COUNTIFS(Başvuru!$C:$C,C54,Başvuru!$L:$L,"GERİ ÇEKİLDİ",Başvuru!$F:$F,"&lt;&gt;"&amp;""))</f>
        <v>0</v>
      </c>
      <c r="Q54" s="260" t="s">
        <v>588</v>
      </c>
      <c r="R54" s="261">
        <f>COUNTIFS(Başvuru!$C:$C,Q54,Başvuru!$F:$F,"&lt;&gt;"&amp;"")</f>
        <v>1</v>
      </c>
      <c r="S54" s="261">
        <f>RANK(R54,$R$6:$R$290,0)+COUNTIF($R$6:R54,R54)-1</f>
        <v>145</v>
      </c>
    </row>
    <row r="55" spans="2:19" ht="15" customHeight="1" x14ac:dyDescent="0.25">
      <c r="B55" s="262">
        <v>50</v>
      </c>
      <c r="C55" s="263" t="str">
        <f>IFERROR(INDEX($Q$6:$Q$290,MATCH(50,$S$6:$S$290,0)),"")</f>
        <v>Prof. Dr. Ebru DAMADOĞLU</v>
      </c>
      <c r="D55" s="264">
        <f>IF(C55="","",COUNTIFS(Başvuru!$C:$C,C55,Başvuru!$F:$F,"&lt;&gt;"&amp;""))</f>
        <v>3</v>
      </c>
      <c r="E55" s="262" t="str">
        <f>IF(D55&gt;0,TEXT(D55/COUNTIF(Başvuru!$F:$F,"&lt;&gt;"&amp;"")*100,"0.0")&amp;"%","-")</f>
        <v>00%</v>
      </c>
      <c r="F55" s="265">
        <f>IF(C55="","",COUNTIFS(Başvuru!$C:$C,C55,Başvuru!$G:$G,"Bireysel Araştırma",Başvuru!$F:$F,"&lt;&gt;"&amp;""))</f>
        <v>3</v>
      </c>
      <c r="G55" s="265">
        <f>IF(C55="","",COUNTIFS(Başvuru!$C:$C,C55,Başvuru!$G:$G,"Uzmanlık Tezi",Başvuru!$F:$F,"&lt;&gt;"&amp;""))</f>
        <v>0</v>
      </c>
      <c r="H55" s="265">
        <f>IF(C55="","",COUNTIFS(Başvuru!$C:$C,C55,Başvuru!$G:$G,"Doktora Tezi",Başvuru!$F:$F,"&lt;&gt;"&amp;""))</f>
        <v>0</v>
      </c>
      <c r="I55" s="265">
        <f>IF(C55="","",COUNTIFS(Başvuru!$C:$C,C55,Başvuru!$G:$G,"Yüksek Lisans Tezi",Başvuru!$F:$F,"&lt;&gt;"&amp;""))</f>
        <v>0</v>
      </c>
      <c r="J55" s="266">
        <f>IF(C55="","",COUNTIFS(Başvuru!$C:$C,C55,Başvuru!$L:$L,"ONAY",Başvuru!$F:$F,"&lt;&gt;"&amp;""))</f>
        <v>3</v>
      </c>
      <c r="K55" s="267">
        <f>IF(C55="","",COUNTIFS(Başvuru!$C:$C,C55,Başvuru!$L:$L,"DÜZELTME",Başvuru!$F:$F,"&lt;&gt;"&amp;""))</f>
        <v>0</v>
      </c>
      <c r="L55" s="268">
        <f>IF(C55="","",COUNTIFS(Başvuru!$C:$C,C55,Başvuru!$L:$L,"KAEK",Başvuru!$F:$F,"&lt;&gt;"&amp;""))</f>
        <v>0</v>
      </c>
      <c r="M55" s="269">
        <f>IF(C55="","",COUNTIFS(Başvuru!$C:$C,C55,Başvuru!$L:$L,"GÖRÜŞ",Başvuru!$F:$F,"&lt;&gt;"&amp;""))</f>
        <v>0</v>
      </c>
      <c r="N55" s="270">
        <f>IF(C55="","",COUNTIFS(Başvuru!$C:$C,C55,Başvuru!$L:$L,"RET",Başvuru!$F:$F,"&lt;&gt;"&amp;""))</f>
        <v>0</v>
      </c>
      <c r="O55" s="271">
        <f>IF(C55="","",COUNTIFS(Başvuru!$C:$C,C55,Başvuru!$L:$L,"KAPSAM DIŞI",Başvuru!$F:$F,"&lt;&gt;"&amp;""))</f>
        <v>0</v>
      </c>
      <c r="P55" s="272">
        <f>IF(C55="","",COUNTIFS(Başvuru!$C:$C,C55,Başvuru!$L:$L,"GERİ ÇEKİLDİ",Başvuru!$F:$F,"&lt;&gt;"&amp;""))</f>
        <v>0</v>
      </c>
      <c r="Q55" s="260" t="s">
        <v>323</v>
      </c>
      <c r="R55" s="261">
        <f>COUNTIFS(Başvuru!$C:$C,Q55,Başvuru!$F:$F,"&lt;&gt;"&amp;"")</f>
        <v>2</v>
      </c>
      <c r="S55" s="261">
        <f>RANK(R55,$R$6:$R$290,0)+COUNTIF($R$6:R55,R55)-1</f>
        <v>73</v>
      </c>
    </row>
    <row r="56" spans="2:19" ht="15" customHeight="1" x14ac:dyDescent="0.25">
      <c r="B56" s="249">
        <v>51</v>
      </c>
      <c r="C56" s="250" t="str">
        <f>IFERROR(INDEX($Q$6:$Q$290,MATCH(51,$S$6:$S$290,0)),"")</f>
        <v>Prof. Dr. Fadime İrsel TEZER FİLİK</v>
      </c>
      <c r="D56" s="251">
        <f>IF(C56="","",COUNTIFS(Başvuru!$C:$C,C56,Başvuru!$F:$F,"&lt;&gt;"&amp;""))</f>
        <v>3</v>
      </c>
      <c r="E56" s="249" t="str">
        <f>IF(D56&gt;0,TEXT(D56/COUNTIF(Başvuru!$F:$F,"&lt;&gt;"&amp;"")*100,"0.0")&amp;"%","-")</f>
        <v>00%</v>
      </c>
      <c r="F56" s="252">
        <f>IF(C56="","",COUNTIFS(Başvuru!$C:$C,C56,Başvuru!$G:$G,"Bireysel Araştırma",Başvuru!$F:$F,"&lt;&gt;"&amp;""))</f>
        <v>1</v>
      </c>
      <c r="G56" s="252">
        <f>IF(C56="","",COUNTIFS(Başvuru!$C:$C,C56,Başvuru!$G:$G,"Uzmanlık Tezi",Başvuru!$F:$F,"&lt;&gt;"&amp;""))</f>
        <v>2</v>
      </c>
      <c r="H56" s="252">
        <f>IF(C56="","",COUNTIFS(Başvuru!$C:$C,C56,Başvuru!$G:$G,"Doktora Tezi",Başvuru!$F:$F,"&lt;&gt;"&amp;""))</f>
        <v>0</v>
      </c>
      <c r="I56" s="252">
        <f>IF(C56="","",COUNTIFS(Başvuru!$C:$C,C56,Başvuru!$G:$G,"Yüksek Lisans Tezi",Başvuru!$F:$F,"&lt;&gt;"&amp;""))</f>
        <v>0</v>
      </c>
      <c r="J56" s="253">
        <f>IF(C56="","",COUNTIFS(Başvuru!$C:$C,C56,Başvuru!$L:$L,"ONAY",Başvuru!$F:$F,"&lt;&gt;"&amp;""))</f>
        <v>3</v>
      </c>
      <c r="K56" s="254">
        <f>IF(C56="","",COUNTIFS(Başvuru!$C:$C,C56,Başvuru!$L:$L,"DÜZELTME",Başvuru!$F:$F,"&lt;&gt;"&amp;""))</f>
        <v>0</v>
      </c>
      <c r="L56" s="255">
        <f>IF(C56="","",COUNTIFS(Başvuru!$C:$C,C56,Başvuru!$L:$L,"KAEK",Başvuru!$F:$F,"&lt;&gt;"&amp;""))</f>
        <v>0</v>
      </c>
      <c r="M56" s="256">
        <f>IF(C56="","",COUNTIFS(Başvuru!$C:$C,C56,Başvuru!$L:$L,"GÖRÜŞ",Başvuru!$F:$F,"&lt;&gt;"&amp;""))</f>
        <v>0</v>
      </c>
      <c r="N56" s="257">
        <f>IF(C56="","",COUNTIFS(Başvuru!$C:$C,C56,Başvuru!$L:$L,"RET",Başvuru!$F:$F,"&lt;&gt;"&amp;""))</f>
        <v>0</v>
      </c>
      <c r="O56" s="258">
        <f>IF(C56="","",COUNTIFS(Başvuru!$C:$C,C56,Başvuru!$L:$L,"KAPSAM DIŞI",Başvuru!$F:$F,"&lt;&gt;"&amp;""))</f>
        <v>0</v>
      </c>
      <c r="P56" s="259">
        <f>IF(C56="","",COUNTIFS(Başvuru!$C:$C,C56,Başvuru!$L:$L,"GERİ ÇEKİLDİ",Başvuru!$F:$F,"&lt;&gt;"&amp;""))</f>
        <v>0</v>
      </c>
      <c r="Q56" s="260" t="s">
        <v>1401</v>
      </c>
      <c r="R56" s="261">
        <f>COUNTIFS(Başvuru!$C:$C,Q56,Başvuru!$F:$F,"&lt;&gt;"&amp;"")</f>
        <v>3</v>
      </c>
      <c r="S56" s="261">
        <f>RANK(R56,$R$6:$R$290,0)+COUNTIF($R$6:R56,R56)-1</f>
        <v>40</v>
      </c>
    </row>
    <row r="57" spans="2:19" ht="15" customHeight="1" x14ac:dyDescent="0.25">
      <c r="B57" s="262">
        <v>52</v>
      </c>
      <c r="C57" s="263" t="str">
        <f>IFERROR(INDEX($Q$6:$Q$290,MATCH(52,$S$6:$S$290,0)),"")</f>
        <v>Prof. Dr. Kudret AYTEMİR</v>
      </c>
      <c r="D57" s="264">
        <f>IF(C57="","",COUNTIFS(Başvuru!$C:$C,C57,Başvuru!$F:$F,"&lt;&gt;"&amp;""))</f>
        <v>3</v>
      </c>
      <c r="E57" s="262" t="str">
        <f>IF(D57&gt;0,TEXT(D57/COUNTIF(Başvuru!$F:$F,"&lt;&gt;"&amp;"")*100,"0.0")&amp;"%","-")</f>
        <v>00%</v>
      </c>
      <c r="F57" s="265">
        <f>IF(C57="","",COUNTIFS(Başvuru!$C:$C,C57,Başvuru!$G:$G,"Bireysel Araştırma",Başvuru!$F:$F,"&lt;&gt;"&amp;""))</f>
        <v>2</v>
      </c>
      <c r="G57" s="265">
        <f>IF(C57="","",COUNTIFS(Başvuru!$C:$C,C57,Başvuru!$G:$G,"Uzmanlık Tezi",Başvuru!$F:$F,"&lt;&gt;"&amp;""))</f>
        <v>1</v>
      </c>
      <c r="H57" s="265">
        <f>IF(C57="","",COUNTIFS(Başvuru!$C:$C,C57,Başvuru!$G:$G,"Doktora Tezi",Başvuru!$F:$F,"&lt;&gt;"&amp;""))</f>
        <v>0</v>
      </c>
      <c r="I57" s="265">
        <f>IF(C57="","",COUNTIFS(Başvuru!$C:$C,C57,Başvuru!$G:$G,"Yüksek Lisans Tezi",Başvuru!$F:$F,"&lt;&gt;"&amp;""))</f>
        <v>0</v>
      </c>
      <c r="J57" s="266">
        <f>IF(C57="","",COUNTIFS(Başvuru!$C:$C,C57,Başvuru!$L:$L,"ONAY",Başvuru!$F:$F,"&lt;&gt;"&amp;""))</f>
        <v>2</v>
      </c>
      <c r="K57" s="267">
        <f>IF(C57="","",COUNTIFS(Başvuru!$C:$C,C57,Başvuru!$L:$L,"DÜZELTME",Başvuru!$F:$F,"&lt;&gt;"&amp;""))</f>
        <v>0</v>
      </c>
      <c r="L57" s="268">
        <f>IF(C57="","",COUNTIFS(Başvuru!$C:$C,C57,Başvuru!$L:$L,"KAEK",Başvuru!$F:$F,"&lt;&gt;"&amp;""))</f>
        <v>0</v>
      </c>
      <c r="M57" s="269">
        <f>IF(C57="","",COUNTIFS(Başvuru!$C:$C,C57,Başvuru!$L:$L,"GÖRÜŞ",Başvuru!$F:$F,"&lt;&gt;"&amp;""))</f>
        <v>0</v>
      </c>
      <c r="N57" s="270">
        <f>IF(C57="","",COUNTIFS(Başvuru!$C:$C,C57,Başvuru!$L:$L,"RET",Başvuru!$F:$F,"&lt;&gt;"&amp;""))</f>
        <v>0</v>
      </c>
      <c r="O57" s="271">
        <f>IF(C57="","",COUNTIFS(Başvuru!$C:$C,C57,Başvuru!$L:$L,"KAPSAM DIŞI",Başvuru!$F:$F,"&lt;&gt;"&amp;""))</f>
        <v>0</v>
      </c>
      <c r="P57" s="272">
        <f>IF(C57="","",COUNTIFS(Başvuru!$C:$C,C57,Başvuru!$L:$L,"GERİ ÇEKİLDİ",Başvuru!$F:$F,"&lt;&gt;"&amp;""))</f>
        <v>0</v>
      </c>
      <c r="Q57" s="260" t="s">
        <v>1454</v>
      </c>
      <c r="R57" s="261">
        <f>COUNTIFS(Başvuru!$C:$C,Q57,Başvuru!$F:$F,"&lt;&gt;"&amp;"")</f>
        <v>4</v>
      </c>
      <c r="S57" s="261">
        <f>RANK(R57,$R$6:$R$290,0)+COUNTIF($R$6:R57,R57)-1</f>
        <v>26</v>
      </c>
    </row>
    <row r="58" spans="2:19" ht="15" customHeight="1" x14ac:dyDescent="0.25">
      <c r="B58" s="249">
        <v>53</v>
      </c>
      <c r="C58" s="250" t="str">
        <f>IFERROR(INDEX($Q$6:$Q$290,MATCH(53,$S$6:$S$290,0)),"")</f>
        <v>Prof. Dr. Oğuz IŞIK</v>
      </c>
      <c r="D58" s="251">
        <f>IF(C58="","",COUNTIFS(Başvuru!$C:$C,C58,Başvuru!$F:$F,"&lt;&gt;"&amp;""))</f>
        <v>3</v>
      </c>
      <c r="E58" s="249" t="str">
        <f>IF(D58&gt;0,TEXT(D58/COUNTIF(Başvuru!$F:$F,"&lt;&gt;"&amp;"")*100,"0.0")&amp;"%","-")</f>
        <v>00%</v>
      </c>
      <c r="F58" s="252">
        <f>IF(C58="","",COUNTIFS(Başvuru!$C:$C,C58,Başvuru!$G:$G,"Bireysel Araştırma",Başvuru!$F:$F,"&lt;&gt;"&amp;""))</f>
        <v>0</v>
      </c>
      <c r="G58" s="252">
        <f>IF(C58="","",COUNTIFS(Başvuru!$C:$C,C58,Başvuru!$G:$G,"Uzmanlık Tezi",Başvuru!$F:$F,"&lt;&gt;"&amp;""))</f>
        <v>0</v>
      </c>
      <c r="H58" s="252">
        <f>IF(C58="","",COUNTIFS(Başvuru!$C:$C,C58,Başvuru!$G:$G,"Doktora Tezi",Başvuru!$F:$F,"&lt;&gt;"&amp;""))</f>
        <v>3</v>
      </c>
      <c r="I58" s="252">
        <f>IF(C58="","",COUNTIFS(Başvuru!$C:$C,C58,Başvuru!$G:$G,"Yüksek Lisans Tezi",Başvuru!$F:$F,"&lt;&gt;"&amp;""))</f>
        <v>0</v>
      </c>
      <c r="J58" s="253">
        <f>IF(C58="","",COUNTIFS(Başvuru!$C:$C,C58,Başvuru!$L:$L,"ONAY",Başvuru!$F:$F,"&lt;&gt;"&amp;""))</f>
        <v>1</v>
      </c>
      <c r="K58" s="254">
        <f>IF(C58="","",COUNTIFS(Başvuru!$C:$C,C58,Başvuru!$L:$L,"DÜZELTME",Başvuru!$F:$F,"&lt;&gt;"&amp;""))</f>
        <v>2</v>
      </c>
      <c r="L58" s="255">
        <f>IF(C58="","",COUNTIFS(Başvuru!$C:$C,C58,Başvuru!$L:$L,"KAEK",Başvuru!$F:$F,"&lt;&gt;"&amp;""))</f>
        <v>0</v>
      </c>
      <c r="M58" s="256">
        <f>IF(C58="","",COUNTIFS(Başvuru!$C:$C,C58,Başvuru!$L:$L,"GÖRÜŞ",Başvuru!$F:$F,"&lt;&gt;"&amp;""))</f>
        <v>0</v>
      </c>
      <c r="N58" s="257">
        <f>IF(C58="","",COUNTIFS(Başvuru!$C:$C,C58,Başvuru!$L:$L,"RET",Başvuru!$F:$F,"&lt;&gt;"&amp;""))</f>
        <v>0</v>
      </c>
      <c r="O58" s="258">
        <f>IF(C58="","",COUNTIFS(Başvuru!$C:$C,C58,Başvuru!$L:$L,"KAPSAM DIŞI",Başvuru!$F:$F,"&lt;&gt;"&amp;""))</f>
        <v>0</v>
      </c>
      <c r="P58" s="259">
        <f>IF(C58="","",COUNTIFS(Başvuru!$C:$C,C58,Başvuru!$L:$L,"GERİ ÇEKİLDİ",Başvuru!$F:$F,"&lt;&gt;"&amp;""))</f>
        <v>0</v>
      </c>
      <c r="Q58" s="260" t="s">
        <v>919</v>
      </c>
      <c r="R58" s="261">
        <f>COUNTIFS(Başvuru!$C:$C,Q58,Başvuru!$F:$F,"&lt;&gt;"&amp;"")</f>
        <v>1</v>
      </c>
      <c r="S58" s="261">
        <f>RANK(R58,$R$6:$R$290,0)+COUNTIF($R$6:R58,R58)-1</f>
        <v>146</v>
      </c>
    </row>
    <row r="59" spans="2:19" ht="15" customHeight="1" x14ac:dyDescent="0.25">
      <c r="B59" s="262">
        <v>54</v>
      </c>
      <c r="C59" s="263" t="str">
        <f>IFERROR(INDEX($Q$6:$Q$290,MATCH(54,$S$6:$S$290,0)),"")</f>
        <v>Prof. Dr. Seza ÖZEN</v>
      </c>
      <c r="D59" s="264">
        <f>IF(C59="","",COUNTIFS(Başvuru!$C:$C,C59,Başvuru!$F:$F,"&lt;&gt;"&amp;""))</f>
        <v>3</v>
      </c>
      <c r="E59" s="262" t="str">
        <f>IF(D59&gt;0,TEXT(D59/COUNTIF(Başvuru!$F:$F,"&lt;&gt;"&amp;"")*100,"0.0")&amp;"%","-")</f>
        <v>00%</v>
      </c>
      <c r="F59" s="265">
        <f>IF(C59="","",COUNTIFS(Başvuru!$C:$C,C59,Başvuru!$G:$G,"Bireysel Araştırma",Başvuru!$F:$F,"&lt;&gt;"&amp;""))</f>
        <v>3</v>
      </c>
      <c r="G59" s="265">
        <f>IF(C59="","",COUNTIFS(Başvuru!$C:$C,C59,Başvuru!$G:$G,"Uzmanlık Tezi",Başvuru!$F:$F,"&lt;&gt;"&amp;""))</f>
        <v>0</v>
      </c>
      <c r="H59" s="265">
        <f>IF(C59="","",COUNTIFS(Başvuru!$C:$C,C59,Başvuru!$G:$G,"Doktora Tezi",Başvuru!$F:$F,"&lt;&gt;"&amp;""))</f>
        <v>0</v>
      </c>
      <c r="I59" s="265">
        <f>IF(C59="","",COUNTIFS(Başvuru!$C:$C,C59,Başvuru!$G:$G,"Yüksek Lisans Tezi",Başvuru!$F:$F,"&lt;&gt;"&amp;""))</f>
        <v>0</v>
      </c>
      <c r="J59" s="266">
        <f>IF(C59="","",COUNTIFS(Başvuru!$C:$C,C59,Başvuru!$L:$L,"ONAY",Başvuru!$F:$F,"&lt;&gt;"&amp;""))</f>
        <v>0</v>
      </c>
      <c r="K59" s="267">
        <f>IF(C59="","",COUNTIFS(Başvuru!$C:$C,C59,Başvuru!$L:$L,"DÜZELTME",Başvuru!$F:$F,"&lt;&gt;"&amp;""))</f>
        <v>1</v>
      </c>
      <c r="L59" s="268">
        <f>IF(C59="","",COUNTIFS(Başvuru!$C:$C,C59,Başvuru!$L:$L,"KAEK",Başvuru!$F:$F,"&lt;&gt;"&amp;""))</f>
        <v>0</v>
      </c>
      <c r="M59" s="269">
        <f>IF(C59="","",COUNTIFS(Başvuru!$C:$C,C59,Başvuru!$L:$L,"GÖRÜŞ",Başvuru!$F:$F,"&lt;&gt;"&amp;""))</f>
        <v>1</v>
      </c>
      <c r="N59" s="270">
        <f>IF(C59="","",COUNTIFS(Başvuru!$C:$C,C59,Başvuru!$L:$L,"RET",Başvuru!$F:$F,"&lt;&gt;"&amp;""))</f>
        <v>0</v>
      </c>
      <c r="O59" s="271">
        <f>IF(C59="","",COUNTIFS(Başvuru!$C:$C,C59,Başvuru!$L:$L,"KAPSAM DIŞI",Başvuru!$F:$F,"&lt;&gt;"&amp;""))</f>
        <v>0</v>
      </c>
      <c r="P59" s="272">
        <f>IF(C59="","",COUNTIFS(Başvuru!$C:$C,C59,Başvuru!$L:$L,"GERİ ÇEKİLDİ",Başvuru!$F:$F,"&lt;&gt;"&amp;""))</f>
        <v>0</v>
      </c>
      <c r="Q59" s="260" t="s">
        <v>1230</v>
      </c>
      <c r="R59" s="261">
        <f>COUNTIFS(Başvuru!$C:$C,Q59,Başvuru!$F:$F,"&lt;&gt;"&amp;"")</f>
        <v>1</v>
      </c>
      <c r="S59" s="261">
        <f>RANK(R59,$R$6:$R$290,0)+COUNTIF($R$6:R59,R59)-1</f>
        <v>147</v>
      </c>
    </row>
    <row r="60" spans="2:19" ht="15" customHeight="1" x14ac:dyDescent="0.25">
      <c r="B60" s="249">
        <v>55</v>
      </c>
      <c r="C60" s="250" t="str">
        <f>IFERROR(INDEX($Q$6:$Q$290,MATCH(55,$S$6:$S$290,0)),"")</f>
        <v>Prof. Dr. Sibel DOĞAN GÜNAYDIN</v>
      </c>
      <c r="D60" s="251">
        <f>IF(C60="","",COUNTIFS(Başvuru!$C:$C,C60,Başvuru!$F:$F,"&lt;&gt;"&amp;""))</f>
        <v>3</v>
      </c>
      <c r="E60" s="249" t="str">
        <f>IF(D60&gt;0,TEXT(D60/COUNTIF(Başvuru!$F:$F,"&lt;&gt;"&amp;"")*100,"0.0")&amp;"%","-")</f>
        <v>00%</v>
      </c>
      <c r="F60" s="252">
        <f>IF(C60="","",COUNTIFS(Başvuru!$C:$C,C60,Başvuru!$G:$G,"Bireysel Araştırma",Başvuru!$F:$F,"&lt;&gt;"&amp;""))</f>
        <v>2</v>
      </c>
      <c r="G60" s="252">
        <f>IF(C60="","",COUNTIFS(Başvuru!$C:$C,C60,Başvuru!$G:$G,"Uzmanlık Tezi",Başvuru!$F:$F,"&lt;&gt;"&amp;""))</f>
        <v>1</v>
      </c>
      <c r="H60" s="252">
        <f>IF(C60="","",COUNTIFS(Başvuru!$C:$C,C60,Başvuru!$G:$G,"Doktora Tezi",Başvuru!$F:$F,"&lt;&gt;"&amp;""))</f>
        <v>0</v>
      </c>
      <c r="I60" s="252">
        <f>IF(C60="","",COUNTIFS(Başvuru!$C:$C,C60,Başvuru!$G:$G,"Yüksek Lisans Tezi",Başvuru!$F:$F,"&lt;&gt;"&amp;""))</f>
        <v>0</v>
      </c>
      <c r="J60" s="253">
        <f>IF(C60="","",COUNTIFS(Başvuru!$C:$C,C60,Başvuru!$L:$L,"ONAY",Başvuru!$F:$F,"&lt;&gt;"&amp;""))</f>
        <v>1</v>
      </c>
      <c r="K60" s="254">
        <f>IF(C60="","",COUNTIFS(Başvuru!$C:$C,C60,Başvuru!$L:$L,"DÜZELTME",Başvuru!$F:$F,"&lt;&gt;"&amp;""))</f>
        <v>2</v>
      </c>
      <c r="L60" s="255">
        <f>IF(C60="","",COUNTIFS(Başvuru!$C:$C,C60,Başvuru!$L:$L,"KAEK",Başvuru!$F:$F,"&lt;&gt;"&amp;""))</f>
        <v>0</v>
      </c>
      <c r="M60" s="256">
        <f>IF(C60="","",COUNTIFS(Başvuru!$C:$C,C60,Başvuru!$L:$L,"GÖRÜŞ",Başvuru!$F:$F,"&lt;&gt;"&amp;""))</f>
        <v>0</v>
      </c>
      <c r="N60" s="257">
        <f>IF(C60="","",COUNTIFS(Başvuru!$C:$C,C60,Başvuru!$L:$L,"RET",Başvuru!$F:$F,"&lt;&gt;"&amp;""))</f>
        <v>0</v>
      </c>
      <c r="O60" s="258">
        <f>IF(C60="","",COUNTIFS(Başvuru!$C:$C,C60,Başvuru!$L:$L,"KAPSAM DIŞI",Başvuru!$F:$F,"&lt;&gt;"&amp;""))</f>
        <v>0</v>
      </c>
      <c r="P60" s="259">
        <f>IF(C60="","",COUNTIFS(Başvuru!$C:$C,C60,Başvuru!$L:$L,"GERİ ÇEKİLDİ",Başvuru!$F:$F,"&lt;&gt;"&amp;""))</f>
        <v>0</v>
      </c>
      <c r="Q60" s="260" t="s">
        <v>65</v>
      </c>
      <c r="R60" s="261">
        <f>COUNTIFS(Başvuru!$C:$C,Q60,Başvuru!$F:$F,"&lt;&gt;"&amp;"")</f>
        <v>4</v>
      </c>
      <c r="S60" s="261">
        <f>RANK(R60,$R$6:$R$290,0)+COUNTIF($R$6:R60,R60)-1</f>
        <v>27</v>
      </c>
    </row>
    <row r="61" spans="2:19" ht="15" customHeight="1" x14ac:dyDescent="0.25">
      <c r="B61" s="262">
        <v>56</v>
      </c>
      <c r="C61" s="263" t="str">
        <f>IFERROR(INDEX($Q$6:$Q$290,MATCH(56,$S$6:$S$290,0)),"")</f>
        <v>Prof. Dr. Sıddika Songül YALÇIN</v>
      </c>
      <c r="D61" s="264">
        <f>IF(C61="","",COUNTIFS(Başvuru!$C:$C,C61,Başvuru!$F:$F,"&lt;&gt;"&amp;""))</f>
        <v>3</v>
      </c>
      <c r="E61" s="262" t="str">
        <f>IF(D61&gt;0,TEXT(D61/COUNTIF(Başvuru!$F:$F,"&lt;&gt;"&amp;"")*100,"0.0")&amp;"%","-")</f>
        <v>00%</v>
      </c>
      <c r="F61" s="265">
        <f>IF(C61="","",COUNTIFS(Başvuru!$C:$C,C61,Başvuru!$G:$G,"Bireysel Araştırma",Başvuru!$F:$F,"&lt;&gt;"&amp;""))</f>
        <v>2</v>
      </c>
      <c r="G61" s="265">
        <f>IF(C61="","",COUNTIFS(Başvuru!$C:$C,C61,Başvuru!$G:$G,"Uzmanlık Tezi",Başvuru!$F:$F,"&lt;&gt;"&amp;""))</f>
        <v>0</v>
      </c>
      <c r="H61" s="265">
        <f>IF(C61="","",COUNTIFS(Başvuru!$C:$C,C61,Başvuru!$G:$G,"Doktora Tezi",Başvuru!$F:$F,"&lt;&gt;"&amp;""))</f>
        <v>1</v>
      </c>
      <c r="I61" s="265">
        <f>IF(C61="","",COUNTIFS(Başvuru!$C:$C,C61,Başvuru!$G:$G,"Yüksek Lisans Tezi",Başvuru!$F:$F,"&lt;&gt;"&amp;""))</f>
        <v>0</v>
      </c>
      <c r="J61" s="266">
        <f>IF(C61="","",COUNTIFS(Başvuru!$C:$C,C61,Başvuru!$L:$L,"ONAY",Başvuru!$F:$F,"&lt;&gt;"&amp;""))</f>
        <v>3</v>
      </c>
      <c r="K61" s="267">
        <f>IF(C61="","",COUNTIFS(Başvuru!$C:$C,C61,Başvuru!$L:$L,"DÜZELTME",Başvuru!$F:$F,"&lt;&gt;"&amp;""))</f>
        <v>0</v>
      </c>
      <c r="L61" s="268">
        <f>IF(C61="","",COUNTIFS(Başvuru!$C:$C,C61,Başvuru!$L:$L,"KAEK",Başvuru!$F:$F,"&lt;&gt;"&amp;""))</f>
        <v>0</v>
      </c>
      <c r="M61" s="269">
        <f>IF(C61="","",COUNTIFS(Başvuru!$C:$C,C61,Başvuru!$L:$L,"GÖRÜŞ",Başvuru!$F:$F,"&lt;&gt;"&amp;""))</f>
        <v>0</v>
      </c>
      <c r="N61" s="270">
        <f>IF(C61="","",COUNTIFS(Başvuru!$C:$C,C61,Başvuru!$L:$L,"RET",Başvuru!$F:$F,"&lt;&gt;"&amp;""))</f>
        <v>0</v>
      </c>
      <c r="O61" s="271">
        <f>IF(C61="","",COUNTIFS(Başvuru!$C:$C,C61,Başvuru!$L:$L,"KAPSAM DIŞI",Başvuru!$F:$F,"&lt;&gt;"&amp;""))</f>
        <v>0</v>
      </c>
      <c r="P61" s="272">
        <f>IF(C61="","",COUNTIFS(Başvuru!$C:$C,C61,Başvuru!$L:$L,"GERİ ÇEKİLDİ",Başvuru!$F:$F,"&lt;&gt;"&amp;""))</f>
        <v>0</v>
      </c>
      <c r="Q61" s="260" t="s">
        <v>2079</v>
      </c>
      <c r="R61" s="261">
        <f>COUNTIFS(Başvuru!$C:$C,Q61,Başvuru!$F:$F,"&lt;&gt;"&amp;"")</f>
        <v>1</v>
      </c>
      <c r="S61" s="261">
        <f>RANK(R61,$R$6:$R$290,0)+COUNTIF($R$6:R61,R61)-1</f>
        <v>148</v>
      </c>
    </row>
    <row r="62" spans="2:19" ht="15" customHeight="1" x14ac:dyDescent="0.25">
      <c r="B62" s="249">
        <v>57</v>
      </c>
      <c r="C62" s="250" t="str">
        <f>IFERROR(INDEX($Q$6:$Q$290,MATCH(57,$S$6:$S$290,0)),"")</f>
        <v>Prof. Dr. Umut KALYONCU</v>
      </c>
      <c r="D62" s="251">
        <f>IF(C62="","",COUNTIFS(Başvuru!$C:$C,C62,Başvuru!$F:$F,"&lt;&gt;"&amp;""))</f>
        <v>3</v>
      </c>
      <c r="E62" s="249" t="str">
        <f>IF(D62&gt;0,TEXT(D62/COUNTIF(Başvuru!$F:$F,"&lt;&gt;"&amp;"")*100,"0.0")&amp;"%","-")</f>
        <v>00%</v>
      </c>
      <c r="F62" s="252">
        <f>IF(C62="","",COUNTIFS(Başvuru!$C:$C,C62,Başvuru!$G:$G,"Bireysel Araştırma",Başvuru!$F:$F,"&lt;&gt;"&amp;""))</f>
        <v>3</v>
      </c>
      <c r="G62" s="252">
        <f>IF(C62="","",COUNTIFS(Başvuru!$C:$C,C62,Başvuru!$G:$G,"Uzmanlık Tezi",Başvuru!$F:$F,"&lt;&gt;"&amp;""))</f>
        <v>0</v>
      </c>
      <c r="H62" s="252">
        <f>IF(C62="","",COUNTIFS(Başvuru!$C:$C,C62,Başvuru!$G:$G,"Doktora Tezi",Başvuru!$F:$F,"&lt;&gt;"&amp;""))</f>
        <v>0</v>
      </c>
      <c r="I62" s="252">
        <f>IF(C62="","",COUNTIFS(Başvuru!$C:$C,C62,Başvuru!$G:$G,"Yüksek Lisans Tezi",Başvuru!$F:$F,"&lt;&gt;"&amp;""))</f>
        <v>0</v>
      </c>
      <c r="J62" s="253">
        <f>IF(C62="","",COUNTIFS(Başvuru!$C:$C,C62,Başvuru!$L:$L,"ONAY",Başvuru!$F:$F,"&lt;&gt;"&amp;""))</f>
        <v>2</v>
      </c>
      <c r="K62" s="254">
        <f>IF(C62="","",COUNTIFS(Başvuru!$C:$C,C62,Başvuru!$L:$L,"DÜZELTME",Başvuru!$F:$F,"&lt;&gt;"&amp;""))</f>
        <v>0</v>
      </c>
      <c r="L62" s="255">
        <f>IF(C62="","",COUNTIFS(Başvuru!$C:$C,C62,Başvuru!$L:$L,"KAEK",Başvuru!$F:$F,"&lt;&gt;"&amp;""))</f>
        <v>0</v>
      </c>
      <c r="M62" s="256">
        <f>IF(C62="","",COUNTIFS(Başvuru!$C:$C,C62,Başvuru!$L:$L,"GÖRÜŞ",Başvuru!$F:$F,"&lt;&gt;"&amp;""))</f>
        <v>0</v>
      </c>
      <c r="N62" s="257">
        <f>IF(C62="","",COUNTIFS(Başvuru!$C:$C,C62,Başvuru!$L:$L,"RET",Başvuru!$F:$F,"&lt;&gt;"&amp;""))</f>
        <v>1</v>
      </c>
      <c r="O62" s="258">
        <f>IF(C62="","",COUNTIFS(Başvuru!$C:$C,C62,Başvuru!$L:$L,"KAPSAM DIŞI",Başvuru!$F:$F,"&lt;&gt;"&amp;""))</f>
        <v>0</v>
      </c>
      <c r="P62" s="259">
        <f>IF(C62="","",COUNTIFS(Başvuru!$C:$C,C62,Başvuru!$L:$L,"GERİ ÇEKİLDİ",Başvuru!$F:$F,"&lt;&gt;"&amp;""))</f>
        <v>0</v>
      </c>
      <c r="Q62" s="260" t="s">
        <v>1365</v>
      </c>
      <c r="R62" s="261">
        <f>COUNTIFS(Başvuru!$C:$C,Q62,Başvuru!$F:$F,"&lt;&gt;"&amp;"")</f>
        <v>2</v>
      </c>
      <c r="S62" s="261">
        <f>RANK(R62,$R$6:$R$290,0)+COUNTIF($R$6:R62,R62)-1</f>
        <v>74</v>
      </c>
    </row>
    <row r="63" spans="2:19" ht="15" customHeight="1" x14ac:dyDescent="0.25">
      <c r="B63" s="262">
        <v>58</v>
      </c>
      <c r="C63" s="263" t="str">
        <f>IFERROR(INDEX($Q$6:$Q$290,MATCH(58,$S$6:$S$290,0)),"")</f>
        <v>Prof. Dr. Ömer KARADAĞ</v>
      </c>
      <c r="D63" s="264">
        <f>IF(C63="","",COUNTIFS(Başvuru!$C:$C,C63,Başvuru!$F:$F,"&lt;&gt;"&amp;""))</f>
        <v>3</v>
      </c>
      <c r="E63" s="262" t="str">
        <f>IF(D63&gt;0,TEXT(D63/COUNTIF(Başvuru!$F:$F,"&lt;&gt;"&amp;"")*100,"0.0")&amp;"%","-")</f>
        <v>00%</v>
      </c>
      <c r="F63" s="265">
        <f>IF(C63="","",COUNTIFS(Başvuru!$C:$C,C63,Başvuru!$G:$G,"Bireysel Araştırma",Başvuru!$F:$F,"&lt;&gt;"&amp;""))</f>
        <v>3</v>
      </c>
      <c r="G63" s="265">
        <f>IF(C63="","",COUNTIFS(Başvuru!$C:$C,C63,Başvuru!$G:$G,"Uzmanlık Tezi",Başvuru!$F:$F,"&lt;&gt;"&amp;""))</f>
        <v>0</v>
      </c>
      <c r="H63" s="265">
        <f>IF(C63="","",COUNTIFS(Başvuru!$C:$C,C63,Başvuru!$G:$G,"Doktora Tezi",Başvuru!$F:$F,"&lt;&gt;"&amp;""))</f>
        <v>0</v>
      </c>
      <c r="I63" s="265">
        <f>IF(C63="","",COUNTIFS(Başvuru!$C:$C,C63,Başvuru!$G:$G,"Yüksek Lisans Tezi",Başvuru!$F:$F,"&lt;&gt;"&amp;""))</f>
        <v>0</v>
      </c>
      <c r="J63" s="266">
        <f>IF(C63="","",COUNTIFS(Başvuru!$C:$C,C63,Başvuru!$L:$L,"ONAY",Başvuru!$F:$F,"&lt;&gt;"&amp;""))</f>
        <v>2</v>
      </c>
      <c r="K63" s="267">
        <f>IF(C63="","",COUNTIFS(Başvuru!$C:$C,C63,Başvuru!$L:$L,"DÜZELTME",Başvuru!$F:$F,"&lt;&gt;"&amp;""))</f>
        <v>0</v>
      </c>
      <c r="L63" s="268">
        <f>IF(C63="","",COUNTIFS(Başvuru!$C:$C,C63,Başvuru!$L:$L,"KAEK",Başvuru!$F:$F,"&lt;&gt;"&amp;""))</f>
        <v>0</v>
      </c>
      <c r="M63" s="269">
        <f>IF(C63="","",COUNTIFS(Başvuru!$C:$C,C63,Başvuru!$L:$L,"GÖRÜŞ",Başvuru!$F:$F,"&lt;&gt;"&amp;""))</f>
        <v>0</v>
      </c>
      <c r="N63" s="270">
        <f>IF(C63="","",COUNTIFS(Başvuru!$C:$C,C63,Başvuru!$L:$L,"RET",Başvuru!$F:$F,"&lt;&gt;"&amp;""))</f>
        <v>0</v>
      </c>
      <c r="O63" s="271">
        <f>IF(C63="","",COUNTIFS(Başvuru!$C:$C,C63,Başvuru!$L:$L,"KAPSAM DIŞI",Başvuru!$F:$F,"&lt;&gt;"&amp;""))</f>
        <v>0</v>
      </c>
      <c r="P63" s="272">
        <f>IF(C63="","",COUNTIFS(Başvuru!$C:$C,C63,Başvuru!$L:$L,"GERİ ÇEKİLDİ",Başvuru!$F:$F,"&lt;&gt;"&amp;""))</f>
        <v>0</v>
      </c>
      <c r="Q63" s="260" t="s">
        <v>259</v>
      </c>
      <c r="R63" s="261">
        <f>COUNTIFS(Başvuru!$C:$C,Q63,Başvuru!$F:$F,"&lt;&gt;"&amp;"")</f>
        <v>3</v>
      </c>
      <c r="S63" s="261">
        <f>RANK(R63,$R$6:$R$290,0)+COUNTIF($R$6:R63,R63)-1</f>
        <v>41</v>
      </c>
    </row>
    <row r="64" spans="2:19" ht="15" customHeight="1" x14ac:dyDescent="0.25">
      <c r="B64" s="249">
        <v>59</v>
      </c>
      <c r="C64" s="250" t="str">
        <f>IFERROR(INDEX($Q$6:$Q$290,MATCH(59,$S$6:$S$290,0)),"")</f>
        <v>Prof. Dr. Özgür UĞURLUOĞLU</v>
      </c>
      <c r="D64" s="251">
        <f>IF(C64="","",COUNTIFS(Başvuru!$C:$C,C64,Başvuru!$F:$F,"&lt;&gt;"&amp;""))</f>
        <v>3</v>
      </c>
      <c r="E64" s="249" t="str">
        <f>IF(D64&gt;0,TEXT(D64/COUNTIF(Başvuru!$F:$F,"&lt;&gt;"&amp;"")*100,"0.0")&amp;"%","-")</f>
        <v>00%</v>
      </c>
      <c r="F64" s="252">
        <f>IF(C64="","",COUNTIFS(Başvuru!$C:$C,C64,Başvuru!$G:$G,"Bireysel Araştırma",Başvuru!$F:$F,"&lt;&gt;"&amp;""))</f>
        <v>0</v>
      </c>
      <c r="G64" s="252">
        <f>IF(C64="","",COUNTIFS(Başvuru!$C:$C,C64,Başvuru!$G:$G,"Uzmanlık Tezi",Başvuru!$F:$F,"&lt;&gt;"&amp;""))</f>
        <v>0</v>
      </c>
      <c r="H64" s="252">
        <f>IF(C64="","",COUNTIFS(Başvuru!$C:$C,C64,Başvuru!$G:$G,"Doktora Tezi",Başvuru!$F:$F,"&lt;&gt;"&amp;""))</f>
        <v>3</v>
      </c>
      <c r="I64" s="252">
        <f>IF(C64="","",COUNTIFS(Başvuru!$C:$C,C64,Başvuru!$G:$G,"Yüksek Lisans Tezi",Başvuru!$F:$F,"&lt;&gt;"&amp;""))</f>
        <v>0</v>
      </c>
      <c r="J64" s="253">
        <f>IF(C64="","",COUNTIFS(Başvuru!$C:$C,C64,Başvuru!$L:$L,"ONAY",Başvuru!$F:$F,"&lt;&gt;"&amp;""))</f>
        <v>1</v>
      </c>
      <c r="K64" s="254">
        <f>IF(C64="","",COUNTIFS(Başvuru!$C:$C,C64,Başvuru!$L:$L,"DÜZELTME",Başvuru!$F:$F,"&lt;&gt;"&amp;""))</f>
        <v>1</v>
      </c>
      <c r="L64" s="255">
        <f>IF(C64="","",COUNTIFS(Başvuru!$C:$C,C64,Başvuru!$L:$L,"KAEK",Başvuru!$F:$F,"&lt;&gt;"&amp;""))</f>
        <v>0</v>
      </c>
      <c r="M64" s="256">
        <f>IF(C64="","",COUNTIFS(Başvuru!$C:$C,C64,Başvuru!$L:$L,"GÖRÜŞ",Başvuru!$F:$F,"&lt;&gt;"&amp;""))</f>
        <v>1</v>
      </c>
      <c r="N64" s="257">
        <f>IF(C64="","",COUNTIFS(Başvuru!$C:$C,C64,Başvuru!$L:$L,"RET",Başvuru!$F:$F,"&lt;&gt;"&amp;""))</f>
        <v>0</v>
      </c>
      <c r="O64" s="258">
        <f>IF(C64="","",COUNTIFS(Başvuru!$C:$C,C64,Başvuru!$L:$L,"KAPSAM DIŞI",Başvuru!$F:$F,"&lt;&gt;"&amp;""))</f>
        <v>0</v>
      </c>
      <c r="P64" s="259">
        <f>IF(C64="","",COUNTIFS(Başvuru!$C:$C,C64,Başvuru!$L:$L,"GERİ ÇEKİLDİ",Başvuru!$F:$F,"&lt;&gt;"&amp;""))</f>
        <v>0</v>
      </c>
      <c r="Q64" s="260" t="s">
        <v>2441</v>
      </c>
      <c r="R64" s="261">
        <f>COUNTIFS(Başvuru!$C:$C,Q64,Başvuru!$F:$F,"&lt;&gt;"&amp;"")</f>
        <v>2</v>
      </c>
      <c r="S64" s="261">
        <f>RANK(R64,$R$6:$R$290,0)+COUNTIF($R$6:R64,R64)-1</f>
        <v>75</v>
      </c>
    </row>
    <row r="65" spans="2:19" ht="15" customHeight="1" x14ac:dyDescent="0.25">
      <c r="B65" s="262">
        <v>60</v>
      </c>
      <c r="C65" s="263" t="str">
        <f>IFERROR(INDEX($Q$6:$Q$290,MATCH(60,$S$6:$S$290,0)),"")</f>
        <v>Arş. Gör. Dr. Sebiha Şükran GÜNDEŞLİ</v>
      </c>
      <c r="D65" s="264">
        <f>IF(C65="","",COUNTIFS(Başvuru!$C:$C,C65,Başvuru!$F:$F,"&lt;&gt;"&amp;""))</f>
        <v>2</v>
      </c>
      <c r="E65" s="262" t="str">
        <f>IF(D65&gt;0,TEXT(D65/COUNTIF(Başvuru!$F:$F,"&lt;&gt;"&amp;"")*100,"0.0")&amp;"%","-")</f>
        <v>00%</v>
      </c>
      <c r="F65" s="265">
        <f>IF(C65="","",COUNTIFS(Başvuru!$C:$C,C65,Başvuru!$G:$G,"Bireysel Araştırma",Başvuru!$F:$F,"&lt;&gt;"&amp;""))</f>
        <v>2</v>
      </c>
      <c r="G65" s="265">
        <f>IF(C65="","",COUNTIFS(Başvuru!$C:$C,C65,Başvuru!$G:$G,"Uzmanlık Tezi",Başvuru!$F:$F,"&lt;&gt;"&amp;""))</f>
        <v>0</v>
      </c>
      <c r="H65" s="265">
        <f>IF(C65="","",COUNTIFS(Başvuru!$C:$C,C65,Başvuru!$G:$G,"Doktora Tezi",Başvuru!$F:$F,"&lt;&gt;"&amp;""))</f>
        <v>0</v>
      </c>
      <c r="I65" s="265">
        <f>IF(C65="","",COUNTIFS(Başvuru!$C:$C,C65,Başvuru!$G:$G,"Yüksek Lisans Tezi",Başvuru!$F:$F,"&lt;&gt;"&amp;""))</f>
        <v>0</v>
      </c>
      <c r="J65" s="266">
        <f>IF(C65="","",COUNTIFS(Başvuru!$C:$C,C65,Başvuru!$L:$L,"ONAY",Başvuru!$F:$F,"&lt;&gt;"&amp;""))</f>
        <v>1</v>
      </c>
      <c r="K65" s="267">
        <f>IF(C65="","",COUNTIFS(Başvuru!$C:$C,C65,Başvuru!$L:$L,"DÜZELTME",Başvuru!$F:$F,"&lt;&gt;"&amp;""))</f>
        <v>1</v>
      </c>
      <c r="L65" s="268">
        <f>IF(C65="","",COUNTIFS(Başvuru!$C:$C,C65,Başvuru!$L:$L,"KAEK",Başvuru!$F:$F,"&lt;&gt;"&amp;""))</f>
        <v>0</v>
      </c>
      <c r="M65" s="269">
        <f>IF(C65="","",COUNTIFS(Başvuru!$C:$C,C65,Başvuru!$L:$L,"GÖRÜŞ",Başvuru!$F:$F,"&lt;&gt;"&amp;""))</f>
        <v>0</v>
      </c>
      <c r="N65" s="270">
        <f>IF(C65="","",COUNTIFS(Başvuru!$C:$C,C65,Başvuru!$L:$L,"RET",Başvuru!$F:$F,"&lt;&gt;"&amp;""))</f>
        <v>0</v>
      </c>
      <c r="O65" s="271">
        <f>IF(C65="","",COUNTIFS(Başvuru!$C:$C,C65,Başvuru!$L:$L,"KAPSAM DIŞI",Başvuru!$F:$F,"&lt;&gt;"&amp;""))</f>
        <v>0</v>
      </c>
      <c r="P65" s="272">
        <f>IF(C65="","",COUNTIFS(Başvuru!$C:$C,C65,Başvuru!$L:$L,"GERİ ÇEKİLDİ",Başvuru!$F:$F,"&lt;&gt;"&amp;""))</f>
        <v>0</v>
      </c>
      <c r="Q65" s="260" t="s">
        <v>552</v>
      </c>
      <c r="R65" s="261">
        <f>COUNTIFS(Başvuru!$C:$C,Q65,Başvuru!$F:$F,"&lt;&gt;"&amp;"")</f>
        <v>10</v>
      </c>
      <c r="S65" s="261">
        <f>RANK(R65,$R$6:$R$290,0)+COUNTIF($R$6:R65,R65)-1</f>
        <v>2</v>
      </c>
    </row>
    <row r="66" spans="2:19" ht="15" customHeight="1" x14ac:dyDescent="0.25">
      <c r="B66" s="249">
        <v>61</v>
      </c>
      <c r="C66" s="250" t="str">
        <f>IFERROR(INDEX($Q$6:$Q$290,MATCH(61,$S$6:$S$290,0)),"")</f>
        <v>Arş. Gör. Dr. Şükran BAYRAK</v>
      </c>
      <c r="D66" s="251">
        <f>IF(C66="","",COUNTIFS(Başvuru!$C:$C,C66,Başvuru!$F:$F,"&lt;&gt;"&amp;""))</f>
        <v>2</v>
      </c>
      <c r="E66" s="249" t="str">
        <f>IF(D66&gt;0,TEXT(D66/COUNTIF(Başvuru!$F:$F,"&lt;&gt;"&amp;"")*100,"0.0")&amp;"%","-")</f>
        <v>00%</v>
      </c>
      <c r="F66" s="252">
        <f>IF(C66="","",COUNTIFS(Başvuru!$C:$C,C66,Başvuru!$G:$G,"Bireysel Araştırma",Başvuru!$F:$F,"&lt;&gt;"&amp;""))</f>
        <v>2</v>
      </c>
      <c r="G66" s="252">
        <f>IF(C66="","",COUNTIFS(Başvuru!$C:$C,C66,Başvuru!$G:$G,"Uzmanlık Tezi",Başvuru!$F:$F,"&lt;&gt;"&amp;""))</f>
        <v>0</v>
      </c>
      <c r="H66" s="252">
        <f>IF(C66="","",COUNTIFS(Başvuru!$C:$C,C66,Başvuru!$G:$G,"Doktora Tezi",Başvuru!$F:$F,"&lt;&gt;"&amp;""))</f>
        <v>0</v>
      </c>
      <c r="I66" s="252">
        <f>IF(C66="","",COUNTIFS(Başvuru!$C:$C,C66,Başvuru!$G:$G,"Yüksek Lisans Tezi",Başvuru!$F:$F,"&lt;&gt;"&amp;""))</f>
        <v>0</v>
      </c>
      <c r="J66" s="253">
        <f>IF(C66="","",COUNTIFS(Başvuru!$C:$C,C66,Başvuru!$L:$L,"ONAY",Başvuru!$F:$F,"&lt;&gt;"&amp;""))</f>
        <v>1</v>
      </c>
      <c r="K66" s="254">
        <f>IF(C66="","",COUNTIFS(Başvuru!$C:$C,C66,Başvuru!$L:$L,"DÜZELTME",Başvuru!$F:$F,"&lt;&gt;"&amp;""))</f>
        <v>1</v>
      </c>
      <c r="L66" s="255">
        <f>IF(C66="","",COUNTIFS(Başvuru!$C:$C,C66,Başvuru!$L:$L,"KAEK",Başvuru!$F:$F,"&lt;&gt;"&amp;""))</f>
        <v>0</v>
      </c>
      <c r="M66" s="256">
        <f>IF(C66="","",COUNTIFS(Başvuru!$C:$C,C66,Başvuru!$L:$L,"GÖRÜŞ",Başvuru!$F:$F,"&lt;&gt;"&amp;""))</f>
        <v>0</v>
      </c>
      <c r="N66" s="257">
        <f>IF(C66="","",COUNTIFS(Başvuru!$C:$C,C66,Başvuru!$L:$L,"RET",Başvuru!$F:$F,"&lt;&gt;"&amp;""))</f>
        <v>0</v>
      </c>
      <c r="O66" s="258">
        <f>IF(C66="","",COUNTIFS(Başvuru!$C:$C,C66,Başvuru!$L:$L,"KAPSAM DIŞI",Başvuru!$F:$F,"&lt;&gt;"&amp;""))</f>
        <v>0</v>
      </c>
      <c r="P66" s="259">
        <f>IF(C66="","",COUNTIFS(Başvuru!$C:$C,C66,Başvuru!$L:$L,"GERİ ÇEKİLDİ",Başvuru!$F:$F,"&lt;&gt;"&amp;""))</f>
        <v>0</v>
      </c>
      <c r="Q66" s="260" t="s">
        <v>985</v>
      </c>
      <c r="R66" s="261">
        <f>COUNTIFS(Başvuru!$C:$C,Q66,Başvuru!$F:$F,"&lt;&gt;"&amp;"")</f>
        <v>3</v>
      </c>
      <c r="S66" s="261">
        <f>RANK(R66,$R$6:$R$290,0)+COUNTIF($R$6:R66,R66)-1</f>
        <v>42</v>
      </c>
    </row>
    <row r="67" spans="2:19" ht="15" customHeight="1" x14ac:dyDescent="0.25">
      <c r="B67" s="262">
        <v>62</v>
      </c>
      <c r="C67" s="263" t="str">
        <f>IFERROR(INDEX($Q$6:$Q$290,MATCH(62,$S$6:$S$290,0)),"")</f>
        <v>Doç. Dr. Adalet Elçin YILDIZ</v>
      </c>
      <c r="D67" s="264">
        <f>IF(C67="","",COUNTIFS(Başvuru!$C:$C,C67,Başvuru!$F:$F,"&lt;&gt;"&amp;""))</f>
        <v>2</v>
      </c>
      <c r="E67" s="262" t="str">
        <f>IF(D67&gt;0,TEXT(D67/COUNTIF(Başvuru!$F:$F,"&lt;&gt;"&amp;"")*100,"0.0")&amp;"%","-")</f>
        <v>00%</v>
      </c>
      <c r="F67" s="265">
        <f>IF(C67="","",COUNTIFS(Başvuru!$C:$C,C67,Başvuru!$G:$G,"Bireysel Araştırma",Başvuru!$F:$F,"&lt;&gt;"&amp;""))</f>
        <v>1</v>
      </c>
      <c r="G67" s="265">
        <f>IF(C67="","",COUNTIFS(Başvuru!$C:$C,C67,Başvuru!$G:$G,"Uzmanlık Tezi",Başvuru!$F:$F,"&lt;&gt;"&amp;""))</f>
        <v>1</v>
      </c>
      <c r="H67" s="265">
        <f>IF(C67="","",COUNTIFS(Başvuru!$C:$C,C67,Başvuru!$G:$G,"Doktora Tezi",Başvuru!$F:$F,"&lt;&gt;"&amp;""))</f>
        <v>0</v>
      </c>
      <c r="I67" s="265">
        <f>IF(C67="","",COUNTIFS(Başvuru!$C:$C,C67,Başvuru!$G:$G,"Yüksek Lisans Tezi",Başvuru!$F:$F,"&lt;&gt;"&amp;""))</f>
        <v>0</v>
      </c>
      <c r="J67" s="266">
        <f>IF(C67="","",COUNTIFS(Başvuru!$C:$C,C67,Başvuru!$L:$L,"ONAY",Başvuru!$F:$F,"&lt;&gt;"&amp;""))</f>
        <v>0</v>
      </c>
      <c r="K67" s="267">
        <f>IF(C67="","",COUNTIFS(Başvuru!$C:$C,C67,Başvuru!$L:$L,"DÜZELTME",Başvuru!$F:$F,"&lt;&gt;"&amp;""))</f>
        <v>2</v>
      </c>
      <c r="L67" s="268">
        <f>IF(C67="","",COUNTIFS(Başvuru!$C:$C,C67,Başvuru!$L:$L,"KAEK",Başvuru!$F:$F,"&lt;&gt;"&amp;""))</f>
        <v>0</v>
      </c>
      <c r="M67" s="269">
        <f>IF(C67="","",COUNTIFS(Başvuru!$C:$C,C67,Başvuru!$L:$L,"GÖRÜŞ",Başvuru!$F:$F,"&lt;&gt;"&amp;""))</f>
        <v>0</v>
      </c>
      <c r="N67" s="270">
        <f>IF(C67="","",COUNTIFS(Başvuru!$C:$C,C67,Başvuru!$L:$L,"RET",Başvuru!$F:$F,"&lt;&gt;"&amp;""))</f>
        <v>0</v>
      </c>
      <c r="O67" s="271">
        <f>IF(C67="","",COUNTIFS(Başvuru!$C:$C,C67,Başvuru!$L:$L,"KAPSAM DIŞI",Başvuru!$F:$F,"&lt;&gt;"&amp;""))</f>
        <v>0</v>
      </c>
      <c r="P67" s="272">
        <f>IF(C67="","",COUNTIFS(Başvuru!$C:$C,C67,Başvuru!$L:$L,"GERİ ÇEKİLDİ",Başvuru!$F:$F,"&lt;&gt;"&amp;""))</f>
        <v>0</v>
      </c>
      <c r="Q67" s="260" t="s">
        <v>2347</v>
      </c>
      <c r="R67" s="261">
        <f>COUNTIFS(Başvuru!$C:$C,Q67,Başvuru!$F:$F,"&lt;&gt;"&amp;"")</f>
        <v>1</v>
      </c>
      <c r="S67" s="261">
        <f>RANK(R67,$R$6:$R$290,0)+COUNTIF($R$6:R67,R67)-1</f>
        <v>149</v>
      </c>
    </row>
    <row r="68" spans="2:19" ht="15" customHeight="1" x14ac:dyDescent="0.25">
      <c r="B68" s="249">
        <v>63</v>
      </c>
      <c r="C68" s="250" t="str">
        <f>IFERROR(INDEX($Q$6:$Q$290,MATCH(63,$S$6:$S$290,0)),"")</f>
        <v>Doç. Dr. Aslıhan AYKARA</v>
      </c>
      <c r="D68" s="251">
        <f>IF(C68="","",COUNTIFS(Başvuru!$C:$C,C68,Başvuru!$F:$F,"&lt;&gt;"&amp;""))</f>
        <v>2</v>
      </c>
      <c r="E68" s="249" t="str">
        <f>IF(D68&gt;0,TEXT(D68/COUNTIF(Başvuru!$F:$F,"&lt;&gt;"&amp;"")*100,"0.0")&amp;"%","-")</f>
        <v>00%</v>
      </c>
      <c r="F68" s="252">
        <f>IF(C68="","",COUNTIFS(Başvuru!$C:$C,C68,Başvuru!$G:$G,"Bireysel Araştırma",Başvuru!$F:$F,"&lt;&gt;"&amp;""))</f>
        <v>0</v>
      </c>
      <c r="G68" s="252">
        <f>IF(C68="","",COUNTIFS(Başvuru!$C:$C,C68,Başvuru!$G:$G,"Uzmanlık Tezi",Başvuru!$F:$F,"&lt;&gt;"&amp;""))</f>
        <v>0</v>
      </c>
      <c r="H68" s="252">
        <f>IF(C68="","",COUNTIFS(Başvuru!$C:$C,C68,Başvuru!$G:$G,"Doktora Tezi",Başvuru!$F:$F,"&lt;&gt;"&amp;""))</f>
        <v>2</v>
      </c>
      <c r="I68" s="252">
        <f>IF(C68="","",COUNTIFS(Başvuru!$C:$C,C68,Başvuru!$G:$G,"Yüksek Lisans Tezi",Başvuru!$F:$F,"&lt;&gt;"&amp;""))</f>
        <v>0</v>
      </c>
      <c r="J68" s="253">
        <f>IF(C68="","",COUNTIFS(Başvuru!$C:$C,C68,Başvuru!$L:$L,"ONAY",Başvuru!$F:$F,"&lt;&gt;"&amp;""))</f>
        <v>2</v>
      </c>
      <c r="K68" s="254">
        <f>IF(C68="","",COUNTIFS(Başvuru!$C:$C,C68,Başvuru!$L:$L,"DÜZELTME",Başvuru!$F:$F,"&lt;&gt;"&amp;""))</f>
        <v>0</v>
      </c>
      <c r="L68" s="255">
        <f>IF(C68="","",COUNTIFS(Başvuru!$C:$C,C68,Başvuru!$L:$L,"KAEK",Başvuru!$F:$F,"&lt;&gt;"&amp;""))</f>
        <v>0</v>
      </c>
      <c r="M68" s="256">
        <f>IF(C68="","",COUNTIFS(Başvuru!$C:$C,C68,Başvuru!$L:$L,"GÖRÜŞ",Başvuru!$F:$F,"&lt;&gt;"&amp;""))</f>
        <v>0</v>
      </c>
      <c r="N68" s="257">
        <f>IF(C68="","",COUNTIFS(Başvuru!$C:$C,C68,Başvuru!$L:$L,"RET",Başvuru!$F:$F,"&lt;&gt;"&amp;""))</f>
        <v>0</v>
      </c>
      <c r="O68" s="258">
        <f>IF(C68="","",COUNTIFS(Başvuru!$C:$C,C68,Başvuru!$L:$L,"KAPSAM DIŞI",Başvuru!$F:$F,"&lt;&gt;"&amp;""))</f>
        <v>0</v>
      </c>
      <c r="P68" s="259">
        <f>IF(C68="","",COUNTIFS(Başvuru!$C:$C,C68,Başvuru!$L:$L,"GERİ ÇEKİLDİ",Başvuru!$F:$F,"&lt;&gt;"&amp;""))</f>
        <v>0</v>
      </c>
      <c r="Q68" s="260" t="s">
        <v>1901</v>
      </c>
      <c r="R68" s="261">
        <f>COUNTIFS(Başvuru!$C:$C,Q68,Başvuru!$F:$F,"&lt;&gt;"&amp;"")</f>
        <v>1</v>
      </c>
      <c r="S68" s="261">
        <f>RANK(R68,$R$6:$R$290,0)+COUNTIF($R$6:R68,R68)-1</f>
        <v>150</v>
      </c>
    </row>
    <row r="69" spans="2:19" ht="15" customHeight="1" x14ac:dyDescent="0.25">
      <c r="B69" s="262">
        <v>64</v>
      </c>
      <c r="C69" s="263" t="str">
        <f>IFERROR(INDEX($Q$6:$Q$290,MATCH(64,$S$6:$S$290,0)),"")</f>
        <v>Doç. Dr. Burcu ERSÖZ ALAN</v>
      </c>
      <c r="D69" s="264">
        <f>IF(C69="","",COUNTIFS(Başvuru!$C:$C,C69,Başvuru!$F:$F,"&lt;&gt;"&amp;""))</f>
        <v>2</v>
      </c>
      <c r="E69" s="262" t="str">
        <f>IF(D69&gt;0,TEXT(D69/COUNTIF(Başvuru!$F:$F,"&lt;&gt;"&amp;"")*100,"0.0")&amp;"%","-")</f>
        <v>00%</v>
      </c>
      <c r="F69" s="265">
        <f>IF(C69="","",COUNTIFS(Başvuru!$C:$C,C69,Başvuru!$G:$G,"Bireysel Araştırma",Başvuru!$F:$F,"&lt;&gt;"&amp;""))</f>
        <v>0</v>
      </c>
      <c r="G69" s="265">
        <f>IF(C69="","",COUNTIFS(Başvuru!$C:$C,C69,Başvuru!$G:$G,"Uzmanlık Tezi",Başvuru!$F:$F,"&lt;&gt;"&amp;""))</f>
        <v>2</v>
      </c>
      <c r="H69" s="265">
        <f>IF(C69="","",COUNTIFS(Başvuru!$C:$C,C69,Başvuru!$G:$G,"Doktora Tezi",Başvuru!$F:$F,"&lt;&gt;"&amp;""))</f>
        <v>0</v>
      </c>
      <c r="I69" s="265">
        <f>IF(C69="","",COUNTIFS(Başvuru!$C:$C,C69,Başvuru!$G:$G,"Yüksek Lisans Tezi",Başvuru!$F:$F,"&lt;&gt;"&amp;""))</f>
        <v>0</v>
      </c>
      <c r="J69" s="266">
        <f>IF(C69="","",COUNTIFS(Başvuru!$C:$C,C69,Başvuru!$L:$L,"ONAY",Başvuru!$F:$F,"&lt;&gt;"&amp;""))</f>
        <v>2</v>
      </c>
      <c r="K69" s="267">
        <f>IF(C69="","",COUNTIFS(Başvuru!$C:$C,C69,Başvuru!$L:$L,"DÜZELTME",Başvuru!$F:$F,"&lt;&gt;"&amp;""))</f>
        <v>0</v>
      </c>
      <c r="L69" s="268">
        <f>IF(C69="","",COUNTIFS(Başvuru!$C:$C,C69,Başvuru!$L:$L,"KAEK",Başvuru!$F:$F,"&lt;&gt;"&amp;""))</f>
        <v>0</v>
      </c>
      <c r="M69" s="269">
        <f>IF(C69="","",COUNTIFS(Başvuru!$C:$C,C69,Başvuru!$L:$L,"GÖRÜŞ",Başvuru!$F:$F,"&lt;&gt;"&amp;""))</f>
        <v>0</v>
      </c>
      <c r="N69" s="270">
        <f>IF(C69="","",COUNTIFS(Başvuru!$C:$C,C69,Başvuru!$L:$L,"RET",Başvuru!$F:$F,"&lt;&gt;"&amp;""))</f>
        <v>0</v>
      </c>
      <c r="O69" s="271">
        <f>IF(C69="","",COUNTIFS(Başvuru!$C:$C,C69,Başvuru!$L:$L,"KAPSAM DIŞI",Başvuru!$F:$F,"&lt;&gt;"&amp;""))</f>
        <v>0</v>
      </c>
      <c r="P69" s="272">
        <f>IF(C69="","",COUNTIFS(Başvuru!$C:$C,C69,Başvuru!$L:$L,"GERİ ÇEKİLDİ",Başvuru!$F:$F,"&lt;&gt;"&amp;""))</f>
        <v>0</v>
      </c>
      <c r="Q69" s="260" t="s">
        <v>402</v>
      </c>
      <c r="R69" s="261">
        <f>COUNTIFS(Başvuru!$C:$C,Q69,Başvuru!$F:$F,"&lt;&gt;"&amp;"")</f>
        <v>1</v>
      </c>
      <c r="S69" s="261">
        <f>RANK(R69,$R$6:$R$290,0)+COUNTIF($R$6:R69,R69)-1</f>
        <v>151</v>
      </c>
    </row>
    <row r="70" spans="2:19" ht="15" customHeight="1" x14ac:dyDescent="0.25">
      <c r="B70" s="249">
        <v>65</v>
      </c>
      <c r="C70" s="250" t="str">
        <f>IFERROR(INDEX($Q$6:$Q$290,MATCH(65,$S$6:$S$290,0)),"")</f>
        <v>Doç. Dr. Burcu HATİBOĞLU</v>
      </c>
      <c r="D70" s="251">
        <f>IF(C70="","",COUNTIFS(Başvuru!$C:$C,C70,Başvuru!$F:$F,"&lt;&gt;"&amp;""))</f>
        <v>2</v>
      </c>
      <c r="E70" s="249" t="str">
        <f>IF(D70&gt;0,TEXT(D70/COUNTIF(Başvuru!$F:$F,"&lt;&gt;"&amp;"")*100,"0.0")&amp;"%","-")</f>
        <v>00%</v>
      </c>
      <c r="F70" s="252">
        <f>IF(C70="","",COUNTIFS(Başvuru!$C:$C,C70,Başvuru!$G:$G,"Bireysel Araştırma",Başvuru!$F:$F,"&lt;&gt;"&amp;""))</f>
        <v>0</v>
      </c>
      <c r="G70" s="252">
        <f>IF(C70="","",COUNTIFS(Başvuru!$C:$C,C70,Başvuru!$G:$G,"Uzmanlık Tezi",Başvuru!$F:$F,"&lt;&gt;"&amp;""))</f>
        <v>0</v>
      </c>
      <c r="H70" s="252">
        <f>IF(C70="","",COUNTIFS(Başvuru!$C:$C,C70,Başvuru!$G:$G,"Doktora Tezi",Başvuru!$F:$F,"&lt;&gt;"&amp;""))</f>
        <v>2</v>
      </c>
      <c r="I70" s="252">
        <f>IF(C70="","",COUNTIFS(Başvuru!$C:$C,C70,Başvuru!$G:$G,"Yüksek Lisans Tezi",Başvuru!$F:$F,"&lt;&gt;"&amp;""))</f>
        <v>0</v>
      </c>
      <c r="J70" s="253">
        <f>IF(C70="","",COUNTIFS(Başvuru!$C:$C,C70,Başvuru!$L:$L,"ONAY",Başvuru!$F:$F,"&lt;&gt;"&amp;""))</f>
        <v>1</v>
      </c>
      <c r="K70" s="254">
        <f>IF(C70="","",COUNTIFS(Başvuru!$C:$C,C70,Başvuru!$L:$L,"DÜZELTME",Başvuru!$F:$F,"&lt;&gt;"&amp;""))</f>
        <v>0</v>
      </c>
      <c r="L70" s="255">
        <f>IF(C70="","",COUNTIFS(Başvuru!$C:$C,C70,Başvuru!$L:$L,"KAEK",Başvuru!$F:$F,"&lt;&gt;"&amp;""))</f>
        <v>0</v>
      </c>
      <c r="M70" s="256">
        <f>IF(C70="","",COUNTIFS(Başvuru!$C:$C,C70,Başvuru!$L:$L,"GÖRÜŞ",Başvuru!$F:$F,"&lt;&gt;"&amp;""))</f>
        <v>0</v>
      </c>
      <c r="N70" s="257">
        <f>IF(C70="","",COUNTIFS(Başvuru!$C:$C,C70,Başvuru!$L:$L,"RET",Başvuru!$F:$F,"&lt;&gt;"&amp;""))</f>
        <v>0</v>
      </c>
      <c r="O70" s="258">
        <f>IF(C70="","",COUNTIFS(Başvuru!$C:$C,C70,Başvuru!$L:$L,"KAPSAM DIŞI",Başvuru!$F:$F,"&lt;&gt;"&amp;""))</f>
        <v>0</v>
      </c>
      <c r="P70" s="259">
        <f>IF(C70="","",COUNTIFS(Başvuru!$C:$C,C70,Başvuru!$L:$L,"GERİ ÇEKİLDİ",Başvuru!$F:$F,"&lt;&gt;"&amp;""))</f>
        <v>0</v>
      </c>
      <c r="Q70" s="260" t="s">
        <v>1848</v>
      </c>
      <c r="R70" s="261">
        <f>COUNTIFS(Başvuru!$C:$C,Q70,Başvuru!$F:$F,"&lt;&gt;"&amp;"")</f>
        <v>1</v>
      </c>
      <c r="S70" s="261">
        <f>RANK(R70,$R$6:$R$290,0)+COUNTIF($R$6:R70,R70)-1</f>
        <v>152</v>
      </c>
    </row>
    <row r="71" spans="2:19" ht="15" customHeight="1" x14ac:dyDescent="0.25">
      <c r="B71" s="262">
        <v>66</v>
      </c>
      <c r="C71" s="263" t="str">
        <f>IFERROR(INDEX($Q$6:$Q$290,MATCH(66,$S$6:$S$290,0)),"")</f>
        <v>Doç. Dr. Cem ŞİMŞEK</v>
      </c>
      <c r="D71" s="264">
        <f>IF(C71="","",COUNTIFS(Başvuru!$C:$C,C71,Başvuru!$F:$F,"&lt;&gt;"&amp;""))</f>
        <v>2</v>
      </c>
      <c r="E71" s="262" t="str">
        <f>IF(D71&gt;0,TEXT(D71/COUNTIF(Başvuru!$F:$F,"&lt;&gt;"&amp;"")*100,"0.0")&amp;"%","-")</f>
        <v>00%</v>
      </c>
      <c r="F71" s="265">
        <f>IF(C71="","",COUNTIFS(Başvuru!$C:$C,C71,Başvuru!$G:$G,"Bireysel Araştırma",Başvuru!$F:$F,"&lt;&gt;"&amp;""))</f>
        <v>2</v>
      </c>
      <c r="G71" s="265">
        <f>IF(C71="","",COUNTIFS(Başvuru!$C:$C,C71,Başvuru!$G:$G,"Uzmanlık Tezi",Başvuru!$F:$F,"&lt;&gt;"&amp;""))</f>
        <v>0</v>
      </c>
      <c r="H71" s="265">
        <f>IF(C71="","",COUNTIFS(Başvuru!$C:$C,C71,Başvuru!$G:$G,"Doktora Tezi",Başvuru!$F:$F,"&lt;&gt;"&amp;""))</f>
        <v>0</v>
      </c>
      <c r="I71" s="265">
        <f>IF(C71="","",COUNTIFS(Başvuru!$C:$C,C71,Başvuru!$G:$G,"Yüksek Lisans Tezi",Başvuru!$F:$F,"&lt;&gt;"&amp;""))</f>
        <v>0</v>
      </c>
      <c r="J71" s="266">
        <f>IF(C71="","",COUNTIFS(Başvuru!$C:$C,C71,Başvuru!$L:$L,"ONAY",Başvuru!$F:$F,"&lt;&gt;"&amp;""))</f>
        <v>0</v>
      </c>
      <c r="K71" s="267">
        <f>IF(C71="","",COUNTIFS(Başvuru!$C:$C,C71,Başvuru!$L:$L,"DÜZELTME",Başvuru!$F:$F,"&lt;&gt;"&amp;""))</f>
        <v>2</v>
      </c>
      <c r="L71" s="268">
        <f>IF(C71="","",COUNTIFS(Başvuru!$C:$C,C71,Başvuru!$L:$L,"KAEK",Başvuru!$F:$F,"&lt;&gt;"&amp;""))</f>
        <v>0</v>
      </c>
      <c r="M71" s="269">
        <f>IF(C71="","",COUNTIFS(Başvuru!$C:$C,C71,Başvuru!$L:$L,"GÖRÜŞ",Başvuru!$F:$F,"&lt;&gt;"&amp;""))</f>
        <v>0</v>
      </c>
      <c r="N71" s="270">
        <f>IF(C71="","",COUNTIFS(Başvuru!$C:$C,C71,Başvuru!$L:$L,"RET",Başvuru!$F:$F,"&lt;&gt;"&amp;""))</f>
        <v>0</v>
      </c>
      <c r="O71" s="271">
        <f>IF(C71="","",COUNTIFS(Başvuru!$C:$C,C71,Başvuru!$L:$L,"KAPSAM DIŞI",Başvuru!$F:$F,"&lt;&gt;"&amp;""))</f>
        <v>0</v>
      </c>
      <c r="P71" s="272">
        <f>IF(C71="","",COUNTIFS(Başvuru!$C:$C,C71,Başvuru!$L:$L,"GERİ ÇEKİLDİ",Başvuru!$F:$F,"&lt;&gt;"&amp;""))</f>
        <v>0</v>
      </c>
      <c r="Q71" s="260" t="s">
        <v>2543</v>
      </c>
      <c r="R71" s="261">
        <f>COUNTIFS(Başvuru!$C:$C,Q71,Başvuru!$F:$F,"&lt;&gt;"&amp;"")</f>
        <v>1</v>
      </c>
      <c r="S71" s="261">
        <f>RANK(R71,$R$6:$R$290,0)+COUNTIF($R$6:R71,R71)-1</f>
        <v>153</v>
      </c>
    </row>
    <row r="72" spans="2:19" ht="15" customHeight="1" x14ac:dyDescent="0.25">
      <c r="B72" s="249">
        <v>67</v>
      </c>
      <c r="C72" s="250" t="str">
        <f>IFERROR(INDEX($Q$6:$Q$290,MATCH(67,$S$6:$S$290,0)),"")</f>
        <v>Doç. Dr. Ceren GÜNENÇ BEŞER</v>
      </c>
      <c r="D72" s="251">
        <f>IF(C72="","",COUNTIFS(Başvuru!$C:$C,C72,Başvuru!$F:$F,"&lt;&gt;"&amp;""))</f>
        <v>2</v>
      </c>
      <c r="E72" s="249" t="str">
        <f>IF(D72&gt;0,TEXT(D72/COUNTIF(Başvuru!$F:$F,"&lt;&gt;"&amp;"")*100,"0.0")&amp;"%","-")</f>
        <v>00%</v>
      </c>
      <c r="F72" s="252">
        <f>IF(C72="","",COUNTIFS(Başvuru!$C:$C,C72,Başvuru!$G:$G,"Bireysel Araştırma",Başvuru!$F:$F,"&lt;&gt;"&amp;""))</f>
        <v>0</v>
      </c>
      <c r="G72" s="252">
        <f>IF(C72="","",COUNTIFS(Başvuru!$C:$C,C72,Başvuru!$G:$G,"Uzmanlık Tezi",Başvuru!$F:$F,"&lt;&gt;"&amp;""))</f>
        <v>0</v>
      </c>
      <c r="H72" s="252">
        <f>IF(C72="","",COUNTIFS(Başvuru!$C:$C,C72,Başvuru!$G:$G,"Doktora Tezi",Başvuru!$F:$F,"&lt;&gt;"&amp;""))</f>
        <v>1</v>
      </c>
      <c r="I72" s="252">
        <f>IF(C72="","",COUNTIFS(Başvuru!$C:$C,C72,Başvuru!$G:$G,"Yüksek Lisans Tezi",Başvuru!$F:$F,"&lt;&gt;"&amp;""))</f>
        <v>1</v>
      </c>
      <c r="J72" s="253">
        <f>IF(C72="","",COUNTIFS(Başvuru!$C:$C,C72,Başvuru!$L:$L,"ONAY",Başvuru!$F:$F,"&lt;&gt;"&amp;""))</f>
        <v>2</v>
      </c>
      <c r="K72" s="254">
        <f>IF(C72="","",COUNTIFS(Başvuru!$C:$C,C72,Başvuru!$L:$L,"DÜZELTME",Başvuru!$F:$F,"&lt;&gt;"&amp;""))</f>
        <v>0</v>
      </c>
      <c r="L72" s="255">
        <f>IF(C72="","",COUNTIFS(Başvuru!$C:$C,C72,Başvuru!$L:$L,"KAEK",Başvuru!$F:$F,"&lt;&gt;"&amp;""))</f>
        <v>0</v>
      </c>
      <c r="M72" s="256">
        <f>IF(C72="","",COUNTIFS(Başvuru!$C:$C,C72,Başvuru!$L:$L,"GÖRÜŞ",Başvuru!$F:$F,"&lt;&gt;"&amp;""))</f>
        <v>0</v>
      </c>
      <c r="N72" s="257">
        <f>IF(C72="","",COUNTIFS(Başvuru!$C:$C,C72,Başvuru!$L:$L,"RET",Başvuru!$F:$F,"&lt;&gt;"&amp;""))</f>
        <v>0</v>
      </c>
      <c r="O72" s="258">
        <f>IF(C72="","",COUNTIFS(Başvuru!$C:$C,C72,Başvuru!$L:$L,"KAPSAM DIŞI",Başvuru!$F:$F,"&lt;&gt;"&amp;""))</f>
        <v>0</v>
      </c>
      <c r="P72" s="259">
        <f>IF(C72="","",COUNTIFS(Başvuru!$C:$C,C72,Başvuru!$L:$L,"GERİ ÇEKİLDİ",Başvuru!$F:$F,"&lt;&gt;"&amp;""))</f>
        <v>0</v>
      </c>
      <c r="Q72" s="260" t="s">
        <v>122</v>
      </c>
      <c r="R72" s="261">
        <f>COUNTIFS(Başvuru!$C:$C,Q72,Başvuru!$F:$F,"&lt;&gt;"&amp;"")</f>
        <v>2</v>
      </c>
      <c r="S72" s="261">
        <f>RANK(R72,$R$6:$R$290,0)+COUNTIF($R$6:R72,R72)-1</f>
        <v>76</v>
      </c>
    </row>
    <row r="73" spans="2:19" ht="15" customHeight="1" x14ac:dyDescent="0.25">
      <c r="B73" s="262">
        <v>68</v>
      </c>
      <c r="C73" s="263" t="str">
        <f>IFERROR(INDEX($Q$6:$Q$290,MATCH(68,$S$6:$S$290,0)),"")</f>
        <v>Doç. Dr. Ceren ÖZKUL KOÇAK</v>
      </c>
      <c r="D73" s="264">
        <f>IF(C73="","",COUNTIFS(Başvuru!$C:$C,C73,Başvuru!$F:$F,"&lt;&gt;"&amp;""))</f>
        <v>2</v>
      </c>
      <c r="E73" s="262" t="str">
        <f>IF(D73&gt;0,TEXT(D73/COUNTIF(Başvuru!$F:$F,"&lt;&gt;"&amp;"")*100,"0.0")&amp;"%","-")</f>
        <v>00%</v>
      </c>
      <c r="F73" s="265">
        <f>IF(C73="","",COUNTIFS(Başvuru!$C:$C,C73,Başvuru!$G:$G,"Bireysel Araştırma",Başvuru!$F:$F,"&lt;&gt;"&amp;""))</f>
        <v>1</v>
      </c>
      <c r="G73" s="265">
        <f>IF(C73="","",COUNTIFS(Başvuru!$C:$C,C73,Başvuru!$G:$G,"Uzmanlık Tezi",Başvuru!$F:$F,"&lt;&gt;"&amp;""))</f>
        <v>0</v>
      </c>
      <c r="H73" s="265">
        <f>IF(C73="","",COUNTIFS(Başvuru!$C:$C,C73,Başvuru!$G:$G,"Doktora Tezi",Başvuru!$F:$F,"&lt;&gt;"&amp;""))</f>
        <v>1</v>
      </c>
      <c r="I73" s="265">
        <f>IF(C73="","",COUNTIFS(Başvuru!$C:$C,C73,Başvuru!$G:$G,"Yüksek Lisans Tezi",Başvuru!$F:$F,"&lt;&gt;"&amp;""))</f>
        <v>0</v>
      </c>
      <c r="J73" s="266">
        <f>IF(C73="","",COUNTIFS(Başvuru!$C:$C,C73,Başvuru!$L:$L,"ONAY",Başvuru!$F:$F,"&lt;&gt;"&amp;""))</f>
        <v>0</v>
      </c>
      <c r="K73" s="267">
        <f>IF(C73="","",COUNTIFS(Başvuru!$C:$C,C73,Başvuru!$L:$L,"DÜZELTME",Başvuru!$F:$F,"&lt;&gt;"&amp;""))</f>
        <v>2</v>
      </c>
      <c r="L73" s="268">
        <f>IF(C73="","",COUNTIFS(Başvuru!$C:$C,C73,Başvuru!$L:$L,"KAEK",Başvuru!$F:$F,"&lt;&gt;"&amp;""))</f>
        <v>0</v>
      </c>
      <c r="M73" s="269">
        <f>IF(C73="","",COUNTIFS(Başvuru!$C:$C,C73,Başvuru!$L:$L,"GÖRÜŞ",Başvuru!$F:$F,"&lt;&gt;"&amp;""))</f>
        <v>0</v>
      </c>
      <c r="N73" s="270">
        <f>IF(C73="","",COUNTIFS(Başvuru!$C:$C,C73,Başvuru!$L:$L,"RET",Başvuru!$F:$F,"&lt;&gt;"&amp;""))</f>
        <v>0</v>
      </c>
      <c r="O73" s="271">
        <f>IF(C73="","",COUNTIFS(Başvuru!$C:$C,C73,Başvuru!$L:$L,"KAPSAM DIŞI",Başvuru!$F:$F,"&lt;&gt;"&amp;""))</f>
        <v>0</v>
      </c>
      <c r="P73" s="272">
        <f>IF(C73="","",COUNTIFS(Başvuru!$C:$C,C73,Başvuru!$L:$L,"GERİ ÇEKİLDİ",Başvuru!$F:$F,"&lt;&gt;"&amp;""))</f>
        <v>0</v>
      </c>
      <c r="Q73" s="260" t="s">
        <v>1691</v>
      </c>
      <c r="R73" s="261">
        <f>COUNTIFS(Başvuru!$C:$C,Q73,Başvuru!$F:$F,"&lt;&gt;"&amp;"")</f>
        <v>2</v>
      </c>
      <c r="S73" s="261">
        <f>RANK(R73,$R$6:$R$290,0)+COUNTIF($R$6:R73,R73)-1</f>
        <v>77</v>
      </c>
    </row>
    <row r="74" spans="2:19" ht="15" customHeight="1" x14ac:dyDescent="0.25">
      <c r="B74" s="249">
        <v>69</v>
      </c>
      <c r="C74" s="250" t="str">
        <f>IFERROR(INDEX($Q$6:$Q$290,MATCH(69,$S$6:$S$290,0)),"")</f>
        <v>Doç. Dr. Duygu GÜLSEREN</v>
      </c>
      <c r="D74" s="251">
        <f>IF(C74="","",COUNTIFS(Başvuru!$C:$C,C74,Başvuru!$F:$F,"&lt;&gt;"&amp;""))</f>
        <v>2</v>
      </c>
      <c r="E74" s="249" t="str">
        <f>IF(D74&gt;0,TEXT(D74/COUNTIF(Başvuru!$F:$F,"&lt;&gt;"&amp;"")*100,"0.0")&amp;"%","-")</f>
        <v>00%</v>
      </c>
      <c r="F74" s="252">
        <f>IF(C74="","",COUNTIFS(Başvuru!$C:$C,C74,Başvuru!$G:$G,"Bireysel Araştırma",Başvuru!$F:$F,"&lt;&gt;"&amp;""))</f>
        <v>2</v>
      </c>
      <c r="G74" s="252">
        <f>IF(C74="","",COUNTIFS(Başvuru!$C:$C,C74,Başvuru!$G:$G,"Uzmanlık Tezi",Başvuru!$F:$F,"&lt;&gt;"&amp;""))</f>
        <v>0</v>
      </c>
      <c r="H74" s="252">
        <f>IF(C74="","",COUNTIFS(Başvuru!$C:$C,C74,Başvuru!$G:$G,"Doktora Tezi",Başvuru!$F:$F,"&lt;&gt;"&amp;""))</f>
        <v>0</v>
      </c>
      <c r="I74" s="252">
        <f>IF(C74="","",COUNTIFS(Başvuru!$C:$C,C74,Başvuru!$G:$G,"Yüksek Lisans Tezi",Başvuru!$F:$F,"&lt;&gt;"&amp;""))</f>
        <v>0</v>
      </c>
      <c r="J74" s="253">
        <f>IF(C74="","",COUNTIFS(Başvuru!$C:$C,C74,Başvuru!$L:$L,"ONAY",Başvuru!$F:$F,"&lt;&gt;"&amp;""))</f>
        <v>2</v>
      </c>
      <c r="K74" s="254">
        <f>IF(C74="","",COUNTIFS(Başvuru!$C:$C,C74,Başvuru!$L:$L,"DÜZELTME",Başvuru!$F:$F,"&lt;&gt;"&amp;""))</f>
        <v>0</v>
      </c>
      <c r="L74" s="255">
        <f>IF(C74="","",COUNTIFS(Başvuru!$C:$C,C74,Başvuru!$L:$L,"KAEK",Başvuru!$F:$F,"&lt;&gt;"&amp;""))</f>
        <v>0</v>
      </c>
      <c r="M74" s="256">
        <f>IF(C74="","",COUNTIFS(Başvuru!$C:$C,C74,Başvuru!$L:$L,"GÖRÜŞ",Başvuru!$F:$F,"&lt;&gt;"&amp;""))</f>
        <v>0</v>
      </c>
      <c r="N74" s="257">
        <f>IF(C74="","",COUNTIFS(Başvuru!$C:$C,C74,Başvuru!$L:$L,"RET",Başvuru!$F:$F,"&lt;&gt;"&amp;""))</f>
        <v>0</v>
      </c>
      <c r="O74" s="258">
        <f>IF(C74="","",COUNTIFS(Başvuru!$C:$C,C74,Başvuru!$L:$L,"KAPSAM DIŞI",Başvuru!$F:$F,"&lt;&gt;"&amp;""))</f>
        <v>0</v>
      </c>
      <c r="P74" s="259">
        <f>IF(C74="","",COUNTIFS(Başvuru!$C:$C,C74,Başvuru!$L:$L,"GERİ ÇEKİLDİ",Başvuru!$F:$F,"&lt;&gt;"&amp;""))</f>
        <v>0</v>
      </c>
      <c r="Q74" s="260" t="s">
        <v>1560</v>
      </c>
      <c r="R74" s="261">
        <f>COUNTIFS(Başvuru!$C:$C,Q74,Başvuru!$F:$F,"&lt;&gt;"&amp;"")</f>
        <v>1</v>
      </c>
      <c r="S74" s="261">
        <f>RANK(R74,$R$6:$R$290,0)+COUNTIF($R$6:R74,R74)-1</f>
        <v>154</v>
      </c>
    </row>
    <row r="75" spans="2:19" ht="15" customHeight="1" x14ac:dyDescent="0.25">
      <c r="B75" s="262">
        <v>70</v>
      </c>
      <c r="C75" s="263" t="str">
        <f>IFERROR(INDEX($Q$6:$Q$290,MATCH(70,$S$6:$S$290,0)),"")</f>
        <v>Doç. Dr. Eda Ezgi ASLANTAŞ</v>
      </c>
      <c r="D75" s="264">
        <f>IF(C75="","",COUNTIFS(Başvuru!$C:$C,C75,Başvuru!$F:$F,"&lt;&gt;"&amp;""))</f>
        <v>2</v>
      </c>
      <c r="E75" s="262" t="str">
        <f>IF(D75&gt;0,TEXT(D75/COUNTIF(Başvuru!$F:$F,"&lt;&gt;"&amp;"")*100,"0.0")&amp;"%","-")</f>
        <v>00%</v>
      </c>
      <c r="F75" s="265">
        <f>IF(C75="","",COUNTIFS(Başvuru!$C:$C,C75,Başvuru!$G:$G,"Bireysel Araştırma",Başvuru!$F:$F,"&lt;&gt;"&amp;""))</f>
        <v>2</v>
      </c>
      <c r="G75" s="265">
        <f>IF(C75="","",COUNTIFS(Başvuru!$C:$C,C75,Başvuru!$G:$G,"Uzmanlık Tezi",Başvuru!$F:$F,"&lt;&gt;"&amp;""))</f>
        <v>0</v>
      </c>
      <c r="H75" s="265">
        <f>IF(C75="","",COUNTIFS(Başvuru!$C:$C,C75,Başvuru!$G:$G,"Doktora Tezi",Başvuru!$F:$F,"&lt;&gt;"&amp;""))</f>
        <v>0</v>
      </c>
      <c r="I75" s="265">
        <f>IF(C75="","",COUNTIFS(Başvuru!$C:$C,C75,Başvuru!$G:$G,"Yüksek Lisans Tezi",Başvuru!$F:$F,"&lt;&gt;"&amp;""))</f>
        <v>0</v>
      </c>
      <c r="J75" s="266">
        <f>IF(C75="","",COUNTIFS(Başvuru!$C:$C,C75,Başvuru!$L:$L,"ONAY",Başvuru!$F:$F,"&lt;&gt;"&amp;""))</f>
        <v>2</v>
      </c>
      <c r="K75" s="267">
        <f>IF(C75="","",COUNTIFS(Başvuru!$C:$C,C75,Başvuru!$L:$L,"DÜZELTME",Başvuru!$F:$F,"&lt;&gt;"&amp;""))</f>
        <v>0</v>
      </c>
      <c r="L75" s="268">
        <f>IF(C75="","",COUNTIFS(Başvuru!$C:$C,C75,Başvuru!$L:$L,"KAEK",Başvuru!$F:$F,"&lt;&gt;"&amp;""))</f>
        <v>0</v>
      </c>
      <c r="M75" s="269">
        <f>IF(C75="","",COUNTIFS(Başvuru!$C:$C,C75,Başvuru!$L:$L,"GÖRÜŞ",Başvuru!$F:$F,"&lt;&gt;"&amp;""))</f>
        <v>0</v>
      </c>
      <c r="N75" s="270">
        <f>IF(C75="","",COUNTIFS(Başvuru!$C:$C,C75,Başvuru!$L:$L,"RET",Başvuru!$F:$F,"&lt;&gt;"&amp;""))</f>
        <v>0</v>
      </c>
      <c r="O75" s="271">
        <f>IF(C75="","",COUNTIFS(Başvuru!$C:$C,C75,Başvuru!$L:$L,"KAPSAM DIŞI",Başvuru!$F:$F,"&lt;&gt;"&amp;""))</f>
        <v>0</v>
      </c>
      <c r="P75" s="272">
        <f>IF(C75="","",COUNTIFS(Başvuru!$C:$C,C75,Başvuru!$L:$L,"GERİ ÇEKİLDİ",Başvuru!$F:$F,"&lt;&gt;"&amp;""))</f>
        <v>0</v>
      </c>
      <c r="Q75" s="260" t="s">
        <v>1953</v>
      </c>
      <c r="R75" s="261">
        <f>COUNTIFS(Başvuru!$C:$C,Q75,Başvuru!$F:$F,"&lt;&gt;"&amp;"")</f>
        <v>1</v>
      </c>
      <c r="S75" s="261">
        <f>RANK(R75,$R$6:$R$290,0)+COUNTIF($R$6:R75,R75)-1</f>
        <v>155</v>
      </c>
    </row>
    <row r="76" spans="2:19" ht="15" customHeight="1" x14ac:dyDescent="0.25">
      <c r="B76" s="249">
        <v>71</v>
      </c>
      <c r="C76" s="250" t="str">
        <f>IFERROR(INDEX($Q$6:$Q$290,MATCH(71,$S$6:$S$290,0)),"")</f>
        <v>Doç. Dr. Erdal SAĞ</v>
      </c>
      <c r="D76" s="251">
        <f>IF(C76="","",COUNTIFS(Başvuru!$C:$C,C76,Başvuru!$F:$F,"&lt;&gt;"&amp;""))</f>
        <v>2</v>
      </c>
      <c r="E76" s="249" t="str">
        <f>IF(D76&gt;0,TEXT(D76/COUNTIF(Başvuru!$F:$F,"&lt;&gt;"&amp;"")*100,"0.0")&amp;"%","-")</f>
        <v>00%</v>
      </c>
      <c r="F76" s="252">
        <f>IF(C76="","",COUNTIFS(Başvuru!$C:$C,C76,Başvuru!$G:$G,"Bireysel Araştırma",Başvuru!$F:$F,"&lt;&gt;"&amp;""))</f>
        <v>1</v>
      </c>
      <c r="G76" s="252">
        <f>IF(C76="","",COUNTIFS(Başvuru!$C:$C,C76,Başvuru!$G:$G,"Uzmanlık Tezi",Başvuru!$F:$F,"&lt;&gt;"&amp;""))</f>
        <v>1</v>
      </c>
      <c r="H76" s="252">
        <f>IF(C76="","",COUNTIFS(Başvuru!$C:$C,C76,Başvuru!$G:$G,"Doktora Tezi",Başvuru!$F:$F,"&lt;&gt;"&amp;""))</f>
        <v>0</v>
      </c>
      <c r="I76" s="252">
        <f>IF(C76="","",COUNTIFS(Başvuru!$C:$C,C76,Başvuru!$G:$G,"Yüksek Lisans Tezi",Başvuru!$F:$F,"&lt;&gt;"&amp;""))</f>
        <v>0</v>
      </c>
      <c r="J76" s="253">
        <f>IF(C76="","",COUNTIFS(Başvuru!$C:$C,C76,Başvuru!$L:$L,"ONAY",Başvuru!$F:$F,"&lt;&gt;"&amp;""))</f>
        <v>0</v>
      </c>
      <c r="K76" s="254">
        <f>IF(C76="","",COUNTIFS(Başvuru!$C:$C,C76,Başvuru!$L:$L,"DÜZELTME",Başvuru!$F:$F,"&lt;&gt;"&amp;""))</f>
        <v>1</v>
      </c>
      <c r="L76" s="255">
        <f>IF(C76="","",COUNTIFS(Başvuru!$C:$C,C76,Başvuru!$L:$L,"KAEK",Başvuru!$F:$F,"&lt;&gt;"&amp;""))</f>
        <v>0</v>
      </c>
      <c r="M76" s="256">
        <f>IF(C76="","",COUNTIFS(Başvuru!$C:$C,C76,Başvuru!$L:$L,"GÖRÜŞ",Başvuru!$F:$F,"&lt;&gt;"&amp;""))</f>
        <v>0</v>
      </c>
      <c r="N76" s="257">
        <f>IF(C76="","",COUNTIFS(Başvuru!$C:$C,C76,Başvuru!$L:$L,"RET",Başvuru!$F:$F,"&lt;&gt;"&amp;""))</f>
        <v>0</v>
      </c>
      <c r="O76" s="258">
        <f>IF(C76="","",COUNTIFS(Başvuru!$C:$C,C76,Başvuru!$L:$L,"KAPSAM DIŞI",Başvuru!$F:$F,"&lt;&gt;"&amp;""))</f>
        <v>0</v>
      </c>
      <c r="P76" s="259">
        <f>IF(C76="","",COUNTIFS(Başvuru!$C:$C,C76,Başvuru!$L:$L,"GERİ ÇEKİLDİ",Başvuru!$F:$F,"&lt;&gt;"&amp;""))</f>
        <v>0</v>
      </c>
      <c r="Q76" s="260" t="s">
        <v>330</v>
      </c>
      <c r="R76" s="261">
        <f>COUNTIFS(Başvuru!$C:$C,Q76,Başvuru!$F:$F,"&lt;&gt;"&amp;"")</f>
        <v>2</v>
      </c>
      <c r="S76" s="261">
        <f>RANK(R76,$R$6:$R$290,0)+COUNTIF($R$6:R76,R76)-1</f>
        <v>78</v>
      </c>
    </row>
    <row r="77" spans="2:19" ht="15" customHeight="1" x14ac:dyDescent="0.25">
      <c r="B77" s="262">
        <v>72</v>
      </c>
      <c r="C77" s="263" t="str">
        <f>IFERROR(INDEX($Q$6:$Q$290,MATCH(72,$S$6:$S$290,0)),"")</f>
        <v>Doç. Dr. Galip Gencay ÜSTÜN</v>
      </c>
      <c r="D77" s="264">
        <f>IF(C77="","",COUNTIFS(Başvuru!$C:$C,C77,Başvuru!$F:$F,"&lt;&gt;"&amp;""))</f>
        <v>2</v>
      </c>
      <c r="E77" s="262" t="str">
        <f>IF(D77&gt;0,TEXT(D77/COUNTIF(Başvuru!$F:$F,"&lt;&gt;"&amp;"")*100,"0.0")&amp;"%","-")</f>
        <v>00%</v>
      </c>
      <c r="F77" s="265">
        <f>IF(C77="","",COUNTIFS(Başvuru!$C:$C,C77,Başvuru!$G:$G,"Bireysel Araştırma",Başvuru!$F:$F,"&lt;&gt;"&amp;""))</f>
        <v>2</v>
      </c>
      <c r="G77" s="265">
        <f>IF(C77="","",COUNTIFS(Başvuru!$C:$C,C77,Başvuru!$G:$G,"Uzmanlık Tezi",Başvuru!$F:$F,"&lt;&gt;"&amp;""))</f>
        <v>0</v>
      </c>
      <c r="H77" s="265">
        <f>IF(C77="","",COUNTIFS(Başvuru!$C:$C,C77,Başvuru!$G:$G,"Doktora Tezi",Başvuru!$F:$F,"&lt;&gt;"&amp;""))</f>
        <v>0</v>
      </c>
      <c r="I77" s="265">
        <f>IF(C77="","",COUNTIFS(Başvuru!$C:$C,C77,Başvuru!$G:$G,"Yüksek Lisans Tezi",Başvuru!$F:$F,"&lt;&gt;"&amp;""))</f>
        <v>0</v>
      </c>
      <c r="J77" s="266">
        <f>IF(C77="","",COUNTIFS(Başvuru!$C:$C,C77,Başvuru!$L:$L,"ONAY",Başvuru!$F:$F,"&lt;&gt;"&amp;""))</f>
        <v>1</v>
      </c>
      <c r="K77" s="267">
        <f>IF(C77="","",COUNTIFS(Başvuru!$C:$C,C77,Başvuru!$L:$L,"DÜZELTME",Başvuru!$F:$F,"&lt;&gt;"&amp;""))</f>
        <v>0</v>
      </c>
      <c r="L77" s="268">
        <f>IF(C77="","",COUNTIFS(Başvuru!$C:$C,C77,Başvuru!$L:$L,"KAEK",Başvuru!$F:$F,"&lt;&gt;"&amp;""))</f>
        <v>1</v>
      </c>
      <c r="M77" s="269">
        <f>IF(C77="","",COUNTIFS(Başvuru!$C:$C,C77,Başvuru!$L:$L,"GÖRÜŞ",Başvuru!$F:$F,"&lt;&gt;"&amp;""))</f>
        <v>0</v>
      </c>
      <c r="N77" s="270">
        <f>IF(C77="","",COUNTIFS(Başvuru!$C:$C,C77,Başvuru!$L:$L,"RET",Başvuru!$F:$F,"&lt;&gt;"&amp;""))</f>
        <v>0</v>
      </c>
      <c r="O77" s="271">
        <f>IF(C77="","",COUNTIFS(Başvuru!$C:$C,C77,Başvuru!$L:$L,"KAPSAM DIŞI",Başvuru!$F:$F,"&lt;&gt;"&amp;""))</f>
        <v>0</v>
      </c>
      <c r="P77" s="272">
        <f>IF(C77="","",COUNTIFS(Başvuru!$C:$C,C77,Başvuru!$L:$L,"GERİ ÇEKİLDİ",Başvuru!$F:$F,"&lt;&gt;"&amp;""))</f>
        <v>0</v>
      </c>
      <c r="Q77" s="260" t="s">
        <v>814</v>
      </c>
      <c r="R77" s="261">
        <f>COUNTIFS(Başvuru!$C:$C,Q77,Başvuru!$F:$F,"&lt;&gt;"&amp;"")</f>
        <v>1</v>
      </c>
      <c r="S77" s="261">
        <f>RANK(R77,$R$6:$R$290,0)+COUNTIF($R$6:R77,R77)-1</f>
        <v>156</v>
      </c>
    </row>
    <row r="78" spans="2:19" ht="15" customHeight="1" x14ac:dyDescent="0.25">
      <c r="B78" s="249">
        <v>73</v>
      </c>
      <c r="C78" s="250" t="str">
        <f>IFERROR(INDEX($Q$6:$Q$290,MATCH(73,$S$6:$S$290,0)),"")</f>
        <v>Doç. Dr. Hande GÖRÜCÜ COŞKUNER</v>
      </c>
      <c r="D78" s="251">
        <f>IF(C78="","",COUNTIFS(Başvuru!$C:$C,C78,Başvuru!$F:$F,"&lt;&gt;"&amp;""))</f>
        <v>2</v>
      </c>
      <c r="E78" s="249" t="str">
        <f>IF(D78&gt;0,TEXT(D78/COUNTIF(Başvuru!$F:$F,"&lt;&gt;"&amp;"")*100,"0.0")&amp;"%","-")</f>
        <v>00%</v>
      </c>
      <c r="F78" s="252">
        <f>IF(C78="","",COUNTIFS(Başvuru!$C:$C,C78,Başvuru!$G:$G,"Bireysel Araştırma",Başvuru!$F:$F,"&lt;&gt;"&amp;""))</f>
        <v>2</v>
      </c>
      <c r="G78" s="252">
        <f>IF(C78="","",COUNTIFS(Başvuru!$C:$C,C78,Başvuru!$G:$G,"Uzmanlık Tezi",Başvuru!$F:$F,"&lt;&gt;"&amp;""))</f>
        <v>0</v>
      </c>
      <c r="H78" s="252">
        <f>IF(C78="","",COUNTIFS(Başvuru!$C:$C,C78,Başvuru!$G:$G,"Doktora Tezi",Başvuru!$F:$F,"&lt;&gt;"&amp;""))</f>
        <v>0</v>
      </c>
      <c r="I78" s="252">
        <f>IF(C78="","",COUNTIFS(Başvuru!$C:$C,C78,Başvuru!$G:$G,"Yüksek Lisans Tezi",Başvuru!$F:$F,"&lt;&gt;"&amp;""))</f>
        <v>0</v>
      </c>
      <c r="J78" s="253">
        <f>IF(C78="","",COUNTIFS(Başvuru!$C:$C,C78,Başvuru!$L:$L,"ONAY",Başvuru!$F:$F,"&lt;&gt;"&amp;""))</f>
        <v>0</v>
      </c>
      <c r="K78" s="254">
        <f>IF(C78="","",COUNTIFS(Başvuru!$C:$C,C78,Başvuru!$L:$L,"DÜZELTME",Başvuru!$F:$F,"&lt;&gt;"&amp;""))</f>
        <v>0</v>
      </c>
      <c r="L78" s="255">
        <f>IF(C78="","",COUNTIFS(Başvuru!$C:$C,C78,Başvuru!$L:$L,"KAEK",Başvuru!$F:$F,"&lt;&gt;"&amp;""))</f>
        <v>1</v>
      </c>
      <c r="M78" s="256">
        <f>IF(C78="","",COUNTIFS(Başvuru!$C:$C,C78,Başvuru!$L:$L,"GÖRÜŞ",Başvuru!$F:$F,"&lt;&gt;"&amp;""))</f>
        <v>0</v>
      </c>
      <c r="N78" s="257">
        <f>IF(C78="","",COUNTIFS(Başvuru!$C:$C,C78,Başvuru!$L:$L,"RET",Başvuru!$F:$F,"&lt;&gt;"&amp;""))</f>
        <v>1</v>
      </c>
      <c r="O78" s="258">
        <f>IF(C78="","",COUNTIFS(Başvuru!$C:$C,C78,Başvuru!$L:$L,"KAPSAM DIŞI",Başvuru!$F:$F,"&lt;&gt;"&amp;""))</f>
        <v>0</v>
      </c>
      <c r="P78" s="259">
        <f>IF(C78="","",COUNTIFS(Başvuru!$C:$C,C78,Başvuru!$L:$L,"GERİ ÇEKİLDİ",Başvuru!$F:$F,"&lt;&gt;"&amp;""))</f>
        <v>0</v>
      </c>
      <c r="Q78" s="260" t="s">
        <v>714</v>
      </c>
      <c r="R78" s="261">
        <f>COUNTIFS(Başvuru!$C:$C,Q78,Başvuru!$F:$F,"&lt;&gt;"&amp;"")</f>
        <v>1</v>
      </c>
      <c r="S78" s="261">
        <f>RANK(R78,$R$6:$R$290,0)+COUNTIF($R$6:R78,R78)-1</f>
        <v>157</v>
      </c>
    </row>
    <row r="79" spans="2:19" ht="15" customHeight="1" x14ac:dyDescent="0.25">
      <c r="B79" s="262">
        <v>74</v>
      </c>
      <c r="C79" s="263" t="str">
        <f>IFERROR(INDEX($Q$6:$Q$290,MATCH(74,$S$6:$S$290,0)),"")</f>
        <v>Doç. Dr. Leman AKCAN YILDIZ</v>
      </c>
      <c r="D79" s="264">
        <f>IF(C79="","",COUNTIFS(Başvuru!$C:$C,C79,Başvuru!$F:$F,"&lt;&gt;"&amp;""))</f>
        <v>2</v>
      </c>
      <c r="E79" s="262" t="str">
        <f>IF(D79&gt;0,TEXT(D79/COUNTIF(Başvuru!$F:$F,"&lt;&gt;"&amp;"")*100,"0.0")&amp;"%","-")</f>
        <v>00%</v>
      </c>
      <c r="F79" s="265">
        <f>IF(C79="","",COUNTIFS(Başvuru!$C:$C,C79,Başvuru!$G:$G,"Bireysel Araştırma",Başvuru!$F:$F,"&lt;&gt;"&amp;""))</f>
        <v>2</v>
      </c>
      <c r="G79" s="265">
        <f>IF(C79="","",COUNTIFS(Başvuru!$C:$C,C79,Başvuru!$G:$G,"Uzmanlık Tezi",Başvuru!$F:$F,"&lt;&gt;"&amp;""))</f>
        <v>0</v>
      </c>
      <c r="H79" s="265">
        <f>IF(C79="","",COUNTIFS(Başvuru!$C:$C,C79,Başvuru!$G:$G,"Doktora Tezi",Başvuru!$F:$F,"&lt;&gt;"&amp;""))</f>
        <v>0</v>
      </c>
      <c r="I79" s="265">
        <f>IF(C79="","",COUNTIFS(Başvuru!$C:$C,C79,Başvuru!$G:$G,"Yüksek Lisans Tezi",Başvuru!$F:$F,"&lt;&gt;"&amp;""))</f>
        <v>0</v>
      </c>
      <c r="J79" s="266">
        <f>IF(C79="","",COUNTIFS(Başvuru!$C:$C,C79,Başvuru!$L:$L,"ONAY",Başvuru!$F:$F,"&lt;&gt;"&amp;""))</f>
        <v>1</v>
      </c>
      <c r="K79" s="267">
        <f>IF(C79="","",COUNTIFS(Başvuru!$C:$C,C79,Başvuru!$L:$L,"DÜZELTME",Başvuru!$F:$F,"&lt;&gt;"&amp;""))</f>
        <v>0</v>
      </c>
      <c r="L79" s="268">
        <f>IF(C79="","",COUNTIFS(Başvuru!$C:$C,C79,Başvuru!$L:$L,"KAEK",Başvuru!$F:$F,"&lt;&gt;"&amp;""))</f>
        <v>0</v>
      </c>
      <c r="M79" s="269">
        <f>IF(C79="","",COUNTIFS(Başvuru!$C:$C,C79,Başvuru!$L:$L,"GÖRÜŞ",Başvuru!$F:$F,"&lt;&gt;"&amp;""))</f>
        <v>0</v>
      </c>
      <c r="N79" s="270">
        <f>IF(C79="","",COUNTIFS(Başvuru!$C:$C,C79,Başvuru!$L:$L,"RET",Başvuru!$F:$F,"&lt;&gt;"&amp;""))</f>
        <v>0</v>
      </c>
      <c r="O79" s="271">
        <f>IF(C79="","",COUNTIFS(Başvuru!$C:$C,C79,Başvuru!$L:$L,"KAPSAM DIŞI",Başvuru!$F:$F,"&lt;&gt;"&amp;""))</f>
        <v>0</v>
      </c>
      <c r="P79" s="272">
        <f>IF(C79="","",COUNTIFS(Başvuru!$C:$C,C79,Başvuru!$L:$L,"GERİ ÇEKİLDİ",Başvuru!$F:$F,"&lt;&gt;"&amp;""))</f>
        <v>0</v>
      </c>
      <c r="Q79" s="260" t="s">
        <v>1214</v>
      </c>
      <c r="R79" s="261">
        <f>COUNTIFS(Başvuru!$C:$C,Q79,Başvuru!$F:$F,"&lt;&gt;"&amp;"")</f>
        <v>1</v>
      </c>
      <c r="S79" s="261">
        <f>RANK(R79,$R$6:$R$290,0)+COUNTIF($R$6:R79,R79)-1</f>
        <v>158</v>
      </c>
    </row>
    <row r="80" spans="2:19" ht="15" customHeight="1" x14ac:dyDescent="0.25">
      <c r="B80" s="249">
        <v>75</v>
      </c>
      <c r="C80" s="250" t="str">
        <f>IFERROR(INDEX($Q$6:$Q$290,MATCH(75,$S$6:$S$290,0)),"")</f>
        <v>Doç. Dr. Melis PEHLİVANTÜRK KIZILKAN</v>
      </c>
      <c r="D80" s="251">
        <f>IF(C80="","",COUNTIFS(Başvuru!$C:$C,C80,Başvuru!$F:$F,"&lt;&gt;"&amp;""))</f>
        <v>2</v>
      </c>
      <c r="E80" s="249" t="str">
        <f>IF(D80&gt;0,TEXT(D80/COUNTIF(Başvuru!$F:$F,"&lt;&gt;"&amp;"")*100,"0.0")&amp;"%","-")</f>
        <v>00%</v>
      </c>
      <c r="F80" s="252">
        <f>IF(C80="","",COUNTIFS(Başvuru!$C:$C,C80,Başvuru!$G:$G,"Bireysel Araştırma",Başvuru!$F:$F,"&lt;&gt;"&amp;""))</f>
        <v>1</v>
      </c>
      <c r="G80" s="252">
        <f>IF(C80="","",COUNTIFS(Başvuru!$C:$C,C80,Başvuru!$G:$G,"Uzmanlık Tezi",Başvuru!$F:$F,"&lt;&gt;"&amp;""))</f>
        <v>0</v>
      </c>
      <c r="H80" s="252">
        <f>IF(C80="","",COUNTIFS(Başvuru!$C:$C,C80,Başvuru!$G:$G,"Doktora Tezi",Başvuru!$F:$F,"&lt;&gt;"&amp;""))</f>
        <v>1</v>
      </c>
      <c r="I80" s="252">
        <f>IF(C80="","",COUNTIFS(Başvuru!$C:$C,C80,Başvuru!$G:$G,"Yüksek Lisans Tezi",Başvuru!$F:$F,"&lt;&gt;"&amp;""))</f>
        <v>0</v>
      </c>
      <c r="J80" s="253">
        <f>IF(C80="","",COUNTIFS(Başvuru!$C:$C,C80,Başvuru!$L:$L,"ONAY",Başvuru!$F:$F,"&lt;&gt;"&amp;""))</f>
        <v>0</v>
      </c>
      <c r="K80" s="254">
        <f>IF(C80="","",COUNTIFS(Başvuru!$C:$C,C80,Başvuru!$L:$L,"DÜZELTME",Başvuru!$F:$F,"&lt;&gt;"&amp;""))</f>
        <v>0</v>
      </c>
      <c r="L80" s="255">
        <f>IF(C80="","",COUNTIFS(Başvuru!$C:$C,C80,Başvuru!$L:$L,"KAEK",Başvuru!$F:$F,"&lt;&gt;"&amp;""))</f>
        <v>0</v>
      </c>
      <c r="M80" s="256">
        <f>IF(C80="","",COUNTIFS(Başvuru!$C:$C,C80,Başvuru!$L:$L,"GÖRÜŞ",Başvuru!$F:$F,"&lt;&gt;"&amp;""))</f>
        <v>0</v>
      </c>
      <c r="N80" s="257">
        <f>IF(C80="","",COUNTIFS(Başvuru!$C:$C,C80,Başvuru!$L:$L,"RET",Başvuru!$F:$F,"&lt;&gt;"&amp;""))</f>
        <v>0</v>
      </c>
      <c r="O80" s="258">
        <f>IF(C80="","",COUNTIFS(Başvuru!$C:$C,C80,Başvuru!$L:$L,"KAPSAM DIŞI",Başvuru!$F:$F,"&lt;&gt;"&amp;""))</f>
        <v>0</v>
      </c>
      <c r="P80" s="259">
        <f>IF(C80="","",COUNTIFS(Başvuru!$C:$C,C80,Başvuru!$L:$L,"GERİ ÇEKİLDİ",Başvuru!$F:$F,"&lt;&gt;"&amp;""))</f>
        <v>0</v>
      </c>
      <c r="Q80" s="260" t="s">
        <v>2296</v>
      </c>
      <c r="R80" s="261">
        <f>COUNTIFS(Başvuru!$C:$C,Q80,Başvuru!$F:$F,"&lt;&gt;"&amp;"")</f>
        <v>1</v>
      </c>
      <c r="S80" s="261">
        <f>RANK(R80,$R$6:$R$290,0)+COUNTIF($R$6:R80,R80)-1</f>
        <v>159</v>
      </c>
    </row>
    <row r="81" spans="2:19" ht="15" customHeight="1" x14ac:dyDescent="0.25">
      <c r="B81" s="262">
        <v>76</v>
      </c>
      <c r="C81" s="263" t="str">
        <f>IFERROR(INDEX($Q$6:$Q$290,MATCH(76,$S$6:$S$290,0)),"")</f>
        <v>Doç. Dr. Nursel ÇALIK BAŞARAN</v>
      </c>
      <c r="D81" s="264">
        <f>IF(C81="","",COUNTIFS(Başvuru!$C:$C,C81,Başvuru!$F:$F,"&lt;&gt;"&amp;""))</f>
        <v>2</v>
      </c>
      <c r="E81" s="262" t="str">
        <f>IF(D81&gt;0,TEXT(D81/COUNTIF(Başvuru!$F:$F,"&lt;&gt;"&amp;"")*100,"0.0")&amp;"%","-")</f>
        <v>00%</v>
      </c>
      <c r="F81" s="265">
        <f>IF(C81="","",COUNTIFS(Başvuru!$C:$C,C81,Başvuru!$G:$G,"Bireysel Araştırma",Başvuru!$F:$F,"&lt;&gt;"&amp;""))</f>
        <v>1</v>
      </c>
      <c r="G81" s="265">
        <f>IF(C81="","",COUNTIFS(Başvuru!$C:$C,C81,Başvuru!$G:$G,"Uzmanlık Tezi",Başvuru!$F:$F,"&lt;&gt;"&amp;""))</f>
        <v>1</v>
      </c>
      <c r="H81" s="265">
        <f>IF(C81="","",COUNTIFS(Başvuru!$C:$C,C81,Başvuru!$G:$G,"Doktora Tezi",Başvuru!$F:$F,"&lt;&gt;"&amp;""))</f>
        <v>0</v>
      </c>
      <c r="I81" s="265">
        <f>IF(C81="","",COUNTIFS(Başvuru!$C:$C,C81,Başvuru!$G:$G,"Yüksek Lisans Tezi",Başvuru!$F:$F,"&lt;&gt;"&amp;""))</f>
        <v>0</v>
      </c>
      <c r="J81" s="266">
        <f>IF(C81="","",COUNTIFS(Başvuru!$C:$C,C81,Başvuru!$L:$L,"ONAY",Başvuru!$F:$F,"&lt;&gt;"&amp;""))</f>
        <v>1</v>
      </c>
      <c r="K81" s="267">
        <f>IF(C81="","",COUNTIFS(Başvuru!$C:$C,C81,Başvuru!$L:$L,"DÜZELTME",Başvuru!$F:$F,"&lt;&gt;"&amp;""))</f>
        <v>0</v>
      </c>
      <c r="L81" s="268">
        <f>IF(C81="","",COUNTIFS(Başvuru!$C:$C,C81,Başvuru!$L:$L,"KAEK",Başvuru!$F:$F,"&lt;&gt;"&amp;""))</f>
        <v>0</v>
      </c>
      <c r="M81" s="269">
        <f>IF(C81="","",COUNTIFS(Başvuru!$C:$C,C81,Başvuru!$L:$L,"GÖRÜŞ",Başvuru!$F:$F,"&lt;&gt;"&amp;""))</f>
        <v>0</v>
      </c>
      <c r="N81" s="270">
        <f>IF(C81="","",COUNTIFS(Başvuru!$C:$C,C81,Başvuru!$L:$L,"RET",Başvuru!$F:$F,"&lt;&gt;"&amp;""))</f>
        <v>0</v>
      </c>
      <c r="O81" s="271">
        <f>IF(C81="","",COUNTIFS(Başvuru!$C:$C,C81,Başvuru!$L:$L,"KAPSAM DIŞI",Başvuru!$F:$F,"&lt;&gt;"&amp;""))</f>
        <v>0</v>
      </c>
      <c r="P81" s="272">
        <f>IF(C81="","",COUNTIFS(Başvuru!$C:$C,C81,Başvuru!$L:$L,"GERİ ÇEKİLDİ",Başvuru!$F:$F,"&lt;&gt;"&amp;""))</f>
        <v>0</v>
      </c>
      <c r="Q81" s="260" t="s">
        <v>739</v>
      </c>
      <c r="R81" s="261">
        <f>COUNTIFS(Başvuru!$C:$C,Q81,Başvuru!$F:$F,"&lt;&gt;"&amp;"")</f>
        <v>6</v>
      </c>
      <c r="S81" s="261">
        <f>RANK(R81,$R$6:$R$290,0)+COUNTIF($R$6:R81,R81)-1</f>
        <v>14</v>
      </c>
    </row>
    <row r="82" spans="2:19" ht="15" customHeight="1" x14ac:dyDescent="0.25">
      <c r="B82" s="249">
        <v>77</v>
      </c>
      <c r="C82" s="250" t="str">
        <f>IFERROR(INDEX($Q$6:$Q$290,MATCH(77,$S$6:$S$290,0)),"")</f>
        <v>Doç. Dr. Oytun PORTAKAL AKÇİN</v>
      </c>
      <c r="D82" s="251">
        <f>IF(C82="","",COUNTIFS(Başvuru!$C:$C,C82,Başvuru!$F:$F,"&lt;&gt;"&amp;""))</f>
        <v>2</v>
      </c>
      <c r="E82" s="249" t="str">
        <f>IF(D82&gt;0,TEXT(D82/COUNTIF(Başvuru!$F:$F,"&lt;&gt;"&amp;"")*100,"0.0")&amp;"%","-")</f>
        <v>00%</v>
      </c>
      <c r="F82" s="252">
        <f>IF(C82="","",COUNTIFS(Başvuru!$C:$C,C82,Başvuru!$G:$G,"Bireysel Araştırma",Başvuru!$F:$F,"&lt;&gt;"&amp;""))</f>
        <v>1</v>
      </c>
      <c r="G82" s="252">
        <f>IF(C82="","",COUNTIFS(Başvuru!$C:$C,C82,Başvuru!$G:$G,"Uzmanlık Tezi",Başvuru!$F:$F,"&lt;&gt;"&amp;""))</f>
        <v>1</v>
      </c>
      <c r="H82" s="252">
        <f>IF(C82="","",COUNTIFS(Başvuru!$C:$C,C82,Başvuru!$G:$G,"Doktora Tezi",Başvuru!$F:$F,"&lt;&gt;"&amp;""))</f>
        <v>0</v>
      </c>
      <c r="I82" s="252">
        <f>IF(C82="","",COUNTIFS(Başvuru!$C:$C,C82,Başvuru!$G:$G,"Yüksek Lisans Tezi",Başvuru!$F:$F,"&lt;&gt;"&amp;""))</f>
        <v>0</v>
      </c>
      <c r="J82" s="253">
        <f>IF(C82="","",COUNTIFS(Başvuru!$C:$C,C82,Başvuru!$L:$L,"ONAY",Başvuru!$F:$F,"&lt;&gt;"&amp;""))</f>
        <v>0</v>
      </c>
      <c r="K82" s="254">
        <f>IF(C82="","",COUNTIFS(Başvuru!$C:$C,C82,Başvuru!$L:$L,"DÜZELTME",Başvuru!$F:$F,"&lt;&gt;"&amp;""))</f>
        <v>1</v>
      </c>
      <c r="L82" s="255">
        <f>IF(C82="","",COUNTIFS(Başvuru!$C:$C,C82,Başvuru!$L:$L,"KAEK",Başvuru!$F:$F,"&lt;&gt;"&amp;""))</f>
        <v>0</v>
      </c>
      <c r="M82" s="256">
        <f>IF(C82="","",COUNTIFS(Başvuru!$C:$C,C82,Başvuru!$L:$L,"GÖRÜŞ",Başvuru!$F:$F,"&lt;&gt;"&amp;""))</f>
        <v>0</v>
      </c>
      <c r="N82" s="257">
        <f>IF(C82="","",COUNTIFS(Başvuru!$C:$C,C82,Başvuru!$L:$L,"RET",Başvuru!$F:$F,"&lt;&gt;"&amp;""))</f>
        <v>1</v>
      </c>
      <c r="O82" s="258">
        <f>IF(C82="","",COUNTIFS(Başvuru!$C:$C,C82,Başvuru!$L:$L,"KAPSAM DIŞI",Başvuru!$F:$F,"&lt;&gt;"&amp;""))</f>
        <v>0</v>
      </c>
      <c r="P82" s="259">
        <f>IF(C82="","",COUNTIFS(Başvuru!$C:$C,C82,Başvuru!$L:$L,"GERİ ÇEKİLDİ",Başvuru!$F:$F,"&lt;&gt;"&amp;""))</f>
        <v>0</v>
      </c>
      <c r="Q82" s="260" t="s">
        <v>2101</v>
      </c>
      <c r="R82" s="261">
        <f>COUNTIFS(Başvuru!$C:$C,Q82,Başvuru!$F:$F,"&lt;&gt;"&amp;"")</f>
        <v>1</v>
      </c>
      <c r="S82" s="261">
        <f>RANK(R82,$R$6:$R$290,0)+COUNTIF($R$6:R82,R82)-1</f>
        <v>160</v>
      </c>
    </row>
    <row r="83" spans="2:19" ht="15" customHeight="1" x14ac:dyDescent="0.25">
      <c r="B83" s="262">
        <v>78</v>
      </c>
      <c r="C83" s="263" t="str">
        <f>IFERROR(INDEX($Q$6:$Q$290,MATCH(78,$S$6:$S$290,0)),"")</f>
        <v>Doç. Dr. Saliha ESENBOĞA</v>
      </c>
      <c r="D83" s="264">
        <f>IF(C83="","",COUNTIFS(Başvuru!$C:$C,C83,Başvuru!$F:$F,"&lt;&gt;"&amp;""))</f>
        <v>2</v>
      </c>
      <c r="E83" s="262" t="str">
        <f>IF(D83&gt;0,TEXT(D83/COUNTIF(Başvuru!$F:$F,"&lt;&gt;"&amp;"")*100,"0.0")&amp;"%","-")</f>
        <v>00%</v>
      </c>
      <c r="F83" s="265">
        <f>IF(C83="","",COUNTIFS(Başvuru!$C:$C,C83,Başvuru!$G:$G,"Bireysel Araştırma",Başvuru!$F:$F,"&lt;&gt;"&amp;""))</f>
        <v>2</v>
      </c>
      <c r="G83" s="265">
        <f>IF(C83="","",COUNTIFS(Başvuru!$C:$C,C83,Başvuru!$G:$G,"Uzmanlık Tezi",Başvuru!$F:$F,"&lt;&gt;"&amp;""))</f>
        <v>0</v>
      </c>
      <c r="H83" s="265">
        <f>IF(C83="","",COUNTIFS(Başvuru!$C:$C,C83,Başvuru!$G:$G,"Doktora Tezi",Başvuru!$F:$F,"&lt;&gt;"&amp;""))</f>
        <v>0</v>
      </c>
      <c r="I83" s="265">
        <f>IF(C83="","",COUNTIFS(Başvuru!$C:$C,C83,Başvuru!$G:$G,"Yüksek Lisans Tezi",Başvuru!$F:$F,"&lt;&gt;"&amp;""))</f>
        <v>0</v>
      </c>
      <c r="J83" s="266">
        <f>IF(C83="","",COUNTIFS(Başvuru!$C:$C,C83,Başvuru!$L:$L,"ONAY",Başvuru!$F:$F,"&lt;&gt;"&amp;""))</f>
        <v>1</v>
      </c>
      <c r="K83" s="267">
        <f>IF(C83="","",COUNTIFS(Başvuru!$C:$C,C83,Başvuru!$L:$L,"DÜZELTME",Başvuru!$F:$F,"&lt;&gt;"&amp;""))</f>
        <v>1</v>
      </c>
      <c r="L83" s="268">
        <f>IF(C83="","",COUNTIFS(Başvuru!$C:$C,C83,Başvuru!$L:$L,"KAEK",Başvuru!$F:$F,"&lt;&gt;"&amp;""))</f>
        <v>0</v>
      </c>
      <c r="M83" s="269">
        <f>IF(C83="","",COUNTIFS(Başvuru!$C:$C,C83,Başvuru!$L:$L,"GÖRÜŞ",Başvuru!$F:$F,"&lt;&gt;"&amp;""))</f>
        <v>0</v>
      </c>
      <c r="N83" s="270">
        <f>IF(C83="","",COUNTIFS(Başvuru!$C:$C,C83,Başvuru!$L:$L,"RET",Başvuru!$F:$F,"&lt;&gt;"&amp;""))</f>
        <v>0</v>
      </c>
      <c r="O83" s="271">
        <f>IF(C83="","",COUNTIFS(Başvuru!$C:$C,C83,Başvuru!$L:$L,"KAPSAM DIŞI",Başvuru!$F:$F,"&lt;&gt;"&amp;""))</f>
        <v>0</v>
      </c>
      <c r="P83" s="272">
        <f>IF(C83="","",COUNTIFS(Başvuru!$C:$C,C83,Başvuru!$L:$L,"GERİ ÇEKİLDİ",Başvuru!$F:$F,"&lt;&gt;"&amp;""))</f>
        <v>0</v>
      </c>
      <c r="Q83" s="260" t="s">
        <v>192</v>
      </c>
      <c r="R83" s="261">
        <f>COUNTIFS(Başvuru!$C:$C,Q83,Başvuru!$F:$F,"&lt;&gt;"&amp;"")</f>
        <v>1</v>
      </c>
      <c r="S83" s="261">
        <f>RANK(R83,$R$6:$R$290,0)+COUNTIF($R$6:R83,R83)-1</f>
        <v>161</v>
      </c>
    </row>
    <row r="84" spans="2:19" ht="15" customHeight="1" x14ac:dyDescent="0.25">
      <c r="B84" s="249">
        <v>79</v>
      </c>
      <c r="C84" s="250" t="str">
        <f>IFERROR(INDEX($Q$6:$Q$290,MATCH(79,$S$6:$S$290,0)),"")</f>
        <v>Doç. Dr. İdil Rana USER KILIÇ</v>
      </c>
      <c r="D84" s="251">
        <f>IF(C84="","",COUNTIFS(Başvuru!$C:$C,C84,Başvuru!$F:$F,"&lt;&gt;"&amp;""))</f>
        <v>2</v>
      </c>
      <c r="E84" s="249" t="str">
        <f>IF(D84&gt;0,TEXT(D84/COUNTIF(Başvuru!$F:$F,"&lt;&gt;"&amp;"")*100,"0.0")&amp;"%","-")</f>
        <v>00%</v>
      </c>
      <c r="F84" s="252">
        <f>IF(C84="","",COUNTIFS(Başvuru!$C:$C,C84,Başvuru!$G:$G,"Bireysel Araştırma",Başvuru!$F:$F,"&lt;&gt;"&amp;""))</f>
        <v>2</v>
      </c>
      <c r="G84" s="252">
        <f>IF(C84="","",COUNTIFS(Başvuru!$C:$C,C84,Başvuru!$G:$G,"Uzmanlık Tezi",Başvuru!$F:$F,"&lt;&gt;"&amp;""))</f>
        <v>0</v>
      </c>
      <c r="H84" s="252">
        <f>IF(C84="","",COUNTIFS(Başvuru!$C:$C,C84,Başvuru!$G:$G,"Doktora Tezi",Başvuru!$F:$F,"&lt;&gt;"&amp;""))</f>
        <v>0</v>
      </c>
      <c r="I84" s="252">
        <f>IF(C84="","",COUNTIFS(Başvuru!$C:$C,C84,Başvuru!$G:$G,"Yüksek Lisans Tezi",Başvuru!$F:$F,"&lt;&gt;"&amp;""))</f>
        <v>0</v>
      </c>
      <c r="J84" s="253">
        <f>IF(C84="","",COUNTIFS(Başvuru!$C:$C,C84,Başvuru!$L:$L,"ONAY",Başvuru!$F:$F,"&lt;&gt;"&amp;""))</f>
        <v>2</v>
      </c>
      <c r="K84" s="254">
        <f>IF(C84="","",COUNTIFS(Başvuru!$C:$C,C84,Başvuru!$L:$L,"DÜZELTME",Başvuru!$F:$F,"&lt;&gt;"&amp;""))</f>
        <v>0</v>
      </c>
      <c r="L84" s="255">
        <f>IF(C84="","",COUNTIFS(Başvuru!$C:$C,C84,Başvuru!$L:$L,"KAEK",Başvuru!$F:$F,"&lt;&gt;"&amp;""))</f>
        <v>0</v>
      </c>
      <c r="M84" s="256">
        <f>IF(C84="","",COUNTIFS(Başvuru!$C:$C,C84,Başvuru!$L:$L,"GÖRÜŞ",Başvuru!$F:$F,"&lt;&gt;"&amp;""))</f>
        <v>0</v>
      </c>
      <c r="N84" s="257">
        <f>IF(C84="","",COUNTIFS(Başvuru!$C:$C,C84,Başvuru!$L:$L,"RET",Başvuru!$F:$F,"&lt;&gt;"&amp;""))</f>
        <v>0</v>
      </c>
      <c r="O84" s="258">
        <f>IF(C84="","",COUNTIFS(Başvuru!$C:$C,C84,Başvuru!$L:$L,"KAPSAM DIŞI",Başvuru!$F:$F,"&lt;&gt;"&amp;""))</f>
        <v>0</v>
      </c>
      <c r="P84" s="259">
        <f>IF(C84="","",COUNTIFS(Başvuru!$C:$C,C84,Başvuru!$L:$L,"GERİ ÇEKİLDİ",Başvuru!$F:$F,"&lt;&gt;"&amp;""))</f>
        <v>0</v>
      </c>
      <c r="Q84" s="260" t="s">
        <v>661</v>
      </c>
      <c r="R84" s="261">
        <f>COUNTIFS(Başvuru!$C:$C,Q84,Başvuru!$F:$F,"&lt;&gt;"&amp;"")</f>
        <v>7</v>
      </c>
      <c r="S84" s="261">
        <f>RANK(R84,$R$6:$R$290,0)+COUNTIF($R$6:R84,R84)-1</f>
        <v>7</v>
      </c>
    </row>
    <row r="85" spans="2:19" ht="15" customHeight="1" x14ac:dyDescent="0.25">
      <c r="B85" s="262">
        <v>80</v>
      </c>
      <c r="C85" s="263" t="str">
        <f>IFERROR(INDEX($Q$6:$Q$290,MATCH(80,$S$6:$S$290,0)),"")</f>
        <v>Dr. Öğr. Üyesi Arda ÇETİNKAYA</v>
      </c>
      <c r="D85" s="264">
        <f>IF(C85="","",COUNTIFS(Başvuru!$C:$C,C85,Başvuru!$F:$F,"&lt;&gt;"&amp;""))</f>
        <v>2</v>
      </c>
      <c r="E85" s="262" t="str">
        <f>IF(D85&gt;0,TEXT(D85/COUNTIF(Başvuru!$F:$F,"&lt;&gt;"&amp;"")*100,"0.0")&amp;"%","-")</f>
        <v>00%</v>
      </c>
      <c r="F85" s="265">
        <f>IF(C85="","",COUNTIFS(Başvuru!$C:$C,C85,Başvuru!$G:$G,"Bireysel Araştırma",Başvuru!$F:$F,"&lt;&gt;"&amp;""))</f>
        <v>0</v>
      </c>
      <c r="G85" s="265">
        <f>IF(C85="","",COUNTIFS(Başvuru!$C:$C,C85,Başvuru!$G:$G,"Uzmanlık Tezi",Başvuru!$F:$F,"&lt;&gt;"&amp;""))</f>
        <v>1</v>
      </c>
      <c r="H85" s="265">
        <f>IF(C85="","",COUNTIFS(Başvuru!$C:$C,C85,Başvuru!$G:$G,"Doktora Tezi",Başvuru!$F:$F,"&lt;&gt;"&amp;""))</f>
        <v>0</v>
      </c>
      <c r="I85" s="265">
        <f>IF(C85="","",COUNTIFS(Başvuru!$C:$C,C85,Başvuru!$G:$G,"Yüksek Lisans Tezi",Başvuru!$F:$F,"&lt;&gt;"&amp;""))</f>
        <v>1</v>
      </c>
      <c r="J85" s="266">
        <f>IF(C85="","",COUNTIFS(Başvuru!$C:$C,C85,Başvuru!$L:$L,"ONAY",Başvuru!$F:$F,"&lt;&gt;"&amp;""))</f>
        <v>2</v>
      </c>
      <c r="K85" s="267">
        <f>IF(C85="","",COUNTIFS(Başvuru!$C:$C,C85,Başvuru!$L:$L,"DÜZELTME",Başvuru!$F:$F,"&lt;&gt;"&amp;""))</f>
        <v>0</v>
      </c>
      <c r="L85" s="268">
        <f>IF(C85="","",COUNTIFS(Başvuru!$C:$C,C85,Başvuru!$L:$L,"KAEK",Başvuru!$F:$F,"&lt;&gt;"&amp;""))</f>
        <v>0</v>
      </c>
      <c r="M85" s="269">
        <f>IF(C85="","",COUNTIFS(Başvuru!$C:$C,C85,Başvuru!$L:$L,"GÖRÜŞ",Başvuru!$F:$F,"&lt;&gt;"&amp;""))</f>
        <v>0</v>
      </c>
      <c r="N85" s="270">
        <f>IF(C85="","",COUNTIFS(Başvuru!$C:$C,C85,Başvuru!$L:$L,"RET",Başvuru!$F:$F,"&lt;&gt;"&amp;""))</f>
        <v>0</v>
      </c>
      <c r="O85" s="271">
        <f>IF(C85="","",COUNTIFS(Başvuru!$C:$C,C85,Başvuru!$L:$L,"KAPSAM DIŞI",Başvuru!$F:$F,"&lt;&gt;"&amp;""))</f>
        <v>0</v>
      </c>
      <c r="P85" s="272">
        <f>IF(C85="","",COUNTIFS(Başvuru!$C:$C,C85,Başvuru!$L:$L,"GERİ ÇEKİLDİ",Başvuru!$F:$F,"&lt;&gt;"&amp;""))</f>
        <v>0</v>
      </c>
      <c r="Q85" s="260" t="s">
        <v>1219</v>
      </c>
      <c r="R85" s="261">
        <f>COUNTIFS(Başvuru!$C:$C,Q85,Başvuru!$F:$F,"&lt;&gt;"&amp;"")</f>
        <v>1</v>
      </c>
      <c r="S85" s="261">
        <f>RANK(R85,$R$6:$R$290,0)+COUNTIF($R$6:R85,R85)-1</f>
        <v>162</v>
      </c>
    </row>
    <row r="86" spans="2:19" ht="15" customHeight="1" x14ac:dyDescent="0.25">
      <c r="B86" s="249">
        <v>81</v>
      </c>
      <c r="C86" s="250" t="str">
        <f>IFERROR(INDEX($Q$6:$Q$290,MATCH(81,$S$6:$S$290,0)),"")</f>
        <v>Dr. Öğr. Üyesi Ayşe METE YEŞİL</v>
      </c>
      <c r="D86" s="251">
        <f>IF(C86="","",COUNTIFS(Başvuru!$C:$C,C86,Başvuru!$F:$F,"&lt;&gt;"&amp;""))</f>
        <v>2</v>
      </c>
      <c r="E86" s="249" t="str">
        <f>IF(D86&gt;0,TEXT(D86/COUNTIF(Başvuru!$F:$F,"&lt;&gt;"&amp;"")*100,"0.0")&amp;"%","-")</f>
        <v>00%</v>
      </c>
      <c r="F86" s="252">
        <f>IF(C86="","",COUNTIFS(Başvuru!$C:$C,C86,Başvuru!$G:$G,"Bireysel Araştırma",Başvuru!$F:$F,"&lt;&gt;"&amp;""))</f>
        <v>1</v>
      </c>
      <c r="G86" s="252">
        <f>IF(C86="","",COUNTIFS(Başvuru!$C:$C,C86,Başvuru!$G:$G,"Uzmanlık Tezi",Başvuru!$F:$F,"&lt;&gt;"&amp;""))</f>
        <v>1</v>
      </c>
      <c r="H86" s="252">
        <f>IF(C86="","",COUNTIFS(Başvuru!$C:$C,C86,Başvuru!$G:$G,"Doktora Tezi",Başvuru!$F:$F,"&lt;&gt;"&amp;""))</f>
        <v>0</v>
      </c>
      <c r="I86" s="252">
        <f>IF(C86="","",COUNTIFS(Başvuru!$C:$C,C86,Başvuru!$G:$G,"Yüksek Lisans Tezi",Başvuru!$F:$F,"&lt;&gt;"&amp;""))</f>
        <v>0</v>
      </c>
      <c r="J86" s="253">
        <f>IF(C86="","",COUNTIFS(Başvuru!$C:$C,C86,Başvuru!$L:$L,"ONAY",Başvuru!$F:$F,"&lt;&gt;"&amp;""))</f>
        <v>0</v>
      </c>
      <c r="K86" s="254">
        <f>IF(C86="","",COUNTIFS(Başvuru!$C:$C,C86,Başvuru!$L:$L,"DÜZELTME",Başvuru!$F:$F,"&lt;&gt;"&amp;""))</f>
        <v>2</v>
      </c>
      <c r="L86" s="255">
        <f>IF(C86="","",COUNTIFS(Başvuru!$C:$C,C86,Başvuru!$L:$L,"KAEK",Başvuru!$F:$F,"&lt;&gt;"&amp;""))</f>
        <v>0</v>
      </c>
      <c r="M86" s="256">
        <f>IF(C86="","",COUNTIFS(Başvuru!$C:$C,C86,Başvuru!$L:$L,"GÖRÜŞ",Başvuru!$F:$F,"&lt;&gt;"&amp;""))</f>
        <v>0</v>
      </c>
      <c r="N86" s="257">
        <f>IF(C86="","",COUNTIFS(Başvuru!$C:$C,C86,Başvuru!$L:$L,"RET",Başvuru!$F:$F,"&lt;&gt;"&amp;""))</f>
        <v>0</v>
      </c>
      <c r="O86" s="258">
        <f>IF(C86="","",COUNTIFS(Başvuru!$C:$C,C86,Başvuru!$L:$L,"KAPSAM DIŞI",Başvuru!$F:$F,"&lt;&gt;"&amp;""))</f>
        <v>0</v>
      </c>
      <c r="P86" s="259">
        <f>IF(C86="","",COUNTIFS(Başvuru!$C:$C,C86,Başvuru!$L:$L,"GERİ ÇEKİLDİ",Başvuru!$F:$F,"&lt;&gt;"&amp;""))</f>
        <v>0</v>
      </c>
      <c r="Q86" s="260" t="s">
        <v>1760</v>
      </c>
      <c r="R86" s="261">
        <f>COUNTIFS(Başvuru!$C:$C,Q86,Başvuru!$F:$F,"&lt;&gt;"&amp;"")</f>
        <v>1</v>
      </c>
      <c r="S86" s="261">
        <f>RANK(R86,$R$6:$R$290,0)+COUNTIF($R$6:R86,R86)-1</f>
        <v>163</v>
      </c>
    </row>
    <row r="87" spans="2:19" ht="15" customHeight="1" x14ac:dyDescent="0.25">
      <c r="B87" s="262">
        <v>82</v>
      </c>
      <c r="C87" s="263" t="str">
        <f>IFERROR(INDEX($Q$6:$Q$290,MATCH(82,$S$6:$S$290,0)),"")</f>
        <v>Dr. Öğr. Üyesi Barış KAFA</v>
      </c>
      <c r="D87" s="264">
        <f>IF(C87="","",COUNTIFS(Başvuru!$C:$C,C87,Başvuru!$F:$F,"&lt;&gt;"&amp;""))</f>
        <v>2</v>
      </c>
      <c r="E87" s="262" t="str">
        <f>IF(D87&gt;0,TEXT(D87/COUNTIF(Başvuru!$F:$F,"&lt;&gt;"&amp;"")*100,"0.0")&amp;"%","-")</f>
        <v>00%</v>
      </c>
      <c r="F87" s="265">
        <f>IF(C87="","",COUNTIFS(Başvuru!$C:$C,C87,Başvuru!$G:$G,"Bireysel Araştırma",Başvuru!$F:$F,"&lt;&gt;"&amp;""))</f>
        <v>2</v>
      </c>
      <c r="G87" s="265">
        <f>IF(C87="","",COUNTIFS(Başvuru!$C:$C,C87,Başvuru!$G:$G,"Uzmanlık Tezi",Başvuru!$F:$F,"&lt;&gt;"&amp;""))</f>
        <v>0</v>
      </c>
      <c r="H87" s="265">
        <f>IF(C87="","",COUNTIFS(Başvuru!$C:$C,C87,Başvuru!$G:$G,"Doktora Tezi",Başvuru!$F:$F,"&lt;&gt;"&amp;""))</f>
        <v>0</v>
      </c>
      <c r="I87" s="265">
        <f>IF(C87="","",COUNTIFS(Başvuru!$C:$C,C87,Başvuru!$G:$G,"Yüksek Lisans Tezi",Başvuru!$F:$F,"&lt;&gt;"&amp;""))</f>
        <v>0</v>
      </c>
      <c r="J87" s="266">
        <f>IF(C87="","",COUNTIFS(Başvuru!$C:$C,C87,Başvuru!$L:$L,"ONAY",Başvuru!$F:$F,"&lt;&gt;"&amp;""))</f>
        <v>1</v>
      </c>
      <c r="K87" s="267">
        <f>IF(C87="","",COUNTIFS(Başvuru!$C:$C,C87,Başvuru!$L:$L,"DÜZELTME",Başvuru!$F:$F,"&lt;&gt;"&amp;""))</f>
        <v>1</v>
      </c>
      <c r="L87" s="268">
        <f>IF(C87="","",COUNTIFS(Başvuru!$C:$C,C87,Başvuru!$L:$L,"KAEK",Başvuru!$F:$F,"&lt;&gt;"&amp;""))</f>
        <v>0</v>
      </c>
      <c r="M87" s="269">
        <f>IF(C87="","",COUNTIFS(Başvuru!$C:$C,C87,Başvuru!$L:$L,"GÖRÜŞ",Başvuru!$F:$F,"&lt;&gt;"&amp;""))</f>
        <v>0</v>
      </c>
      <c r="N87" s="270">
        <f>IF(C87="","",COUNTIFS(Başvuru!$C:$C,C87,Başvuru!$L:$L,"RET",Başvuru!$F:$F,"&lt;&gt;"&amp;""))</f>
        <v>0</v>
      </c>
      <c r="O87" s="271">
        <f>IF(C87="","",COUNTIFS(Başvuru!$C:$C,C87,Başvuru!$L:$L,"KAPSAM DIŞI",Başvuru!$F:$F,"&lt;&gt;"&amp;""))</f>
        <v>0</v>
      </c>
      <c r="P87" s="272">
        <f>IF(C87="","",COUNTIFS(Başvuru!$C:$C,C87,Başvuru!$L:$L,"GERİ ÇEKİLDİ",Başvuru!$F:$F,"&lt;&gt;"&amp;""))</f>
        <v>0</v>
      </c>
      <c r="Q87" s="260" t="s">
        <v>1143</v>
      </c>
      <c r="R87" s="261">
        <f>COUNTIFS(Başvuru!$C:$C,Q87,Başvuru!$F:$F,"&lt;&gt;"&amp;"")</f>
        <v>2</v>
      </c>
      <c r="S87" s="261">
        <f>RANK(R87,$R$6:$R$290,0)+COUNTIF($R$6:R87,R87)-1</f>
        <v>79</v>
      </c>
    </row>
    <row r="88" spans="2:19" ht="15" customHeight="1" x14ac:dyDescent="0.25">
      <c r="B88" s="249">
        <v>83</v>
      </c>
      <c r="C88" s="250" t="str">
        <f>IFERROR(INDEX($Q$6:$Q$290,MATCH(83,$S$6:$S$290,0)),"")</f>
        <v>Dr. Öğr. Üyesi Gökhan AYIK</v>
      </c>
      <c r="D88" s="251">
        <f>IF(C88="","",COUNTIFS(Başvuru!$C:$C,C88,Başvuru!$F:$F,"&lt;&gt;"&amp;""))</f>
        <v>2</v>
      </c>
      <c r="E88" s="249" t="str">
        <f>IF(D88&gt;0,TEXT(D88/COUNTIF(Başvuru!$F:$F,"&lt;&gt;"&amp;"")*100,"0.0")&amp;"%","-")</f>
        <v>00%</v>
      </c>
      <c r="F88" s="252">
        <f>IF(C88="","",COUNTIFS(Başvuru!$C:$C,C88,Başvuru!$G:$G,"Bireysel Araştırma",Başvuru!$F:$F,"&lt;&gt;"&amp;""))</f>
        <v>2</v>
      </c>
      <c r="G88" s="252">
        <f>IF(C88="","",COUNTIFS(Başvuru!$C:$C,C88,Başvuru!$G:$G,"Uzmanlık Tezi",Başvuru!$F:$F,"&lt;&gt;"&amp;""))</f>
        <v>0</v>
      </c>
      <c r="H88" s="252">
        <f>IF(C88="","",COUNTIFS(Başvuru!$C:$C,C88,Başvuru!$G:$G,"Doktora Tezi",Başvuru!$F:$F,"&lt;&gt;"&amp;""))</f>
        <v>0</v>
      </c>
      <c r="I88" s="252">
        <f>IF(C88="","",COUNTIFS(Başvuru!$C:$C,C88,Başvuru!$G:$G,"Yüksek Lisans Tezi",Başvuru!$F:$F,"&lt;&gt;"&amp;""))</f>
        <v>0</v>
      </c>
      <c r="J88" s="253">
        <f>IF(C88="","",COUNTIFS(Başvuru!$C:$C,C88,Başvuru!$L:$L,"ONAY",Başvuru!$F:$F,"&lt;&gt;"&amp;""))</f>
        <v>1</v>
      </c>
      <c r="K88" s="254">
        <f>IF(C88="","",COUNTIFS(Başvuru!$C:$C,C88,Başvuru!$L:$L,"DÜZELTME",Başvuru!$F:$F,"&lt;&gt;"&amp;""))</f>
        <v>0</v>
      </c>
      <c r="L88" s="255">
        <f>IF(C88="","",COUNTIFS(Başvuru!$C:$C,C88,Başvuru!$L:$L,"KAEK",Başvuru!$F:$F,"&lt;&gt;"&amp;""))</f>
        <v>1</v>
      </c>
      <c r="M88" s="256">
        <f>IF(C88="","",COUNTIFS(Başvuru!$C:$C,C88,Başvuru!$L:$L,"GÖRÜŞ",Başvuru!$F:$F,"&lt;&gt;"&amp;""))</f>
        <v>0</v>
      </c>
      <c r="N88" s="257">
        <f>IF(C88="","",COUNTIFS(Başvuru!$C:$C,C88,Başvuru!$L:$L,"RET",Başvuru!$F:$F,"&lt;&gt;"&amp;""))</f>
        <v>0</v>
      </c>
      <c r="O88" s="258">
        <f>IF(C88="","",COUNTIFS(Başvuru!$C:$C,C88,Başvuru!$L:$L,"KAPSAM DIŞI",Başvuru!$F:$F,"&lt;&gt;"&amp;""))</f>
        <v>0</v>
      </c>
      <c r="P88" s="259">
        <f>IF(C88="","",COUNTIFS(Başvuru!$C:$C,C88,Başvuru!$L:$L,"GERİ ÇEKİLDİ",Başvuru!$F:$F,"&lt;&gt;"&amp;""))</f>
        <v>0</v>
      </c>
      <c r="Q88" s="260" t="s">
        <v>496</v>
      </c>
      <c r="R88" s="261">
        <f>COUNTIFS(Başvuru!$C:$C,Q88,Başvuru!$F:$F,"&lt;&gt;"&amp;"")</f>
        <v>1</v>
      </c>
      <c r="S88" s="261">
        <f>RANK(R88,$R$6:$R$290,0)+COUNTIF($R$6:R88,R88)-1</f>
        <v>164</v>
      </c>
    </row>
    <row r="89" spans="2:19" ht="15" customHeight="1" x14ac:dyDescent="0.25">
      <c r="B89" s="262">
        <v>84</v>
      </c>
      <c r="C89" s="263" t="str">
        <f>IFERROR(INDEX($Q$6:$Q$290,MATCH(84,$S$6:$S$290,0)),"")</f>
        <v>Dr. Öğr. Üyesi Hayri Can ÖZDEN</v>
      </c>
      <c r="D89" s="264">
        <f>IF(C89="","",COUNTIFS(Başvuru!$C:$C,C89,Başvuru!$F:$F,"&lt;&gt;"&amp;""))</f>
        <v>2</v>
      </c>
      <c r="E89" s="262" t="str">
        <f>IF(D89&gt;0,TEXT(D89/COUNTIF(Başvuru!$F:$F,"&lt;&gt;"&amp;"")*100,"0.0")&amp;"%","-")</f>
        <v>00%</v>
      </c>
      <c r="F89" s="265">
        <f>IF(C89="","",COUNTIFS(Başvuru!$C:$C,C89,Başvuru!$G:$G,"Bireysel Araştırma",Başvuru!$F:$F,"&lt;&gt;"&amp;""))</f>
        <v>2</v>
      </c>
      <c r="G89" s="265">
        <f>IF(C89="","",COUNTIFS(Başvuru!$C:$C,C89,Başvuru!$G:$G,"Uzmanlık Tezi",Başvuru!$F:$F,"&lt;&gt;"&amp;""))</f>
        <v>0</v>
      </c>
      <c r="H89" s="265">
        <f>IF(C89="","",COUNTIFS(Başvuru!$C:$C,C89,Başvuru!$G:$G,"Doktora Tezi",Başvuru!$F:$F,"&lt;&gt;"&amp;""))</f>
        <v>0</v>
      </c>
      <c r="I89" s="265">
        <f>IF(C89="","",COUNTIFS(Başvuru!$C:$C,C89,Başvuru!$G:$G,"Yüksek Lisans Tezi",Başvuru!$F:$F,"&lt;&gt;"&amp;""))</f>
        <v>0</v>
      </c>
      <c r="J89" s="266">
        <f>IF(C89="","",COUNTIFS(Başvuru!$C:$C,C89,Başvuru!$L:$L,"ONAY",Başvuru!$F:$F,"&lt;&gt;"&amp;""))</f>
        <v>0</v>
      </c>
      <c r="K89" s="267">
        <f>IF(C89="","",COUNTIFS(Başvuru!$C:$C,C89,Başvuru!$L:$L,"DÜZELTME",Başvuru!$F:$F,"&lt;&gt;"&amp;""))</f>
        <v>2</v>
      </c>
      <c r="L89" s="268">
        <f>IF(C89="","",COUNTIFS(Başvuru!$C:$C,C89,Başvuru!$L:$L,"KAEK",Başvuru!$F:$F,"&lt;&gt;"&amp;""))</f>
        <v>0</v>
      </c>
      <c r="M89" s="269">
        <f>IF(C89="","",COUNTIFS(Başvuru!$C:$C,C89,Başvuru!$L:$L,"GÖRÜŞ",Başvuru!$F:$F,"&lt;&gt;"&amp;""))</f>
        <v>0</v>
      </c>
      <c r="N89" s="270">
        <f>IF(C89="","",COUNTIFS(Başvuru!$C:$C,C89,Başvuru!$L:$L,"RET",Başvuru!$F:$F,"&lt;&gt;"&amp;""))</f>
        <v>0</v>
      </c>
      <c r="O89" s="271">
        <f>IF(C89="","",COUNTIFS(Başvuru!$C:$C,C89,Başvuru!$L:$L,"KAPSAM DIŞI",Başvuru!$F:$F,"&lt;&gt;"&amp;""))</f>
        <v>0</v>
      </c>
      <c r="P89" s="272">
        <f>IF(C89="","",COUNTIFS(Başvuru!$C:$C,C89,Başvuru!$L:$L,"GERİ ÇEKİLDİ",Başvuru!$F:$F,"&lt;&gt;"&amp;""))</f>
        <v>0</v>
      </c>
      <c r="Q89" s="260" t="s">
        <v>576</v>
      </c>
      <c r="R89" s="261">
        <f>COUNTIFS(Başvuru!$C:$C,Q89,Başvuru!$F:$F,"&lt;&gt;"&amp;"")</f>
        <v>5</v>
      </c>
      <c r="S89" s="261">
        <f>RANK(R89,$R$6:$R$290,0)+COUNTIF($R$6:R89,R89)-1</f>
        <v>19</v>
      </c>
    </row>
    <row r="90" spans="2:19" ht="15" customHeight="1" x14ac:dyDescent="0.25">
      <c r="B90" s="249">
        <v>85</v>
      </c>
      <c r="C90" s="250" t="str">
        <f>IFERROR(INDEX($Q$6:$Q$290,MATCH(85,$S$6:$S$290,0)),"")</f>
        <v>Dr. Öğr. Üyesi Muhammed Çağrı KÜLEKCİ</v>
      </c>
      <c r="D90" s="251">
        <f>IF(C90="","",COUNTIFS(Başvuru!$C:$C,C90,Başvuru!$F:$F,"&lt;&gt;"&amp;""))</f>
        <v>2</v>
      </c>
      <c r="E90" s="249" t="str">
        <f>IF(D90&gt;0,TEXT(D90/COUNTIF(Başvuru!$F:$F,"&lt;&gt;"&amp;"")*100,"0.0")&amp;"%","-")</f>
        <v>00%</v>
      </c>
      <c r="F90" s="252">
        <f>IF(C90="","",COUNTIFS(Başvuru!$C:$C,C90,Başvuru!$G:$G,"Bireysel Araştırma",Başvuru!$F:$F,"&lt;&gt;"&amp;""))</f>
        <v>2</v>
      </c>
      <c r="G90" s="252">
        <f>IF(C90="","",COUNTIFS(Başvuru!$C:$C,C90,Başvuru!$G:$G,"Uzmanlık Tezi",Başvuru!$F:$F,"&lt;&gt;"&amp;""))</f>
        <v>0</v>
      </c>
      <c r="H90" s="252">
        <f>IF(C90="","",COUNTIFS(Başvuru!$C:$C,C90,Başvuru!$G:$G,"Doktora Tezi",Başvuru!$F:$F,"&lt;&gt;"&amp;""))</f>
        <v>0</v>
      </c>
      <c r="I90" s="252">
        <f>IF(C90="","",COUNTIFS(Başvuru!$C:$C,C90,Başvuru!$G:$G,"Yüksek Lisans Tezi",Başvuru!$F:$F,"&lt;&gt;"&amp;""))</f>
        <v>0</v>
      </c>
      <c r="J90" s="253">
        <f>IF(C90="","",COUNTIFS(Başvuru!$C:$C,C90,Başvuru!$L:$L,"ONAY",Başvuru!$F:$F,"&lt;&gt;"&amp;""))</f>
        <v>0</v>
      </c>
      <c r="K90" s="254">
        <f>IF(C90="","",COUNTIFS(Başvuru!$C:$C,C90,Başvuru!$L:$L,"DÜZELTME",Başvuru!$F:$F,"&lt;&gt;"&amp;""))</f>
        <v>1</v>
      </c>
      <c r="L90" s="255">
        <f>IF(C90="","",COUNTIFS(Başvuru!$C:$C,C90,Başvuru!$L:$L,"KAEK",Başvuru!$F:$F,"&lt;&gt;"&amp;""))</f>
        <v>0</v>
      </c>
      <c r="M90" s="256">
        <f>IF(C90="","",COUNTIFS(Başvuru!$C:$C,C90,Başvuru!$L:$L,"GÖRÜŞ",Başvuru!$F:$F,"&lt;&gt;"&amp;""))</f>
        <v>0</v>
      </c>
      <c r="N90" s="257">
        <f>IF(C90="","",COUNTIFS(Başvuru!$C:$C,C90,Başvuru!$L:$L,"RET",Başvuru!$F:$F,"&lt;&gt;"&amp;""))</f>
        <v>1</v>
      </c>
      <c r="O90" s="258">
        <f>IF(C90="","",COUNTIFS(Başvuru!$C:$C,C90,Başvuru!$L:$L,"KAPSAM DIŞI",Başvuru!$F:$F,"&lt;&gt;"&amp;""))</f>
        <v>0</v>
      </c>
      <c r="P90" s="259">
        <f>IF(C90="","",COUNTIFS(Başvuru!$C:$C,C90,Başvuru!$L:$L,"GERİ ÇEKİLDİ",Başvuru!$F:$F,"&lt;&gt;"&amp;""))</f>
        <v>0</v>
      </c>
      <c r="Q90" s="260" t="s">
        <v>993</v>
      </c>
      <c r="R90" s="261">
        <f>COUNTIFS(Başvuru!$C:$C,Q90,Başvuru!$F:$F,"&lt;&gt;"&amp;"")</f>
        <v>1</v>
      </c>
      <c r="S90" s="261">
        <f>RANK(R90,$R$6:$R$290,0)+COUNTIF($R$6:R90,R90)-1</f>
        <v>165</v>
      </c>
    </row>
    <row r="91" spans="2:19" ht="15" customHeight="1" x14ac:dyDescent="0.25">
      <c r="B91" s="262">
        <v>86</v>
      </c>
      <c r="C91" s="263" t="str">
        <f>IFERROR(INDEX($Q$6:$Q$290,MATCH(86,$S$6:$S$290,0)),"")</f>
        <v>Dr. Öğr. Üyesi Sehend DEBBAĞ</v>
      </c>
      <c r="D91" s="264">
        <f>IF(C91="","",COUNTIFS(Başvuru!$C:$C,C91,Başvuru!$F:$F,"&lt;&gt;"&amp;""))</f>
        <v>2</v>
      </c>
      <c r="E91" s="262" t="str">
        <f>IF(D91&gt;0,TEXT(D91/COUNTIF(Başvuru!$F:$F,"&lt;&gt;"&amp;"")*100,"0.0")&amp;"%","-")</f>
        <v>00%</v>
      </c>
      <c r="F91" s="265">
        <f>IF(C91="","",COUNTIFS(Başvuru!$C:$C,C91,Başvuru!$G:$G,"Bireysel Araştırma",Başvuru!$F:$F,"&lt;&gt;"&amp;""))</f>
        <v>2</v>
      </c>
      <c r="G91" s="265">
        <f>IF(C91="","",COUNTIFS(Başvuru!$C:$C,C91,Başvuru!$G:$G,"Uzmanlık Tezi",Başvuru!$F:$F,"&lt;&gt;"&amp;""))</f>
        <v>0</v>
      </c>
      <c r="H91" s="265">
        <f>IF(C91="","",COUNTIFS(Başvuru!$C:$C,C91,Başvuru!$G:$G,"Doktora Tezi",Başvuru!$F:$F,"&lt;&gt;"&amp;""))</f>
        <v>0</v>
      </c>
      <c r="I91" s="265">
        <f>IF(C91="","",COUNTIFS(Başvuru!$C:$C,C91,Başvuru!$G:$G,"Yüksek Lisans Tezi",Başvuru!$F:$F,"&lt;&gt;"&amp;""))</f>
        <v>0</v>
      </c>
      <c r="J91" s="266">
        <f>IF(C91="","",COUNTIFS(Başvuru!$C:$C,C91,Başvuru!$L:$L,"ONAY",Başvuru!$F:$F,"&lt;&gt;"&amp;""))</f>
        <v>0</v>
      </c>
      <c r="K91" s="267">
        <f>IF(C91="","",COUNTIFS(Başvuru!$C:$C,C91,Başvuru!$L:$L,"DÜZELTME",Başvuru!$F:$F,"&lt;&gt;"&amp;""))</f>
        <v>1</v>
      </c>
      <c r="L91" s="268">
        <f>IF(C91="","",COUNTIFS(Başvuru!$C:$C,C91,Başvuru!$L:$L,"KAEK",Başvuru!$F:$F,"&lt;&gt;"&amp;""))</f>
        <v>0</v>
      </c>
      <c r="M91" s="269">
        <f>IF(C91="","",COUNTIFS(Başvuru!$C:$C,C91,Başvuru!$L:$L,"GÖRÜŞ",Başvuru!$F:$F,"&lt;&gt;"&amp;""))</f>
        <v>0</v>
      </c>
      <c r="N91" s="270">
        <f>IF(C91="","",COUNTIFS(Başvuru!$C:$C,C91,Başvuru!$L:$L,"RET",Başvuru!$F:$F,"&lt;&gt;"&amp;""))</f>
        <v>0</v>
      </c>
      <c r="O91" s="271">
        <f>IF(C91="","",COUNTIFS(Başvuru!$C:$C,C91,Başvuru!$L:$L,"KAPSAM DIŞI",Başvuru!$F:$F,"&lt;&gt;"&amp;""))</f>
        <v>0</v>
      </c>
      <c r="P91" s="272">
        <f>IF(C91="","",COUNTIFS(Başvuru!$C:$C,C91,Başvuru!$L:$L,"GERİ ÇEKİLDİ",Başvuru!$F:$F,"&lt;&gt;"&amp;""))</f>
        <v>0</v>
      </c>
      <c r="Q91" s="260" t="s">
        <v>2498</v>
      </c>
      <c r="R91" s="261">
        <f>COUNTIFS(Başvuru!$C:$C,Q91,Başvuru!$F:$F,"&lt;&gt;"&amp;"")</f>
        <v>1</v>
      </c>
      <c r="S91" s="261">
        <f>RANK(R91,$R$6:$R$290,0)+COUNTIF($R$6:R91,R91)-1</f>
        <v>166</v>
      </c>
    </row>
    <row r="92" spans="2:19" ht="15" customHeight="1" x14ac:dyDescent="0.25">
      <c r="B92" s="249">
        <v>87</v>
      </c>
      <c r="C92" s="250" t="str">
        <f>IFERROR(INDEX($Q$6:$Q$290,MATCH(87,$S$6:$S$290,0)),"")</f>
        <v>Dr. Öğr. Üyesi Selen ADİLOĞLU</v>
      </c>
      <c r="D92" s="251">
        <f>IF(C92="","",COUNTIFS(Başvuru!$C:$C,C92,Başvuru!$F:$F,"&lt;&gt;"&amp;""))</f>
        <v>2</v>
      </c>
      <c r="E92" s="249" t="str">
        <f>IF(D92&gt;0,TEXT(D92/COUNTIF(Başvuru!$F:$F,"&lt;&gt;"&amp;"")*100,"0.0")&amp;"%","-")</f>
        <v>00%</v>
      </c>
      <c r="F92" s="252">
        <f>IF(C92="","",COUNTIFS(Başvuru!$C:$C,C92,Başvuru!$G:$G,"Bireysel Araştırma",Başvuru!$F:$F,"&lt;&gt;"&amp;""))</f>
        <v>2</v>
      </c>
      <c r="G92" s="252">
        <f>IF(C92="","",COUNTIFS(Başvuru!$C:$C,C92,Başvuru!$G:$G,"Uzmanlık Tezi",Başvuru!$F:$F,"&lt;&gt;"&amp;""))</f>
        <v>0</v>
      </c>
      <c r="H92" s="252">
        <f>IF(C92="","",COUNTIFS(Başvuru!$C:$C,C92,Başvuru!$G:$G,"Doktora Tezi",Başvuru!$F:$F,"&lt;&gt;"&amp;""))</f>
        <v>0</v>
      </c>
      <c r="I92" s="252">
        <f>IF(C92="","",COUNTIFS(Başvuru!$C:$C,C92,Başvuru!$G:$G,"Yüksek Lisans Tezi",Başvuru!$F:$F,"&lt;&gt;"&amp;""))</f>
        <v>0</v>
      </c>
      <c r="J92" s="253">
        <f>IF(C92="","",COUNTIFS(Başvuru!$C:$C,C92,Başvuru!$L:$L,"ONAY",Başvuru!$F:$F,"&lt;&gt;"&amp;""))</f>
        <v>0</v>
      </c>
      <c r="K92" s="254">
        <f>IF(C92="","",COUNTIFS(Başvuru!$C:$C,C92,Başvuru!$L:$L,"DÜZELTME",Başvuru!$F:$F,"&lt;&gt;"&amp;""))</f>
        <v>2</v>
      </c>
      <c r="L92" s="255">
        <f>IF(C92="","",COUNTIFS(Başvuru!$C:$C,C92,Başvuru!$L:$L,"KAEK",Başvuru!$F:$F,"&lt;&gt;"&amp;""))</f>
        <v>0</v>
      </c>
      <c r="M92" s="256">
        <f>IF(C92="","",COUNTIFS(Başvuru!$C:$C,C92,Başvuru!$L:$L,"GÖRÜŞ",Başvuru!$F:$F,"&lt;&gt;"&amp;""))</f>
        <v>0</v>
      </c>
      <c r="N92" s="257">
        <f>IF(C92="","",COUNTIFS(Başvuru!$C:$C,C92,Başvuru!$L:$L,"RET",Başvuru!$F:$F,"&lt;&gt;"&amp;""))</f>
        <v>0</v>
      </c>
      <c r="O92" s="258">
        <f>IF(C92="","",COUNTIFS(Başvuru!$C:$C,C92,Başvuru!$L:$L,"KAPSAM DIŞI",Başvuru!$F:$F,"&lt;&gt;"&amp;""))</f>
        <v>0</v>
      </c>
      <c r="P92" s="259">
        <f>IF(C92="","",COUNTIFS(Başvuru!$C:$C,C92,Başvuru!$L:$L,"GERİ ÇEKİLDİ",Başvuru!$F:$F,"&lt;&gt;"&amp;""))</f>
        <v>0</v>
      </c>
      <c r="Q92" s="260" t="s">
        <v>2002</v>
      </c>
      <c r="R92" s="261">
        <f>COUNTIFS(Başvuru!$C:$C,Q92,Başvuru!$F:$F,"&lt;&gt;"&amp;"")</f>
        <v>1</v>
      </c>
      <c r="S92" s="261">
        <f>RANK(R92,$R$6:$R$290,0)+COUNTIF($R$6:R92,R92)-1</f>
        <v>167</v>
      </c>
    </row>
    <row r="93" spans="2:19" ht="15" customHeight="1" x14ac:dyDescent="0.25">
      <c r="B93" s="262">
        <v>88</v>
      </c>
      <c r="C93" s="263" t="str">
        <f>IFERROR(INDEX($Q$6:$Q$290,MATCH(88,$S$6:$S$290,0)),"")</f>
        <v>Dr. Öğr. Üyesi Serkan UYSAL</v>
      </c>
      <c r="D93" s="264">
        <f>IF(C93="","",COUNTIFS(Başvuru!$C:$C,C93,Başvuru!$F:$F,"&lt;&gt;"&amp;""))</f>
        <v>2</v>
      </c>
      <c r="E93" s="262" t="str">
        <f>IF(D93&gt;0,TEXT(D93/COUNTIF(Başvuru!$F:$F,"&lt;&gt;"&amp;"")*100,"0.0")&amp;"%","-")</f>
        <v>00%</v>
      </c>
      <c r="F93" s="265">
        <f>IF(C93="","",COUNTIFS(Başvuru!$C:$C,C93,Başvuru!$G:$G,"Bireysel Araştırma",Başvuru!$F:$F,"&lt;&gt;"&amp;""))</f>
        <v>2</v>
      </c>
      <c r="G93" s="265">
        <f>IF(C93="","",COUNTIFS(Başvuru!$C:$C,C93,Başvuru!$G:$G,"Uzmanlık Tezi",Başvuru!$F:$F,"&lt;&gt;"&amp;""))</f>
        <v>0</v>
      </c>
      <c r="H93" s="265">
        <f>IF(C93="","",COUNTIFS(Başvuru!$C:$C,C93,Başvuru!$G:$G,"Doktora Tezi",Başvuru!$F:$F,"&lt;&gt;"&amp;""))</f>
        <v>0</v>
      </c>
      <c r="I93" s="265">
        <f>IF(C93="","",COUNTIFS(Başvuru!$C:$C,C93,Başvuru!$G:$G,"Yüksek Lisans Tezi",Başvuru!$F:$F,"&lt;&gt;"&amp;""))</f>
        <v>0</v>
      </c>
      <c r="J93" s="266">
        <f>IF(C93="","",COUNTIFS(Başvuru!$C:$C,C93,Başvuru!$L:$L,"ONAY",Başvuru!$F:$F,"&lt;&gt;"&amp;""))</f>
        <v>1</v>
      </c>
      <c r="K93" s="267">
        <f>IF(C93="","",COUNTIFS(Başvuru!$C:$C,C93,Başvuru!$L:$L,"DÜZELTME",Başvuru!$F:$F,"&lt;&gt;"&amp;""))</f>
        <v>1</v>
      </c>
      <c r="L93" s="268">
        <f>IF(C93="","",COUNTIFS(Başvuru!$C:$C,C93,Başvuru!$L:$L,"KAEK",Başvuru!$F:$F,"&lt;&gt;"&amp;""))</f>
        <v>0</v>
      </c>
      <c r="M93" s="269">
        <f>IF(C93="","",COUNTIFS(Başvuru!$C:$C,C93,Başvuru!$L:$L,"GÖRÜŞ",Başvuru!$F:$F,"&lt;&gt;"&amp;""))</f>
        <v>0</v>
      </c>
      <c r="N93" s="270">
        <f>IF(C93="","",COUNTIFS(Başvuru!$C:$C,C93,Başvuru!$L:$L,"RET",Başvuru!$F:$F,"&lt;&gt;"&amp;""))</f>
        <v>0</v>
      </c>
      <c r="O93" s="271">
        <f>IF(C93="","",COUNTIFS(Başvuru!$C:$C,C93,Başvuru!$L:$L,"KAPSAM DIŞI",Başvuru!$F:$F,"&lt;&gt;"&amp;""))</f>
        <v>0</v>
      </c>
      <c r="P93" s="272">
        <f>IF(C93="","",COUNTIFS(Başvuru!$C:$C,C93,Başvuru!$L:$L,"GERİ ÇEKİLDİ",Başvuru!$F:$F,"&lt;&gt;"&amp;""))</f>
        <v>0</v>
      </c>
      <c r="Q93" s="260" t="s">
        <v>1037</v>
      </c>
      <c r="R93" s="261">
        <f>COUNTIFS(Başvuru!$C:$C,Q93,Başvuru!$F:$F,"&lt;&gt;"&amp;"")</f>
        <v>1</v>
      </c>
      <c r="S93" s="261">
        <f>RANK(R93,$R$6:$R$290,0)+COUNTIF($R$6:R93,R93)-1</f>
        <v>168</v>
      </c>
    </row>
    <row r="94" spans="2:19" ht="15" customHeight="1" x14ac:dyDescent="0.25">
      <c r="B94" s="249">
        <v>89</v>
      </c>
      <c r="C94" s="250" t="str">
        <f>IFERROR(INDEX($Q$6:$Q$290,MATCH(89,$S$6:$S$290,0)),"")</f>
        <v>Dr. Öğr. Üyesi Yiğitcan KARANFİL</v>
      </c>
      <c r="D94" s="251">
        <f>IF(C94="","",COUNTIFS(Başvuru!$C:$C,C94,Başvuru!$F:$F,"&lt;&gt;"&amp;""))</f>
        <v>2</v>
      </c>
      <c r="E94" s="249" t="str">
        <f>IF(D94&gt;0,TEXT(D94/COUNTIF(Başvuru!$F:$F,"&lt;&gt;"&amp;"")*100,"0.0")&amp;"%","-")</f>
        <v>00%</v>
      </c>
      <c r="F94" s="252">
        <f>IF(C94="","",COUNTIFS(Başvuru!$C:$C,C94,Başvuru!$G:$G,"Bireysel Araştırma",Başvuru!$F:$F,"&lt;&gt;"&amp;""))</f>
        <v>2</v>
      </c>
      <c r="G94" s="252">
        <f>IF(C94="","",COUNTIFS(Başvuru!$C:$C,C94,Başvuru!$G:$G,"Uzmanlık Tezi",Başvuru!$F:$F,"&lt;&gt;"&amp;""))</f>
        <v>0</v>
      </c>
      <c r="H94" s="252">
        <f>IF(C94="","",COUNTIFS(Başvuru!$C:$C,C94,Başvuru!$G:$G,"Doktora Tezi",Başvuru!$F:$F,"&lt;&gt;"&amp;""))</f>
        <v>0</v>
      </c>
      <c r="I94" s="252">
        <f>IF(C94="","",COUNTIFS(Başvuru!$C:$C,C94,Başvuru!$G:$G,"Yüksek Lisans Tezi",Başvuru!$F:$F,"&lt;&gt;"&amp;""))</f>
        <v>0</v>
      </c>
      <c r="J94" s="253">
        <f>IF(C94="","",COUNTIFS(Başvuru!$C:$C,C94,Başvuru!$L:$L,"ONAY",Başvuru!$F:$F,"&lt;&gt;"&amp;""))</f>
        <v>2</v>
      </c>
      <c r="K94" s="254">
        <f>IF(C94="","",COUNTIFS(Başvuru!$C:$C,C94,Başvuru!$L:$L,"DÜZELTME",Başvuru!$F:$F,"&lt;&gt;"&amp;""))</f>
        <v>0</v>
      </c>
      <c r="L94" s="255">
        <f>IF(C94="","",COUNTIFS(Başvuru!$C:$C,C94,Başvuru!$L:$L,"KAEK",Başvuru!$F:$F,"&lt;&gt;"&amp;""))</f>
        <v>0</v>
      </c>
      <c r="M94" s="256">
        <f>IF(C94="","",COUNTIFS(Başvuru!$C:$C,C94,Başvuru!$L:$L,"GÖRÜŞ",Başvuru!$F:$F,"&lt;&gt;"&amp;""))</f>
        <v>0</v>
      </c>
      <c r="N94" s="257">
        <f>IF(C94="","",COUNTIFS(Başvuru!$C:$C,C94,Başvuru!$L:$L,"RET",Başvuru!$F:$F,"&lt;&gt;"&amp;""))</f>
        <v>0</v>
      </c>
      <c r="O94" s="258">
        <f>IF(C94="","",COUNTIFS(Başvuru!$C:$C,C94,Başvuru!$L:$L,"KAPSAM DIŞI",Başvuru!$F:$F,"&lt;&gt;"&amp;""))</f>
        <v>0</v>
      </c>
      <c r="P94" s="259">
        <f>IF(C94="","",COUNTIFS(Başvuru!$C:$C,C94,Başvuru!$L:$L,"GERİ ÇEKİLDİ",Başvuru!$F:$F,"&lt;&gt;"&amp;""))</f>
        <v>0</v>
      </c>
      <c r="Q94" s="260" t="s">
        <v>490</v>
      </c>
      <c r="R94" s="261">
        <f>COUNTIFS(Başvuru!$C:$C,Q94,Başvuru!$F:$F,"&lt;&gt;"&amp;"")</f>
        <v>1</v>
      </c>
      <c r="S94" s="261">
        <f>RANK(R94,$R$6:$R$290,0)+COUNTIF($R$6:R94,R94)-1</f>
        <v>169</v>
      </c>
    </row>
    <row r="95" spans="2:19" ht="15" customHeight="1" x14ac:dyDescent="0.25">
      <c r="B95" s="262">
        <v>90</v>
      </c>
      <c r="C95" s="263" t="str">
        <f>IFERROR(INDEX($Q$6:$Q$290,MATCH(90,$S$6:$S$290,0)),"")</f>
        <v>Prof. Dr. Ali Rıza TÜMER</v>
      </c>
      <c r="D95" s="264">
        <f>IF(C95="","",COUNTIFS(Başvuru!$C:$C,C95,Başvuru!$F:$F,"&lt;&gt;"&amp;""))</f>
        <v>2</v>
      </c>
      <c r="E95" s="262" t="str">
        <f>IF(D95&gt;0,TEXT(D95/COUNTIF(Başvuru!$F:$F,"&lt;&gt;"&amp;"")*100,"0.0")&amp;"%","-")</f>
        <v>00%</v>
      </c>
      <c r="F95" s="265">
        <f>IF(C95="","",COUNTIFS(Başvuru!$C:$C,C95,Başvuru!$G:$G,"Bireysel Araştırma",Başvuru!$F:$F,"&lt;&gt;"&amp;""))</f>
        <v>1</v>
      </c>
      <c r="G95" s="265">
        <f>IF(C95="","",COUNTIFS(Başvuru!$C:$C,C95,Başvuru!$G:$G,"Uzmanlık Tezi",Başvuru!$F:$F,"&lt;&gt;"&amp;""))</f>
        <v>1</v>
      </c>
      <c r="H95" s="265">
        <f>IF(C95="","",COUNTIFS(Başvuru!$C:$C,C95,Başvuru!$G:$G,"Doktora Tezi",Başvuru!$F:$F,"&lt;&gt;"&amp;""))</f>
        <v>0</v>
      </c>
      <c r="I95" s="265">
        <f>IF(C95="","",COUNTIFS(Başvuru!$C:$C,C95,Başvuru!$G:$G,"Yüksek Lisans Tezi",Başvuru!$F:$F,"&lt;&gt;"&amp;""))</f>
        <v>0</v>
      </c>
      <c r="J95" s="266">
        <f>IF(C95="","",COUNTIFS(Başvuru!$C:$C,C95,Başvuru!$L:$L,"ONAY",Başvuru!$F:$F,"&lt;&gt;"&amp;""))</f>
        <v>1</v>
      </c>
      <c r="K95" s="267">
        <f>IF(C95="","",COUNTIFS(Başvuru!$C:$C,C95,Başvuru!$L:$L,"DÜZELTME",Başvuru!$F:$F,"&lt;&gt;"&amp;""))</f>
        <v>0</v>
      </c>
      <c r="L95" s="268">
        <f>IF(C95="","",COUNTIFS(Başvuru!$C:$C,C95,Başvuru!$L:$L,"KAEK",Başvuru!$F:$F,"&lt;&gt;"&amp;""))</f>
        <v>0</v>
      </c>
      <c r="M95" s="269">
        <f>IF(C95="","",COUNTIFS(Başvuru!$C:$C,C95,Başvuru!$L:$L,"GÖRÜŞ",Başvuru!$F:$F,"&lt;&gt;"&amp;""))</f>
        <v>0</v>
      </c>
      <c r="N95" s="270">
        <f>IF(C95="","",COUNTIFS(Başvuru!$C:$C,C95,Başvuru!$L:$L,"RET",Başvuru!$F:$F,"&lt;&gt;"&amp;""))</f>
        <v>0</v>
      </c>
      <c r="O95" s="271">
        <f>IF(C95="","",COUNTIFS(Başvuru!$C:$C,C95,Başvuru!$L:$L,"KAPSAM DIŞI",Başvuru!$F:$F,"&lt;&gt;"&amp;""))</f>
        <v>0</v>
      </c>
      <c r="P95" s="272">
        <f>IF(C95="","",COUNTIFS(Başvuru!$C:$C,C95,Başvuru!$L:$L,"GERİ ÇEKİLDİ",Başvuru!$F:$F,"&lt;&gt;"&amp;""))</f>
        <v>0</v>
      </c>
      <c r="Q95" s="260" t="s">
        <v>60</v>
      </c>
      <c r="R95" s="261">
        <f>COUNTIFS(Başvuru!$C:$C,Q95,Başvuru!$F:$F,"&lt;&gt;"&amp;"")</f>
        <v>1</v>
      </c>
      <c r="S95" s="261">
        <f>RANK(R95,$R$6:$R$290,0)+COUNTIF($R$6:R95,R95)-1</f>
        <v>170</v>
      </c>
    </row>
    <row r="96" spans="2:19" ht="15" customHeight="1" x14ac:dyDescent="0.25">
      <c r="B96" s="249">
        <v>91</v>
      </c>
      <c r="C96" s="250" t="str">
        <f>IFERROR(INDEX($Q$6:$Q$290,MATCH(91,$S$6:$S$290,0)),"")</f>
        <v>Prof. Dr. Ayşe KİN İŞLER</v>
      </c>
      <c r="D96" s="251">
        <f>IF(C96="","",COUNTIFS(Başvuru!$C:$C,C96,Başvuru!$F:$F,"&lt;&gt;"&amp;""))</f>
        <v>2</v>
      </c>
      <c r="E96" s="249" t="str">
        <f>IF(D96&gt;0,TEXT(D96/COUNTIF(Başvuru!$F:$F,"&lt;&gt;"&amp;"")*100,"0.0")&amp;"%","-")</f>
        <v>00%</v>
      </c>
      <c r="F96" s="252">
        <f>IF(C96="","",COUNTIFS(Başvuru!$C:$C,C96,Başvuru!$G:$G,"Bireysel Araştırma",Başvuru!$F:$F,"&lt;&gt;"&amp;""))</f>
        <v>1</v>
      </c>
      <c r="G96" s="252">
        <f>IF(C96="","",COUNTIFS(Başvuru!$C:$C,C96,Başvuru!$G:$G,"Uzmanlık Tezi",Başvuru!$F:$F,"&lt;&gt;"&amp;""))</f>
        <v>0</v>
      </c>
      <c r="H96" s="252">
        <f>IF(C96="","",COUNTIFS(Başvuru!$C:$C,C96,Başvuru!$G:$G,"Doktora Tezi",Başvuru!$F:$F,"&lt;&gt;"&amp;""))</f>
        <v>1</v>
      </c>
      <c r="I96" s="252">
        <f>IF(C96="","",COUNTIFS(Başvuru!$C:$C,C96,Başvuru!$G:$G,"Yüksek Lisans Tezi",Başvuru!$F:$F,"&lt;&gt;"&amp;""))</f>
        <v>0</v>
      </c>
      <c r="J96" s="253">
        <f>IF(C96="","",COUNTIFS(Başvuru!$C:$C,C96,Başvuru!$L:$L,"ONAY",Başvuru!$F:$F,"&lt;&gt;"&amp;""))</f>
        <v>0</v>
      </c>
      <c r="K96" s="254">
        <f>IF(C96="","",COUNTIFS(Başvuru!$C:$C,C96,Başvuru!$L:$L,"DÜZELTME",Başvuru!$F:$F,"&lt;&gt;"&amp;""))</f>
        <v>2</v>
      </c>
      <c r="L96" s="255">
        <f>IF(C96="","",COUNTIFS(Başvuru!$C:$C,C96,Başvuru!$L:$L,"KAEK",Başvuru!$F:$F,"&lt;&gt;"&amp;""))</f>
        <v>0</v>
      </c>
      <c r="M96" s="256">
        <f>IF(C96="","",COUNTIFS(Başvuru!$C:$C,C96,Başvuru!$L:$L,"GÖRÜŞ",Başvuru!$F:$F,"&lt;&gt;"&amp;""))</f>
        <v>0</v>
      </c>
      <c r="N96" s="257">
        <f>IF(C96="","",COUNTIFS(Başvuru!$C:$C,C96,Başvuru!$L:$L,"RET",Başvuru!$F:$F,"&lt;&gt;"&amp;""))</f>
        <v>0</v>
      </c>
      <c r="O96" s="258">
        <f>IF(C96="","",COUNTIFS(Başvuru!$C:$C,C96,Başvuru!$L:$L,"KAPSAM DIŞI",Başvuru!$F:$F,"&lt;&gt;"&amp;""))</f>
        <v>0</v>
      </c>
      <c r="P96" s="259">
        <f>IF(C96="","",COUNTIFS(Başvuru!$C:$C,C96,Başvuru!$L:$L,"GERİ ÇEKİLDİ",Başvuru!$F:$F,"&lt;&gt;"&amp;""))</f>
        <v>0</v>
      </c>
      <c r="Q96" s="260" t="s">
        <v>1871</v>
      </c>
      <c r="R96" s="261">
        <f>COUNTIFS(Başvuru!$C:$C,Q96,Başvuru!$F:$F,"&lt;&gt;"&amp;"")</f>
        <v>1</v>
      </c>
      <c r="S96" s="261">
        <f>RANK(R96,$R$6:$R$290,0)+COUNTIF($R$6:R96,R96)-1</f>
        <v>171</v>
      </c>
    </row>
    <row r="97" spans="2:19" ht="15" customHeight="1" x14ac:dyDescent="0.25">
      <c r="B97" s="262">
        <v>92</v>
      </c>
      <c r="C97" s="263" t="str">
        <f>IFERROR(INDEX($Q$6:$Q$290,MATCH(92,$S$6:$S$290,0)),"")</f>
        <v>Prof. Dr. Bayram ŞAHİN</v>
      </c>
      <c r="D97" s="264">
        <f>IF(C97="","",COUNTIFS(Başvuru!$C:$C,C97,Başvuru!$F:$F,"&lt;&gt;"&amp;""))</f>
        <v>2</v>
      </c>
      <c r="E97" s="262" t="str">
        <f>IF(D97&gt;0,TEXT(D97/COUNTIF(Başvuru!$F:$F,"&lt;&gt;"&amp;"")*100,"0.0")&amp;"%","-")</f>
        <v>00%</v>
      </c>
      <c r="F97" s="265">
        <f>IF(C97="","",COUNTIFS(Başvuru!$C:$C,C97,Başvuru!$G:$G,"Bireysel Araştırma",Başvuru!$F:$F,"&lt;&gt;"&amp;""))</f>
        <v>0</v>
      </c>
      <c r="G97" s="265">
        <f>IF(C97="","",COUNTIFS(Başvuru!$C:$C,C97,Başvuru!$G:$G,"Uzmanlık Tezi",Başvuru!$F:$F,"&lt;&gt;"&amp;""))</f>
        <v>0</v>
      </c>
      <c r="H97" s="265">
        <f>IF(C97="","",COUNTIFS(Başvuru!$C:$C,C97,Başvuru!$G:$G,"Doktora Tezi",Başvuru!$F:$F,"&lt;&gt;"&amp;""))</f>
        <v>1</v>
      </c>
      <c r="I97" s="265">
        <f>IF(C97="","",COUNTIFS(Başvuru!$C:$C,C97,Başvuru!$G:$G,"Yüksek Lisans Tezi",Başvuru!$F:$F,"&lt;&gt;"&amp;""))</f>
        <v>1</v>
      </c>
      <c r="J97" s="266">
        <f>IF(C97="","",COUNTIFS(Başvuru!$C:$C,C97,Başvuru!$L:$L,"ONAY",Başvuru!$F:$F,"&lt;&gt;"&amp;""))</f>
        <v>0</v>
      </c>
      <c r="K97" s="267">
        <f>IF(C97="","",COUNTIFS(Başvuru!$C:$C,C97,Başvuru!$L:$L,"DÜZELTME",Başvuru!$F:$F,"&lt;&gt;"&amp;""))</f>
        <v>1</v>
      </c>
      <c r="L97" s="268">
        <f>IF(C97="","",COUNTIFS(Başvuru!$C:$C,C97,Başvuru!$L:$L,"KAEK",Başvuru!$F:$F,"&lt;&gt;"&amp;""))</f>
        <v>0</v>
      </c>
      <c r="M97" s="269">
        <f>IF(C97="","",COUNTIFS(Başvuru!$C:$C,C97,Başvuru!$L:$L,"GÖRÜŞ",Başvuru!$F:$F,"&lt;&gt;"&amp;""))</f>
        <v>0</v>
      </c>
      <c r="N97" s="270">
        <f>IF(C97="","",COUNTIFS(Başvuru!$C:$C,C97,Başvuru!$L:$L,"RET",Başvuru!$F:$F,"&lt;&gt;"&amp;""))</f>
        <v>1</v>
      </c>
      <c r="O97" s="271">
        <f>IF(C97="","",COUNTIFS(Başvuru!$C:$C,C97,Başvuru!$L:$L,"KAPSAM DIŞI",Başvuru!$F:$F,"&lt;&gt;"&amp;""))</f>
        <v>0</v>
      </c>
      <c r="P97" s="272">
        <f>IF(C97="","",COUNTIFS(Başvuru!$C:$C,C97,Başvuru!$L:$L,"GERİ ÇEKİLDİ",Başvuru!$F:$F,"&lt;&gt;"&amp;""))</f>
        <v>0</v>
      </c>
      <c r="Q97" s="260" t="s">
        <v>2578</v>
      </c>
      <c r="R97" s="261">
        <f>COUNTIFS(Başvuru!$C:$C,Q97,Başvuru!$F:$F,"&lt;&gt;"&amp;"")</f>
        <v>1</v>
      </c>
      <c r="S97" s="261">
        <f>RANK(R97,$R$6:$R$290,0)+COUNTIF($R$6:R97,R97)-1</f>
        <v>172</v>
      </c>
    </row>
    <row r="98" spans="2:19" ht="15" customHeight="1" x14ac:dyDescent="0.25">
      <c r="B98" s="249">
        <v>93</v>
      </c>
      <c r="C98" s="250" t="str">
        <f>IFERROR(INDEX($Q$6:$Q$290,MATCH(93,$S$6:$S$290,0)),"")</f>
        <v>Prof. Dr. Betül ÇELEBİ SALTIK</v>
      </c>
      <c r="D98" s="251">
        <f>IF(C98="","",COUNTIFS(Başvuru!$C:$C,C98,Başvuru!$F:$F,"&lt;&gt;"&amp;""))</f>
        <v>2</v>
      </c>
      <c r="E98" s="249" t="str">
        <f>IF(D98&gt;0,TEXT(D98/COUNTIF(Başvuru!$F:$F,"&lt;&gt;"&amp;"")*100,"0.0")&amp;"%","-")</f>
        <v>00%</v>
      </c>
      <c r="F98" s="252">
        <f>IF(C98="","",COUNTIFS(Başvuru!$C:$C,C98,Başvuru!$G:$G,"Bireysel Araştırma",Başvuru!$F:$F,"&lt;&gt;"&amp;""))</f>
        <v>2</v>
      </c>
      <c r="G98" s="252">
        <f>IF(C98="","",COUNTIFS(Başvuru!$C:$C,C98,Başvuru!$G:$G,"Uzmanlık Tezi",Başvuru!$F:$F,"&lt;&gt;"&amp;""))</f>
        <v>0</v>
      </c>
      <c r="H98" s="252">
        <f>IF(C98="","",COUNTIFS(Başvuru!$C:$C,C98,Başvuru!$G:$G,"Doktora Tezi",Başvuru!$F:$F,"&lt;&gt;"&amp;""))</f>
        <v>0</v>
      </c>
      <c r="I98" s="252">
        <f>IF(C98="","",COUNTIFS(Başvuru!$C:$C,C98,Başvuru!$G:$G,"Yüksek Lisans Tezi",Başvuru!$F:$F,"&lt;&gt;"&amp;""))</f>
        <v>0</v>
      </c>
      <c r="J98" s="253">
        <f>IF(C98="","",COUNTIFS(Başvuru!$C:$C,C98,Başvuru!$L:$L,"ONAY",Başvuru!$F:$F,"&lt;&gt;"&amp;""))</f>
        <v>2</v>
      </c>
      <c r="K98" s="254">
        <f>IF(C98="","",COUNTIFS(Başvuru!$C:$C,C98,Başvuru!$L:$L,"DÜZELTME",Başvuru!$F:$F,"&lt;&gt;"&amp;""))</f>
        <v>0</v>
      </c>
      <c r="L98" s="255">
        <f>IF(C98="","",COUNTIFS(Başvuru!$C:$C,C98,Başvuru!$L:$L,"KAEK",Başvuru!$F:$F,"&lt;&gt;"&amp;""))</f>
        <v>0</v>
      </c>
      <c r="M98" s="256">
        <f>IF(C98="","",COUNTIFS(Başvuru!$C:$C,C98,Başvuru!$L:$L,"GÖRÜŞ",Başvuru!$F:$F,"&lt;&gt;"&amp;""))</f>
        <v>0</v>
      </c>
      <c r="N98" s="257">
        <f>IF(C98="","",COUNTIFS(Başvuru!$C:$C,C98,Başvuru!$L:$L,"RET",Başvuru!$F:$F,"&lt;&gt;"&amp;""))</f>
        <v>0</v>
      </c>
      <c r="O98" s="258">
        <f>IF(C98="","",COUNTIFS(Başvuru!$C:$C,C98,Başvuru!$L:$L,"KAPSAM DIŞI",Başvuru!$F:$F,"&lt;&gt;"&amp;""))</f>
        <v>0</v>
      </c>
      <c r="P98" s="259">
        <f>IF(C98="","",COUNTIFS(Başvuru!$C:$C,C98,Başvuru!$L:$L,"GERİ ÇEKİLDİ",Başvuru!$F:$F,"&lt;&gt;"&amp;""))</f>
        <v>0</v>
      </c>
      <c r="Q98" s="260" t="s">
        <v>1948</v>
      </c>
      <c r="R98" s="261">
        <f>COUNTIFS(Başvuru!$C:$C,Q98,Başvuru!$F:$F,"&lt;&gt;"&amp;"")</f>
        <v>1</v>
      </c>
      <c r="S98" s="261">
        <f>RANK(R98,$R$6:$R$290,0)+COUNTIF($R$6:R98,R98)-1</f>
        <v>173</v>
      </c>
    </row>
    <row r="99" spans="2:19" ht="15" customHeight="1" x14ac:dyDescent="0.25">
      <c r="B99" s="262">
        <v>94</v>
      </c>
      <c r="C99" s="263" t="str">
        <f>IFERROR(INDEX($Q$6:$Q$290,MATCH(94,$S$6:$S$290,0)),"")</f>
        <v>Prof. Dr. Bilge VOLKAN SALANCI</v>
      </c>
      <c r="D99" s="264">
        <f>IF(C99="","",COUNTIFS(Başvuru!$C:$C,C99,Başvuru!$F:$F,"&lt;&gt;"&amp;""))</f>
        <v>2</v>
      </c>
      <c r="E99" s="262" t="str">
        <f>IF(D99&gt;0,TEXT(D99/COUNTIF(Başvuru!$F:$F,"&lt;&gt;"&amp;"")*100,"0.0")&amp;"%","-")</f>
        <v>00%</v>
      </c>
      <c r="F99" s="265">
        <f>IF(C99="","",COUNTIFS(Başvuru!$C:$C,C99,Başvuru!$G:$G,"Bireysel Araştırma",Başvuru!$F:$F,"&lt;&gt;"&amp;""))</f>
        <v>1</v>
      </c>
      <c r="G99" s="265">
        <f>IF(C99="","",COUNTIFS(Başvuru!$C:$C,C99,Başvuru!$G:$G,"Uzmanlık Tezi",Başvuru!$F:$F,"&lt;&gt;"&amp;""))</f>
        <v>1</v>
      </c>
      <c r="H99" s="265">
        <f>IF(C99="","",COUNTIFS(Başvuru!$C:$C,C99,Başvuru!$G:$G,"Doktora Tezi",Başvuru!$F:$F,"&lt;&gt;"&amp;""))</f>
        <v>0</v>
      </c>
      <c r="I99" s="265">
        <f>IF(C99="","",COUNTIFS(Başvuru!$C:$C,C99,Başvuru!$G:$G,"Yüksek Lisans Tezi",Başvuru!$F:$F,"&lt;&gt;"&amp;""))</f>
        <v>0</v>
      </c>
      <c r="J99" s="266">
        <f>IF(C99="","",COUNTIFS(Başvuru!$C:$C,C99,Başvuru!$L:$L,"ONAY",Başvuru!$F:$F,"&lt;&gt;"&amp;""))</f>
        <v>2</v>
      </c>
      <c r="K99" s="267">
        <f>IF(C99="","",COUNTIFS(Başvuru!$C:$C,C99,Başvuru!$L:$L,"DÜZELTME",Başvuru!$F:$F,"&lt;&gt;"&amp;""))</f>
        <v>0</v>
      </c>
      <c r="L99" s="268">
        <f>IF(C99="","",COUNTIFS(Başvuru!$C:$C,C99,Başvuru!$L:$L,"KAEK",Başvuru!$F:$F,"&lt;&gt;"&amp;""))</f>
        <v>0</v>
      </c>
      <c r="M99" s="269">
        <f>IF(C99="","",COUNTIFS(Başvuru!$C:$C,C99,Başvuru!$L:$L,"GÖRÜŞ",Başvuru!$F:$F,"&lt;&gt;"&amp;""))</f>
        <v>0</v>
      </c>
      <c r="N99" s="270">
        <f>IF(C99="","",COUNTIFS(Başvuru!$C:$C,C99,Başvuru!$L:$L,"RET",Başvuru!$F:$F,"&lt;&gt;"&amp;""))</f>
        <v>0</v>
      </c>
      <c r="O99" s="271">
        <f>IF(C99="","",COUNTIFS(Başvuru!$C:$C,C99,Başvuru!$L:$L,"KAPSAM DIŞI",Başvuru!$F:$F,"&lt;&gt;"&amp;""))</f>
        <v>0</v>
      </c>
      <c r="P99" s="272">
        <f>IF(C99="","",COUNTIFS(Başvuru!$C:$C,C99,Başvuru!$L:$L,"GERİ ÇEKİLDİ",Başvuru!$F:$F,"&lt;&gt;"&amp;""))</f>
        <v>0</v>
      </c>
      <c r="Q99" s="260" t="s">
        <v>335</v>
      </c>
      <c r="R99" s="261">
        <f>COUNTIFS(Başvuru!$C:$C,Q99,Başvuru!$F:$F,"&lt;&gt;"&amp;"")</f>
        <v>3</v>
      </c>
      <c r="S99" s="261">
        <f>RANK(R99,$R$6:$R$290,0)+COUNTIF($R$6:R99,R99)-1</f>
        <v>43</v>
      </c>
    </row>
    <row r="100" spans="2:19" ht="15" customHeight="1" x14ac:dyDescent="0.25">
      <c r="B100" s="249">
        <v>95</v>
      </c>
      <c r="C100" s="250" t="str">
        <f>IFERROR(INDEX($Q$6:$Q$290,MATCH(95,$S$6:$S$290,0)),"")</f>
        <v>Prof. Dr. Bülent Enis ŞEKEREL</v>
      </c>
      <c r="D100" s="251">
        <f>IF(C100="","",COUNTIFS(Başvuru!$C:$C,C100,Başvuru!$F:$F,"&lt;&gt;"&amp;""))</f>
        <v>2</v>
      </c>
      <c r="E100" s="249" t="str">
        <f>IF(D100&gt;0,TEXT(D100/COUNTIF(Başvuru!$F:$F,"&lt;&gt;"&amp;"")*100,"0.0")&amp;"%","-")</f>
        <v>00%</v>
      </c>
      <c r="F100" s="252">
        <f>IF(C100="","",COUNTIFS(Başvuru!$C:$C,C100,Başvuru!$G:$G,"Bireysel Araştırma",Başvuru!$F:$F,"&lt;&gt;"&amp;""))</f>
        <v>2</v>
      </c>
      <c r="G100" s="252">
        <f>IF(C100="","",COUNTIFS(Başvuru!$C:$C,C100,Başvuru!$G:$G,"Uzmanlık Tezi",Başvuru!$F:$F,"&lt;&gt;"&amp;""))</f>
        <v>0</v>
      </c>
      <c r="H100" s="252">
        <f>IF(C100="","",COUNTIFS(Başvuru!$C:$C,C100,Başvuru!$G:$G,"Doktora Tezi",Başvuru!$F:$F,"&lt;&gt;"&amp;""))</f>
        <v>0</v>
      </c>
      <c r="I100" s="252">
        <f>IF(C100="","",COUNTIFS(Başvuru!$C:$C,C100,Başvuru!$G:$G,"Yüksek Lisans Tezi",Başvuru!$F:$F,"&lt;&gt;"&amp;""))</f>
        <v>0</v>
      </c>
      <c r="J100" s="253">
        <f>IF(C100="","",COUNTIFS(Başvuru!$C:$C,C100,Başvuru!$L:$L,"ONAY",Başvuru!$F:$F,"&lt;&gt;"&amp;""))</f>
        <v>2</v>
      </c>
      <c r="K100" s="254">
        <f>IF(C100="","",COUNTIFS(Başvuru!$C:$C,C100,Başvuru!$L:$L,"DÜZELTME",Başvuru!$F:$F,"&lt;&gt;"&amp;""))</f>
        <v>0</v>
      </c>
      <c r="L100" s="255">
        <f>IF(C100="","",COUNTIFS(Başvuru!$C:$C,C100,Başvuru!$L:$L,"KAEK",Başvuru!$F:$F,"&lt;&gt;"&amp;""))</f>
        <v>0</v>
      </c>
      <c r="M100" s="256">
        <f>IF(C100="","",COUNTIFS(Başvuru!$C:$C,C100,Başvuru!$L:$L,"GÖRÜŞ",Başvuru!$F:$F,"&lt;&gt;"&amp;""))</f>
        <v>0</v>
      </c>
      <c r="N100" s="257">
        <f>IF(C100="","",COUNTIFS(Başvuru!$C:$C,C100,Başvuru!$L:$L,"RET",Başvuru!$F:$F,"&lt;&gt;"&amp;""))</f>
        <v>0</v>
      </c>
      <c r="O100" s="258">
        <f>IF(C100="","",COUNTIFS(Başvuru!$C:$C,C100,Başvuru!$L:$L,"KAPSAM DIŞI",Başvuru!$F:$F,"&lt;&gt;"&amp;""))</f>
        <v>0</v>
      </c>
      <c r="P100" s="259">
        <f>IF(C100="","",COUNTIFS(Başvuru!$C:$C,C100,Başvuru!$L:$L,"GERİ ÇEKİLDİ",Başvuru!$F:$F,"&lt;&gt;"&amp;""))</f>
        <v>0</v>
      </c>
      <c r="Q100" s="260" t="s">
        <v>798</v>
      </c>
      <c r="R100" s="261">
        <f>COUNTIFS(Başvuru!$C:$C,Q100,Başvuru!$F:$F,"&lt;&gt;"&amp;"")</f>
        <v>2</v>
      </c>
      <c r="S100" s="261">
        <f>RANK(R100,$R$6:$R$290,0)+COUNTIF($R$6:R100,R100)-1</f>
        <v>80</v>
      </c>
    </row>
    <row r="101" spans="2:19" ht="15" customHeight="1" x14ac:dyDescent="0.25">
      <c r="B101" s="262">
        <v>96</v>
      </c>
      <c r="C101" s="263" t="str">
        <f>IFERROR(INDEX($Q$6:$Q$290,MATCH(96,$S$6:$S$290,0)),"")</f>
        <v>Prof. Dr. Cengiz KILIÇ</v>
      </c>
      <c r="D101" s="264">
        <f>IF(C101="","",COUNTIFS(Başvuru!$C:$C,C101,Başvuru!$F:$F,"&lt;&gt;"&amp;""))</f>
        <v>2</v>
      </c>
      <c r="E101" s="262" t="str">
        <f>IF(D101&gt;0,TEXT(D101/COUNTIF(Başvuru!$F:$F,"&lt;&gt;"&amp;"")*100,"0.0")&amp;"%","-")</f>
        <v>00%</v>
      </c>
      <c r="F101" s="265">
        <f>IF(C101="","",COUNTIFS(Başvuru!$C:$C,C101,Başvuru!$G:$G,"Bireysel Araştırma",Başvuru!$F:$F,"&lt;&gt;"&amp;""))</f>
        <v>0</v>
      </c>
      <c r="G101" s="265">
        <f>IF(C101="","",COUNTIFS(Başvuru!$C:$C,C101,Başvuru!$G:$G,"Uzmanlık Tezi",Başvuru!$F:$F,"&lt;&gt;"&amp;""))</f>
        <v>2</v>
      </c>
      <c r="H101" s="265">
        <f>IF(C101="","",COUNTIFS(Başvuru!$C:$C,C101,Başvuru!$G:$G,"Doktora Tezi",Başvuru!$F:$F,"&lt;&gt;"&amp;""))</f>
        <v>0</v>
      </c>
      <c r="I101" s="265">
        <f>IF(C101="","",COUNTIFS(Başvuru!$C:$C,C101,Başvuru!$G:$G,"Yüksek Lisans Tezi",Başvuru!$F:$F,"&lt;&gt;"&amp;""))</f>
        <v>0</v>
      </c>
      <c r="J101" s="266">
        <f>IF(C101="","",COUNTIFS(Başvuru!$C:$C,C101,Başvuru!$L:$L,"ONAY",Başvuru!$F:$F,"&lt;&gt;"&amp;""))</f>
        <v>0</v>
      </c>
      <c r="K101" s="267">
        <f>IF(C101="","",COUNTIFS(Başvuru!$C:$C,C101,Başvuru!$L:$L,"DÜZELTME",Başvuru!$F:$F,"&lt;&gt;"&amp;""))</f>
        <v>2</v>
      </c>
      <c r="L101" s="268">
        <f>IF(C101="","",COUNTIFS(Başvuru!$C:$C,C101,Başvuru!$L:$L,"KAEK",Başvuru!$F:$F,"&lt;&gt;"&amp;""))</f>
        <v>0</v>
      </c>
      <c r="M101" s="269">
        <f>IF(C101="","",COUNTIFS(Başvuru!$C:$C,C101,Başvuru!$L:$L,"GÖRÜŞ",Başvuru!$F:$F,"&lt;&gt;"&amp;""))</f>
        <v>0</v>
      </c>
      <c r="N101" s="270">
        <f>IF(C101="","",COUNTIFS(Başvuru!$C:$C,C101,Başvuru!$L:$L,"RET",Başvuru!$F:$F,"&lt;&gt;"&amp;""))</f>
        <v>0</v>
      </c>
      <c r="O101" s="271">
        <f>IF(C101="","",COUNTIFS(Başvuru!$C:$C,C101,Başvuru!$L:$L,"KAPSAM DIŞI",Başvuru!$F:$F,"&lt;&gt;"&amp;""))</f>
        <v>0</v>
      </c>
      <c r="P101" s="272">
        <f>IF(C101="","",COUNTIFS(Başvuru!$C:$C,C101,Başvuru!$L:$L,"GERİ ÇEKİLDİ",Başvuru!$F:$F,"&lt;&gt;"&amp;""))</f>
        <v>0</v>
      </c>
      <c r="Q101" s="260" t="s">
        <v>2337</v>
      </c>
      <c r="R101" s="261">
        <f>COUNTIFS(Başvuru!$C:$C,Q101,Başvuru!$F:$F,"&lt;&gt;"&amp;"")</f>
        <v>1</v>
      </c>
      <c r="S101" s="261">
        <f>RANK(R101,$R$6:$R$290,0)+COUNTIF($R$6:R101,R101)-1</f>
        <v>174</v>
      </c>
    </row>
    <row r="102" spans="2:19" ht="15" customHeight="1" x14ac:dyDescent="0.25">
      <c r="B102" s="249">
        <v>97</v>
      </c>
      <c r="C102" s="250" t="str">
        <f>IFERROR(INDEX($Q$6:$Q$290,MATCH(97,$S$6:$S$290,0)),"")</f>
        <v>Prof. Dr. Filiz ÜZÜMCÜGİL</v>
      </c>
      <c r="D102" s="251">
        <f>IF(C102="","",COUNTIFS(Başvuru!$C:$C,C102,Başvuru!$F:$F,"&lt;&gt;"&amp;""))</f>
        <v>2</v>
      </c>
      <c r="E102" s="249" t="str">
        <f>IF(D102&gt;0,TEXT(D102/COUNTIF(Başvuru!$F:$F,"&lt;&gt;"&amp;"")*100,"0.0")&amp;"%","-")</f>
        <v>00%</v>
      </c>
      <c r="F102" s="252">
        <f>IF(C102="","",COUNTIFS(Başvuru!$C:$C,C102,Başvuru!$G:$G,"Bireysel Araştırma",Başvuru!$F:$F,"&lt;&gt;"&amp;""))</f>
        <v>0</v>
      </c>
      <c r="G102" s="252">
        <f>IF(C102="","",COUNTIFS(Başvuru!$C:$C,C102,Başvuru!$G:$G,"Uzmanlık Tezi",Başvuru!$F:$F,"&lt;&gt;"&amp;""))</f>
        <v>2</v>
      </c>
      <c r="H102" s="252">
        <f>IF(C102="","",COUNTIFS(Başvuru!$C:$C,C102,Başvuru!$G:$G,"Doktora Tezi",Başvuru!$F:$F,"&lt;&gt;"&amp;""))</f>
        <v>0</v>
      </c>
      <c r="I102" s="252">
        <f>IF(C102="","",COUNTIFS(Başvuru!$C:$C,C102,Başvuru!$G:$G,"Yüksek Lisans Tezi",Başvuru!$F:$F,"&lt;&gt;"&amp;""))</f>
        <v>0</v>
      </c>
      <c r="J102" s="253">
        <f>IF(C102="","",COUNTIFS(Başvuru!$C:$C,C102,Başvuru!$L:$L,"ONAY",Başvuru!$F:$F,"&lt;&gt;"&amp;""))</f>
        <v>1</v>
      </c>
      <c r="K102" s="254">
        <f>IF(C102="","",COUNTIFS(Başvuru!$C:$C,C102,Başvuru!$L:$L,"DÜZELTME",Başvuru!$F:$F,"&lt;&gt;"&amp;""))</f>
        <v>0</v>
      </c>
      <c r="L102" s="255">
        <f>IF(C102="","",COUNTIFS(Başvuru!$C:$C,C102,Başvuru!$L:$L,"KAEK",Başvuru!$F:$F,"&lt;&gt;"&amp;""))</f>
        <v>0</v>
      </c>
      <c r="M102" s="256">
        <f>IF(C102="","",COUNTIFS(Başvuru!$C:$C,C102,Başvuru!$L:$L,"GÖRÜŞ",Başvuru!$F:$F,"&lt;&gt;"&amp;""))</f>
        <v>0</v>
      </c>
      <c r="N102" s="257">
        <f>IF(C102="","",COUNTIFS(Başvuru!$C:$C,C102,Başvuru!$L:$L,"RET",Başvuru!$F:$F,"&lt;&gt;"&amp;""))</f>
        <v>0</v>
      </c>
      <c r="O102" s="258">
        <f>IF(C102="","",COUNTIFS(Başvuru!$C:$C,C102,Başvuru!$L:$L,"KAPSAM DIŞI",Başvuru!$F:$F,"&lt;&gt;"&amp;""))</f>
        <v>0</v>
      </c>
      <c r="P102" s="259">
        <f>IF(C102="","",COUNTIFS(Başvuru!$C:$C,C102,Başvuru!$L:$L,"GERİ ÇEKİLDİ",Başvuru!$F:$F,"&lt;&gt;"&amp;""))</f>
        <v>0</v>
      </c>
      <c r="Q102" s="260" t="s">
        <v>1018</v>
      </c>
      <c r="R102" s="261">
        <f>COUNTIFS(Başvuru!$C:$C,Q102,Başvuru!$F:$F,"&lt;&gt;"&amp;"")</f>
        <v>1</v>
      </c>
      <c r="S102" s="261">
        <f>RANK(R102,$R$6:$R$290,0)+COUNTIF($R$6:R102,R102)-1</f>
        <v>175</v>
      </c>
    </row>
    <row r="103" spans="2:19" ht="15" customHeight="1" x14ac:dyDescent="0.25">
      <c r="B103" s="262">
        <v>98</v>
      </c>
      <c r="C103" s="263" t="str">
        <f>IFERROR(INDEX($Q$6:$Q$290,MATCH(98,$S$6:$S$290,0)),"")</f>
        <v>Prof. Dr. Güliz AKTAŞ</v>
      </c>
      <c r="D103" s="264">
        <f>IF(C103="","",COUNTIFS(Başvuru!$C:$C,C103,Başvuru!$F:$F,"&lt;&gt;"&amp;""))</f>
        <v>2</v>
      </c>
      <c r="E103" s="262" t="str">
        <f>IF(D103&gt;0,TEXT(D103/COUNTIF(Başvuru!$F:$F,"&lt;&gt;"&amp;"")*100,"0.0")&amp;"%","-")</f>
        <v>00%</v>
      </c>
      <c r="F103" s="265">
        <f>IF(C103="","",COUNTIFS(Başvuru!$C:$C,C103,Başvuru!$G:$G,"Bireysel Araştırma",Başvuru!$F:$F,"&lt;&gt;"&amp;""))</f>
        <v>0</v>
      </c>
      <c r="G103" s="265">
        <f>IF(C103="","",COUNTIFS(Başvuru!$C:$C,C103,Başvuru!$G:$G,"Uzmanlık Tezi",Başvuru!$F:$F,"&lt;&gt;"&amp;""))</f>
        <v>2</v>
      </c>
      <c r="H103" s="265">
        <f>IF(C103="","",COUNTIFS(Başvuru!$C:$C,C103,Başvuru!$G:$G,"Doktora Tezi",Başvuru!$F:$F,"&lt;&gt;"&amp;""))</f>
        <v>0</v>
      </c>
      <c r="I103" s="265">
        <f>IF(C103="","",COUNTIFS(Başvuru!$C:$C,C103,Başvuru!$G:$G,"Yüksek Lisans Tezi",Başvuru!$F:$F,"&lt;&gt;"&amp;""))</f>
        <v>0</v>
      </c>
      <c r="J103" s="266">
        <f>IF(C103="","",COUNTIFS(Başvuru!$C:$C,C103,Başvuru!$L:$L,"ONAY",Başvuru!$F:$F,"&lt;&gt;"&amp;""))</f>
        <v>2</v>
      </c>
      <c r="K103" s="267">
        <f>IF(C103="","",COUNTIFS(Başvuru!$C:$C,C103,Başvuru!$L:$L,"DÜZELTME",Başvuru!$F:$F,"&lt;&gt;"&amp;""))</f>
        <v>0</v>
      </c>
      <c r="L103" s="268">
        <f>IF(C103="","",COUNTIFS(Başvuru!$C:$C,C103,Başvuru!$L:$L,"KAEK",Başvuru!$F:$F,"&lt;&gt;"&amp;""))</f>
        <v>0</v>
      </c>
      <c r="M103" s="269">
        <f>IF(C103="","",COUNTIFS(Başvuru!$C:$C,C103,Başvuru!$L:$L,"GÖRÜŞ",Başvuru!$F:$F,"&lt;&gt;"&amp;""))</f>
        <v>0</v>
      </c>
      <c r="N103" s="270">
        <f>IF(C103="","",COUNTIFS(Başvuru!$C:$C,C103,Başvuru!$L:$L,"RET",Başvuru!$F:$F,"&lt;&gt;"&amp;""))</f>
        <v>0</v>
      </c>
      <c r="O103" s="271">
        <f>IF(C103="","",COUNTIFS(Başvuru!$C:$C,C103,Başvuru!$L:$L,"KAPSAM DIŞI",Başvuru!$F:$F,"&lt;&gt;"&amp;""))</f>
        <v>0</v>
      </c>
      <c r="P103" s="272">
        <f>IF(C103="","",COUNTIFS(Başvuru!$C:$C,C103,Başvuru!$L:$L,"GERİ ÇEKİLDİ",Başvuru!$F:$F,"&lt;&gt;"&amp;""))</f>
        <v>0</v>
      </c>
      <c r="Q103" s="260" t="s">
        <v>1071</v>
      </c>
      <c r="R103" s="261">
        <f>COUNTIFS(Başvuru!$C:$C,Q103,Başvuru!$F:$F,"&lt;&gt;"&amp;"")</f>
        <v>3</v>
      </c>
      <c r="S103" s="261">
        <f>RANK(R103,$R$6:$R$290,0)+COUNTIF($R$6:R103,R103)-1</f>
        <v>44</v>
      </c>
    </row>
    <row r="104" spans="2:19" ht="15" customHeight="1" x14ac:dyDescent="0.25">
      <c r="B104" s="249">
        <v>99</v>
      </c>
      <c r="C104" s="250" t="str">
        <f>IFERROR(INDEX($Q$6:$Q$290,MATCH(99,$S$6:$S$290,0)),"")</f>
        <v>Prof. Dr. Hakan GÖKER</v>
      </c>
      <c r="D104" s="251">
        <f>IF(C104="","",COUNTIFS(Başvuru!$C:$C,C104,Başvuru!$F:$F,"&lt;&gt;"&amp;""))</f>
        <v>2</v>
      </c>
      <c r="E104" s="249" t="str">
        <f>IF(D104&gt;0,TEXT(D104/COUNTIF(Başvuru!$F:$F,"&lt;&gt;"&amp;"")*100,"0.0")&amp;"%","-")</f>
        <v>00%</v>
      </c>
      <c r="F104" s="252">
        <f>IF(C104="","",COUNTIFS(Başvuru!$C:$C,C104,Başvuru!$G:$G,"Bireysel Araştırma",Başvuru!$F:$F,"&lt;&gt;"&amp;""))</f>
        <v>2</v>
      </c>
      <c r="G104" s="252">
        <f>IF(C104="","",COUNTIFS(Başvuru!$C:$C,C104,Başvuru!$G:$G,"Uzmanlık Tezi",Başvuru!$F:$F,"&lt;&gt;"&amp;""))</f>
        <v>0</v>
      </c>
      <c r="H104" s="252">
        <f>IF(C104="","",COUNTIFS(Başvuru!$C:$C,C104,Başvuru!$G:$G,"Doktora Tezi",Başvuru!$F:$F,"&lt;&gt;"&amp;""))</f>
        <v>0</v>
      </c>
      <c r="I104" s="252">
        <f>IF(C104="","",COUNTIFS(Başvuru!$C:$C,C104,Başvuru!$G:$G,"Yüksek Lisans Tezi",Başvuru!$F:$F,"&lt;&gt;"&amp;""))</f>
        <v>0</v>
      </c>
      <c r="J104" s="253">
        <f>IF(C104="","",COUNTIFS(Başvuru!$C:$C,C104,Başvuru!$L:$L,"ONAY",Başvuru!$F:$F,"&lt;&gt;"&amp;""))</f>
        <v>0</v>
      </c>
      <c r="K104" s="254">
        <f>IF(C104="","",COUNTIFS(Başvuru!$C:$C,C104,Başvuru!$L:$L,"DÜZELTME",Başvuru!$F:$F,"&lt;&gt;"&amp;""))</f>
        <v>1</v>
      </c>
      <c r="L104" s="255">
        <f>IF(C104="","",COUNTIFS(Başvuru!$C:$C,C104,Başvuru!$L:$L,"KAEK",Başvuru!$F:$F,"&lt;&gt;"&amp;""))</f>
        <v>0</v>
      </c>
      <c r="M104" s="256">
        <f>IF(C104="","",COUNTIFS(Başvuru!$C:$C,C104,Başvuru!$L:$L,"GÖRÜŞ",Başvuru!$F:$F,"&lt;&gt;"&amp;""))</f>
        <v>0</v>
      </c>
      <c r="N104" s="257">
        <f>IF(C104="","",COUNTIFS(Başvuru!$C:$C,C104,Başvuru!$L:$L,"RET",Başvuru!$F:$F,"&lt;&gt;"&amp;""))</f>
        <v>0</v>
      </c>
      <c r="O104" s="258">
        <f>IF(C104="","",COUNTIFS(Başvuru!$C:$C,C104,Başvuru!$L:$L,"KAPSAM DIŞI",Başvuru!$F:$F,"&lt;&gt;"&amp;""))</f>
        <v>0</v>
      </c>
      <c r="P104" s="259">
        <f>IF(C104="","",COUNTIFS(Başvuru!$C:$C,C104,Başvuru!$L:$L,"GERİ ÇEKİLDİ",Başvuru!$F:$F,"&lt;&gt;"&amp;""))</f>
        <v>0</v>
      </c>
      <c r="Q104" s="260" t="s">
        <v>762</v>
      </c>
      <c r="R104" s="261">
        <f>COUNTIFS(Başvuru!$C:$C,Q104,Başvuru!$F:$F,"&lt;&gt;"&amp;"")</f>
        <v>2</v>
      </c>
      <c r="S104" s="261">
        <f>RANK(R104,$R$6:$R$290,0)+COUNTIF($R$6:R104,R104)-1</f>
        <v>81</v>
      </c>
    </row>
    <row r="105" spans="2:19" ht="15" customHeight="1" x14ac:dyDescent="0.25">
      <c r="B105" s="262">
        <v>100</v>
      </c>
      <c r="C105" s="263" t="str">
        <f>IFERROR(INDEX($Q$6:$Q$290,MATCH(100,$S$6:$S$290,0)),"")</f>
        <v>Prof. Dr. Hakan UZUN</v>
      </c>
      <c r="D105" s="264">
        <f>IF(C105="","",COUNTIFS(Başvuru!$C:$C,C105,Başvuru!$F:$F,"&lt;&gt;"&amp;""))</f>
        <v>2</v>
      </c>
      <c r="E105" s="262" t="str">
        <f>IF(D105&gt;0,TEXT(D105/COUNTIF(Başvuru!$F:$F,"&lt;&gt;"&amp;"")*100,"0.0")&amp;"%","-")</f>
        <v>00%</v>
      </c>
      <c r="F105" s="265">
        <f>IF(C105="","",COUNTIFS(Başvuru!$C:$C,C105,Başvuru!$G:$G,"Bireysel Araştırma",Başvuru!$F:$F,"&lt;&gt;"&amp;""))</f>
        <v>2</v>
      </c>
      <c r="G105" s="265">
        <f>IF(C105="","",COUNTIFS(Başvuru!$C:$C,C105,Başvuru!$G:$G,"Uzmanlık Tezi",Başvuru!$F:$F,"&lt;&gt;"&amp;""))</f>
        <v>0</v>
      </c>
      <c r="H105" s="265">
        <f>IF(C105="","",COUNTIFS(Başvuru!$C:$C,C105,Başvuru!$G:$G,"Doktora Tezi",Başvuru!$F:$F,"&lt;&gt;"&amp;""))</f>
        <v>0</v>
      </c>
      <c r="I105" s="265">
        <f>IF(C105="","",COUNTIFS(Başvuru!$C:$C,C105,Başvuru!$G:$G,"Yüksek Lisans Tezi",Başvuru!$F:$F,"&lt;&gt;"&amp;""))</f>
        <v>0</v>
      </c>
      <c r="J105" s="266">
        <f>IF(C105="","",COUNTIFS(Başvuru!$C:$C,C105,Başvuru!$L:$L,"ONAY",Başvuru!$F:$F,"&lt;&gt;"&amp;""))</f>
        <v>1</v>
      </c>
      <c r="K105" s="267">
        <f>IF(C105="","",COUNTIFS(Başvuru!$C:$C,C105,Başvuru!$L:$L,"DÜZELTME",Başvuru!$F:$F,"&lt;&gt;"&amp;""))</f>
        <v>0</v>
      </c>
      <c r="L105" s="268">
        <f>IF(C105="","",COUNTIFS(Başvuru!$C:$C,C105,Başvuru!$L:$L,"KAEK",Başvuru!$F:$F,"&lt;&gt;"&amp;""))</f>
        <v>0</v>
      </c>
      <c r="M105" s="269">
        <f>IF(C105="","",COUNTIFS(Başvuru!$C:$C,C105,Başvuru!$L:$L,"GÖRÜŞ",Başvuru!$F:$F,"&lt;&gt;"&amp;""))</f>
        <v>0</v>
      </c>
      <c r="N105" s="270">
        <f>IF(C105="","",COUNTIFS(Başvuru!$C:$C,C105,Başvuru!$L:$L,"RET",Başvuru!$F:$F,"&lt;&gt;"&amp;""))</f>
        <v>0</v>
      </c>
      <c r="O105" s="271">
        <f>IF(C105="","",COUNTIFS(Başvuru!$C:$C,C105,Başvuru!$L:$L,"KAPSAM DIŞI",Başvuru!$F:$F,"&lt;&gt;"&amp;""))</f>
        <v>0</v>
      </c>
      <c r="P105" s="272">
        <f>IF(C105="","",COUNTIFS(Başvuru!$C:$C,C105,Başvuru!$L:$L,"GERİ ÇEKİLDİ",Başvuru!$F:$F,"&lt;&gt;"&amp;""))</f>
        <v>0</v>
      </c>
      <c r="Q105" s="260" t="s">
        <v>876</v>
      </c>
      <c r="R105" s="261">
        <f>COUNTIFS(Başvuru!$C:$C,Q105,Başvuru!$F:$F,"&lt;&gt;"&amp;"")</f>
        <v>2</v>
      </c>
      <c r="S105" s="261">
        <f>RANK(R105,$R$6:$R$290,0)+COUNTIF($R$6:R105,R105)-1</f>
        <v>82</v>
      </c>
    </row>
    <row r="106" spans="2:19" ht="15" customHeight="1" x14ac:dyDescent="0.25">
      <c r="B106" s="249">
        <v>101</v>
      </c>
      <c r="C106" s="250" t="str">
        <f>IFERROR(INDEX($Q$6:$Q$290,MATCH(101,$S$6:$S$290,0)),"")</f>
        <v>Prof. Dr. Hasan Serkan DOĞAN</v>
      </c>
      <c r="D106" s="251">
        <f>IF(C106="","",COUNTIFS(Başvuru!$C:$C,C106,Başvuru!$F:$F,"&lt;&gt;"&amp;""))</f>
        <v>2</v>
      </c>
      <c r="E106" s="249" t="str">
        <f>IF(D106&gt;0,TEXT(D106/COUNTIF(Başvuru!$F:$F,"&lt;&gt;"&amp;"")*100,"0.0")&amp;"%","-")</f>
        <v>00%</v>
      </c>
      <c r="F106" s="252">
        <f>IF(C106="","",COUNTIFS(Başvuru!$C:$C,C106,Başvuru!$G:$G,"Bireysel Araştırma",Başvuru!$F:$F,"&lt;&gt;"&amp;""))</f>
        <v>2</v>
      </c>
      <c r="G106" s="252">
        <f>IF(C106="","",COUNTIFS(Başvuru!$C:$C,C106,Başvuru!$G:$G,"Uzmanlık Tezi",Başvuru!$F:$F,"&lt;&gt;"&amp;""))</f>
        <v>0</v>
      </c>
      <c r="H106" s="252">
        <f>IF(C106="","",COUNTIFS(Başvuru!$C:$C,C106,Başvuru!$G:$G,"Doktora Tezi",Başvuru!$F:$F,"&lt;&gt;"&amp;""))</f>
        <v>0</v>
      </c>
      <c r="I106" s="252">
        <f>IF(C106="","",COUNTIFS(Başvuru!$C:$C,C106,Başvuru!$G:$G,"Yüksek Lisans Tezi",Başvuru!$F:$F,"&lt;&gt;"&amp;""))</f>
        <v>0</v>
      </c>
      <c r="J106" s="253">
        <f>IF(C106="","",COUNTIFS(Başvuru!$C:$C,C106,Başvuru!$L:$L,"ONAY",Başvuru!$F:$F,"&lt;&gt;"&amp;""))</f>
        <v>1</v>
      </c>
      <c r="K106" s="254">
        <f>IF(C106="","",COUNTIFS(Başvuru!$C:$C,C106,Başvuru!$L:$L,"DÜZELTME",Başvuru!$F:$F,"&lt;&gt;"&amp;""))</f>
        <v>1</v>
      </c>
      <c r="L106" s="255">
        <f>IF(C106="","",COUNTIFS(Başvuru!$C:$C,C106,Başvuru!$L:$L,"KAEK",Başvuru!$F:$F,"&lt;&gt;"&amp;""))</f>
        <v>0</v>
      </c>
      <c r="M106" s="256">
        <f>IF(C106="","",COUNTIFS(Başvuru!$C:$C,C106,Başvuru!$L:$L,"GÖRÜŞ",Başvuru!$F:$F,"&lt;&gt;"&amp;""))</f>
        <v>0</v>
      </c>
      <c r="N106" s="257">
        <f>IF(C106="","",COUNTIFS(Başvuru!$C:$C,C106,Başvuru!$L:$L,"RET",Başvuru!$F:$F,"&lt;&gt;"&amp;""))</f>
        <v>0</v>
      </c>
      <c r="O106" s="258">
        <f>IF(C106="","",COUNTIFS(Başvuru!$C:$C,C106,Başvuru!$L:$L,"KAPSAM DIŞI",Başvuru!$F:$F,"&lt;&gt;"&amp;""))</f>
        <v>0</v>
      </c>
      <c r="P106" s="259">
        <f>IF(C106="","",COUNTIFS(Başvuru!$C:$C,C106,Başvuru!$L:$L,"GERİ ÇEKİLDİ",Başvuru!$F:$F,"&lt;&gt;"&amp;""))</f>
        <v>0</v>
      </c>
      <c r="Q106" s="260" t="s">
        <v>2489</v>
      </c>
      <c r="R106" s="261">
        <f>COUNTIFS(Başvuru!$C:$C,Q106,Başvuru!$F:$F,"&lt;&gt;"&amp;"")</f>
        <v>1</v>
      </c>
      <c r="S106" s="261">
        <f>RANK(R106,$R$6:$R$290,0)+COUNTIF($R$6:R106,R106)-1</f>
        <v>176</v>
      </c>
    </row>
    <row r="107" spans="2:19" ht="15" customHeight="1" x14ac:dyDescent="0.25">
      <c r="B107" s="262">
        <v>102</v>
      </c>
      <c r="C107" s="263" t="str">
        <f>IFERROR(INDEX($Q$6:$Q$290,MATCH(102,$S$6:$S$290,0)),"")</f>
        <v>Prof. Dr. Hatice Yasemin BALABAN</v>
      </c>
      <c r="D107" s="264">
        <f>IF(C107="","",COUNTIFS(Başvuru!$C:$C,C107,Başvuru!$F:$F,"&lt;&gt;"&amp;""))</f>
        <v>2</v>
      </c>
      <c r="E107" s="262" t="str">
        <f>IF(D107&gt;0,TEXT(D107/COUNTIF(Başvuru!$F:$F,"&lt;&gt;"&amp;"")*100,"0.0")&amp;"%","-")</f>
        <v>00%</v>
      </c>
      <c r="F107" s="265">
        <f>IF(C107="","",COUNTIFS(Başvuru!$C:$C,C107,Başvuru!$G:$G,"Bireysel Araştırma",Başvuru!$F:$F,"&lt;&gt;"&amp;""))</f>
        <v>2</v>
      </c>
      <c r="G107" s="265">
        <f>IF(C107="","",COUNTIFS(Başvuru!$C:$C,C107,Başvuru!$G:$G,"Uzmanlık Tezi",Başvuru!$F:$F,"&lt;&gt;"&amp;""))</f>
        <v>0</v>
      </c>
      <c r="H107" s="265">
        <f>IF(C107="","",COUNTIFS(Başvuru!$C:$C,C107,Başvuru!$G:$G,"Doktora Tezi",Başvuru!$F:$F,"&lt;&gt;"&amp;""))</f>
        <v>0</v>
      </c>
      <c r="I107" s="265">
        <f>IF(C107="","",COUNTIFS(Başvuru!$C:$C,C107,Başvuru!$G:$G,"Yüksek Lisans Tezi",Başvuru!$F:$F,"&lt;&gt;"&amp;""))</f>
        <v>0</v>
      </c>
      <c r="J107" s="266">
        <f>IF(C107="","",COUNTIFS(Başvuru!$C:$C,C107,Başvuru!$L:$L,"ONAY",Başvuru!$F:$F,"&lt;&gt;"&amp;""))</f>
        <v>0</v>
      </c>
      <c r="K107" s="267">
        <f>IF(C107="","",COUNTIFS(Başvuru!$C:$C,C107,Başvuru!$L:$L,"DÜZELTME",Başvuru!$F:$F,"&lt;&gt;"&amp;""))</f>
        <v>2</v>
      </c>
      <c r="L107" s="268">
        <f>IF(C107="","",COUNTIFS(Başvuru!$C:$C,C107,Başvuru!$L:$L,"KAEK",Başvuru!$F:$F,"&lt;&gt;"&amp;""))</f>
        <v>0</v>
      </c>
      <c r="M107" s="269">
        <f>IF(C107="","",COUNTIFS(Başvuru!$C:$C,C107,Başvuru!$L:$L,"GÖRÜŞ",Başvuru!$F:$F,"&lt;&gt;"&amp;""))</f>
        <v>0</v>
      </c>
      <c r="N107" s="270">
        <f>IF(C107="","",COUNTIFS(Başvuru!$C:$C,C107,Başvuru!$L:$L,"RET",Başvuru!$F:$F,"&lt;&gt;"&amp;""))</f>
        <v>0</v>
      </c>
      <c r="O107" s="271">
        <f>IF(C107="","",COUNTIFS(Başvuru!$C:$C,C107,Başvuru!$L:$L,"KAPSAM DIŞI",Başvuru!$F:$F,"&lt;&gt;"&amp;""))</f>
        <v>0</v>
      </c>
      <c r="P107" s="272">
        <f>IF(C107="","",COUNTIFS(Başvuru!$C:$C,C107,Başvuru!$L:$L,"GERİ ÇEKİLDİ",Başvuru!$F:$F,"&lt;&gt;"&amp;""))</f>
        <v>0</v>
      </c>
      <c r="Q107" s="260" t="s">
        <v>447</v>
      </c>
      <c r="R107" s="261">
        <f>COUNTIFS(Başvuru!$C:$C,Q107,Başvuru!$F:$F,"&lt;&gt;"&amp;"")</f>
        <v>4</v>
      </c>
      <c r="S107" s="261">
        <f>RANK(R107,$R$6:$R$290,0)+COUNTIF($R$6:R107,R107)-1</f>
        <v>28</v>
      </c>
    </row>
    <row r="108" spans="2:19" ht="15" customHeight="1" x14ac:dyDescent="0.25">
      <c r="B108" s="249">
        <v>103</v>
      </c>
      <c r="C108" s="250" t="str">
        <f>IFERROR(INDEX($Q$6:$Q$290,MATCH(103,$S$6:$S$290,0)),"")</f>
        <v>Prof. Dr. Hikmet YORGUN</v>
      </c>
      <c r="D108" s="251">
        <f>IF(C108="","",COUNTIFS(Başvuru!$C:$C,C108,Başvuru!$F:$F,"&lt;&gt;"&amp;""))</f>
        <v>2</v>
      </c>
      <c r="E108" s="249" t="str">
        <f>IF(D108&gt;0,TEXT(D108/COUNTIF(Başvuru!$F:$F,"&lt;&gt;"&amp;"")*100,"0.0")&amp;"%","-")</f>
        <v>00%</v>
      </c>
      <c r="F108" s="252">
        <f>IF(C108="","",COUNTIFS(Başvuru!$C:$C,C108,Başvuru!$G:$G,"Bireysel Araştırma",Başvuru!$F:$F,"&lt;&gt;"&amp;""))</f>
        <v>1</v>
      </c>
      <c r="G108" s="252">
        <f>IF(C108="","",COUNTIFS(Başvuru!$C:$C,C108,Başvuru!$G:$G,"Uzmanlık Tezi",Başvuru!$F:$F,"&lt;&gt;"&amp;""))</f>
        <v>1</v>
      </c>
      <c r="H108" s="252">
        <f>IF(C108="","",COUNTIFS(Başvuru!$C:$C,C108,Başvuru!$G:$G,"Doktora Tezi",Başvuru!$F:$F,"&lt;&gt;"&amp;""))</f>
        <v>0</v>
      </c>
      <c r="I108" s="252">
        <f>IF(C108="","",COUNTIFS(Başvuru!$C:$C,C108,Başvuru!$G:$G,"Yüksek Lisans Tezi",Başvuru!$F:$F,"&lt;&gt;"&amp;""))</f>
        <v>0</v>
      </c>
      <c r="J108" s="253">
        <f>IF(C108="","",COUNTIFS(Başvuru!$C:$C,C108,Başvuru!$L:$L,"ONAY",Başvuru!$F:$F,"&lt;&gt;"&amp;""))</f>
        <v>1</v>
      </c>
      <c r="K108" s="254">
        <f>IF(C108="","",COUNTIFS(Başvuru!$C:$C,C108,Başvuru!$L:$L,"DÜZELTME",Başvuru!$F:$F,"&lt;&gt;"&amp;""))</f>
        <v>0</v>
      </c>
      <c r="L108" s="255">
        <f>IF(C108="","",COUNTIFS(Başvuru!$C:$C,C108,Başvuru!$L:$L,"KAEK",Başvuru!$F:$F,"&lt;&gt;"&amp;""))</f>
        <v>0</v>
      </c>
      <c r="M108" s="256">
        <f>IF(C108="","",COUNTIFS(Başvuru!$C:$C,C108,Başvuru!$L:$L,"GÖRÜŞ",Başvuru!$F:$F,"&lt;&gt;"&amp;""))</f>
        <v>0</v>
      </c>
      <c r="N108" s="257">
        <f>IF(C108="","",COUNTIFS(Başvuru!$C:$C,C108,Başvuru!$L:$L,"RET",Başvuru!$F:$F,"&lt;&gt;"&amp;""))</f>
        <v>0</v>
      </c>
      <c r="O108" s="258">
        <f>IF(C108="","",COUNTIFS(Başvuru!$C:$C,C108,Başvuru!$L:$L,"KAPSAM DIŞI",Başvuru!$F:$F,"&lt;&gt;"&amp;""))</f>
        <v>0</v>
      </c>
      <c r="P108" s="259">
        <f>IF(C108="","",COUNTIFS(Başvuru!$C:$C,C108,Başvuru!$L:$L,"GERİ ÇEKİLDİ",Başvuru!$F:$F,"&lt;&gt;"&amp;""))</f>
        <v>0</v>
      </c>
      <c r="Q108" s="260" t="s">
        <v>637</v>
      </c>
      <c r="R108" s="261">
        <f>COUNTIFS(Başvuru!$C:$C,Q108,Başvuru!$F:$F,"&lt;&gt;"&amp;"")</f>
        <v>1</v>
      </c>
      <c r="S108" s="261">
        <f>RANK(R108,$R$6:$R$290,0)+COUNTIF($R$6:R108,R108)-1</f>
        <v>177</v>
      </c>
    </row>
    <row r="109" spans="2:19" ht="15" customHeight="1" x14ac:dyDescent="0.25">
      <c r="B109" s="262">
        <v>104</v>
      </c>
      <c r="C109" s="263" t="str">
        <f>IFERROR(INDEX($Q$6:$Q$290,MATCH(104,$S$6:$S$290,0)),"")</f>
        <v>Prof. Dr. Hüseyin Gencay KEÇELİ</v>
      </c>
      <c r="D109" s="264">
        <f>IF(C109="","",COUNTIFS(Başvuru!$C:$C,C109,Başvuru!$F:$F,"&lt;&gt;"&amp;""))</f>
        <v>2</v>
      </c>
      <c r="E109" s="262" t="str">
        <f>IF(D109&gt;0,TEXT(D109/COUNTIF(Başvuru!$F:$F,"&lt;&gt;"&amp;"")*100,"0.0")&amp;"%","-")</f>
        <v>00%</v>
      </c>
      <c r="F109" s="265">
        <f>IF(C109="","",COUNTIFS(Başvuru!$C:$C,C109,Başvuru!$G:$G,"Bireysel Araştırma",Başvuru!$F:$F,"&lt;&gt;"&amp;""))</f>
        <v>1</v>
      </c>
      <c r="G109" s="265">
        <f>IF(C109="","",COUNTIFS(Başvuru!$C:$C,C109,Başvuru!$G:$G,"Uzmanlık Tezi",Başvuru!$F:$F,"&lt;&gt;"&amp;""))</f>
        <v>1</v>
      </c>
      <c r="H109" s="265">
        <f>IF(C109="","",COUNTIFS(Başvuru!$C:$C,C109,Başvuru!$G:$G,"Doktora Tezi",Başvuru!$F:$F,"&lt;&gt;"&amp;""))</f>
        <v>0</v>
      </c>
      <c r="I109" s="265">
        <f>IF(C109="","",COUNTIFS(Başvuru!$C:$C,C109,Başvuru!$G:$G,"Yüksek Lisans Tezi",Başvuru!$F:$F,"&lt;&gt;"&amp;""))</f>
        <v>0</v>
      </c>
      <c r="J109" s="266">
        <f>IF(C109="","",COUNTIFS(Başvuru!$C:$C,C109,Başvuru!$L:$L,"ONAY",Başvuru!$F:$F,"&lt;&gt;"&amp;""))</f>
        <v>1</v>
      </c>
      <c r="K109" s="267">
        <f>IF(C109="","",COUNTIFS(Başvuru!$C:$C,C109,Başvuru!$L:$L,"DÜZELTME",Başvuru!$F:$F,"&lt;&gt;"&amp;""))</f>
        <v>0</v>
      </c>
      <c r="L109" s="268">
        <f>IF(C109="","",COUNTIFS(Başvuru!$C:$C,C109,Başvuru!$L:$L,"KAEK",Başvuru!$F:$F,"&lt;&gt;"&amp;""))</f>
        <v>0</v>
      </c>
      <c r="M109" s="269">
        <f>IF(C109="","",COUNTIFS(Başvuru!$C:$C,C109,Başvuru!$L:$L,"GÖRÜŞ",Başvuru!$F:$F,"&lt;&gt;"&amp;""))</f>
        <v>0</v>
      </c>
      <c r="N109" s="270">
        <f>IF(C109="","",COUNTIFS(Başvuru!$C:$C,C109,Başvuru!$L:$L,"RET",Başvuru!$F:$F,"&lt;&gt;"&amp;""))</f>
        <v>0</v>
      </c>
      <c r="O109" s="271">
        <f>IF(C109="","",COUNTIFS(Başvuru!$C:$C,C109,Başvuru!$L:$L,"KAPSAM DIŞI",Başvuru!$F:$F,"&lt;&gt;"&amp;""))</f>
        <v>0</v>
      </c>
      <c r="P109" s="272">
        <f>IF(C109="","",COUNTIFS(Başvuru!$C:$C,C109,Başvuru!$L:$L,"GERİ ÇEKİLDİ",Başvuru!$F:$F,"&lt;&gt;"&amp;""))</f>
        <v>0</v>
      </c>
      <c r="Q109" s="260" t="s">
        <v>1595</v>
      </c>
      <c r="R109" s="261">
        <f>COUNTIFS(Başvuru!$C:$C,Q109,Başvuru!$F:$F,"&lt;&gt;"&amp;"")</f>
        <v>1</v>
      </c>
      <c r="S109" s="261">
        <f>RANK(R109,$R$6:$R$290,0)+COUNTIF($R$6:R109,R109)-1</f>
        <v>178</v>
      </c>
    </row>
    <row r="110" spans="2:19" ht="15" customHeight="1" x14ac:dyDescent="0.25">
      <c r="B110" s="249">
        <v>105</v>
      </c>
      <c r="C110" s="250" t="str">
        <f>IFERROR(INDEX($Q$6:$Q$290,MATCH(105,$S$6:$S$290,0)),"")</f>
        <v>Prof. Dr. Meryem Aslı TUNCER</v>
      </c>
      <c r="D110" s="251">
        <f>IF(C110="","",COUNTIFS(Başvuru!$C:$C,C110,Başvuru!$F:$F,"&lt;&gt;"&amp;""))</f>
        <v>2</v>
      </c>
      <c r="E110" s="249" t="str">
        <f>IF(D110&gt;0,TEXT(D110/COUNTIF(Başvuru!$F:$F,"&lt;&gt;"&amp;"")*100,"0.0")&amp;"%","-")</f>
        <v>00%</v>
      </c>
      <c r="F110" s="252">
        <f>IF(C110="","",COUNTIFS(Başvuru!$C:$C,C110,Başvuru!$G:$G,"Bireysel Araştırma",Başvuru!$F:$F,"&lt;&gt;"&amp;""))</f>
        <v>0</v>
      </c>
      <c r="G110" s="252">
        <f>IF(C110="","",COUNTIFS(Başvuru!$C:$C,C110,Başvuru!$G:$G,"Uzmanlık Tezi",Başvuru!$F:$F,"&lt;&gt;"&amp;""))</f>
        <v>2</v>
      </c>
      <c r="H110" s="252">
        <f>IF(C110="","",COUNTIFS(Başvuru!$C:$C,C110,Başvuru!$G:$G,"Doktora Tezi",Başvuru!$F:$F,"&lt;&gt;"&amp;""))</f>
        <v>0</v>
      </c>
      <c r="I110" s="252">
        <f>IF(C110="","",COUNTIFS(Başvuru!$C:$C,C110,Başvuru!$G:$G,"Yüksek Lisans Tezi",Başvuru!$F:$F,"&lt;&gt;"&amp;""))</f>
        <v>0</v>
      </c>
      <c r="J110" s="253">
        <f>IF(C110="","",COUNTIFS(Başvuru!$C:$C,C110,Başvuru!$L:$L,"ONAY",Başvuru!$F:$F,"&lt;&gt;"&amp;""))</f>
        <v>0</v>
      </c>
      <c r="K110" s="254">
        <f>IF(C110="","",COUNTIFS(Başvuru!$C:$C,C110,Başvuru!$L:$L,"DÜZELTME",Başvuru!$F:$F,"&lt;&gt;"&amp;""))</f>
        <v>1</v>
      </c>
      <c r="L110" s="255">
        <f>IF(C110="","",COUNTIFS(Başvuru!$C:$C,C110,Başvuru!$L:$L,"KAEK",Başvuru!$F:$F,"&lt;&gt;"&amp;""))</f>
        <v>0</v>
      </c>
      <c r="M110" s="256">
        <f>IF(C110="","",COUNTIFS(Başvuru!$C:$C,C110,Başvuru!$L:$L,"GÖRÜŞ",Başvuru!$F:$F,"&lt;&gt;"&amp;""))</f>
        <v>0</v>
      </c>
      <c r="N110" s="257">
        <f>IF(C110="","",COUNTIFS(Başvuru!$C:$C,C110,Başvuru!$L:$L,"RET",Başvuru!$F:$F,"&lt;&gt;"&amp;""))</f>
        <v>0</v>
      </c>
      <c r="O110" s="258">
        <f>IF(C110="","",COUNTIFS(Başvuru!$C:$C,C110,Başvuru!$L:$L,"KAPSAM DIŞI",Başvuru!$F:$F,"&lt;&gt;"&amp;""))</f>
        <v>0</v>
      </c>
      <c r="P110" s="259">
        <f>IF(C110="","",COUNTIFS(Başvuru!$C:$C,C110,Başvuru!$L:$L,"GERİ ÇEKİLDİ",Başvuru!$F:$F,"&lt;&gt;"&amp;""))</f>
        <v>0</v>
      </c>
      <c r="Q110" s="260" t="s">
        <v>2469</v>
      </c>
      <c r="R110" s="261">
        <f>COUNTIFS(Başvuru!$C:$C,Q110,Başvuru!$F:$F,"&lt;&gt;"&amp;"")</f>
        <v>1</v>
      </c>
      <c r="S110" s="261">
        <f>RANK(R110,$R$6:$R$290,0)+COUNTIF($R$6:R110,R110)-1</f>
        <v>179</v>
      </c>
    </row>
    <row r="111" spans="2:19" ht="15" customHeight="1" x14ac:dyDescent="0.25">
      <c r="B111" s="262">
        <v>106</v>
      </c>
      <c r="C111" s="263" t="str">
        <f>IFERROR(INDEX($Q$6:$Q$290,MATCH(106,$S$6:$S$290,0)),"")</f>
        <v>Prof. Dr. Murat TUNCEL</v>
      </c>
      <c r="D111" s="264">
        <f>IF(C111="","",COUNTIFS(Başvuru!$C:$C,C111,Başvuru!$F:$F,"&lt;&gt;"&amp;""))</f>
        <v>2</v>
      </c>
      <c r="E111" s="262" t="str">
        <f>IF(D111&gt;0,TEXT(D111/COUNTIF(Başvuru!$F:$F,"&lt;&gt;"&amp;"")*100,"0.0")&amp;"%","-")</f>
        <v>00%</v>
      </c>
      <c r="F111" s="265">
        <f>IF(C111="","",COUNTIFS(Başvuru!$C:$C,C111,Başvuru!$G:$G,"Bireysel Araştırma",Başvuru!$F:$F,"&lt;&gt;"&amp;""))</f>
        <v>1</v>
      </c>
      <c r="G111" s="265">
        <f>IF(C111="","",COUNTIFS(Başvuru!$C:$C,C111,Başvuru!$G:$G,"Uzmanlık Tezi",Başvuru!$F:$F,"&lt;&gt;"&amp;""))</f>
        <v>1</v>
      </c>
      <c r="H111" s="265">
        <f>IF(C111="","",COUNTIFS(Başvuru!$C:$C,C111,Başvuru!$G:$G,"Doktora Tezi",Başvuru!$F:$F,"&lt;&gt;"&amp;""))</f>
        <v>0</v>
      </c>
      <c r="I111" s="265">
        <f>IF(C111="","",COUNTIFS(Başvuru!$C:$C,C111,Başvuru!$G:$G,"Yüksek Lisans Tezi",Başvuru!$F:$F,"&lt;&gt;"&amp;""))</f>
        <v>0</v>
      </c>
      <c r="J111" s="266">
        <f>IF(C111="","",COUNTIFS(Başvuru!$C:$C,C111,Başvuru!$L:$L,"ONAY",Başvuru!$F:$F,"&lt;&gt;"&amp;""))</f>
        <v>1</v>
      </c>
      <c r="K111" s="267">
        <f>IF(C111="","",COUNTIFS(Başvuru!$C:$C,C111,Başvuru!$L:$L,"DÜZELTME",Başvuru!$F:$F,"&lt;&gt;"&amp;""))</f>
        <v>0</v>
      </c>
      <c r="L111" s="268">
        <f>IF(C111="","",COUNTIFS(Başvuru!$C:$C,C111,Başvuru!$L:$L,"KAEK",Başvuru!$F:$F,"&lt;&gt;"&amp;""))</f>
        <v>0</v>
      </c>
      <c r="M111" s="269">
        <f>IF(C111="","",COUNTIFS(Başvuru!$C:$C,C111,Başvuru!$L:$L,"GÖRÜŞ",Başvuru!$F:$F,"&lt;&gt;"&amp;""))</f>
        <v>0</v>
      </c>
      <c r="N111" s="270">
        <f>IF(C111="","",COUNTIFS(Başvuru!$C:$C,C111,Başvuru!$L:$L,"RET",Başvuru!$F:$F,"&lt;&gt;"&amp;""))</f>
        <v>1</v>
      </c>
      <c r="O111" s="271">
        <f>IF(C111="","",COUNTIFS(Başvuru!$C:$C,C111,Başvuru!$L:$L,"KAPSAM DIŞI",Başvuru!$F:$F,"&lt;&gt;"&amp;""))</f>
        <v>0</v>
      </c>
      <c r="P111" s="272">
        <f>IF(C111="","",COUNTIFS(Başvuru!$C:$C,C111,Başvuru!$L:$L,"GERİ ÇEKİLDİ",Başvuru!$F:$F,"&lt;&gt;"&amp;""))</f>
        <v>0</v>
      </c>
      <c r="Q111" s="260" t="s">
        <v>1720</v>
      </c>
      <c r="R111" s="261">
        <f>COUNTIFS(Başvuru!$C:$C,Q111,Başvuru!$F:$F,"&lt;&gt;"&amp;"")</f>
        <v>4</v>
      </c>
      <c r="S111" s="261">
        <f>RANK(R111,$R$6:$R$290,0)+COUNTIF($R$6:R111,R111)-1</f>
        <v>29</v>
      </c>
    </row>
    <row r="112" spans="2:19" ht="15" customHeight="1" x14ac:dyDescent="0.25">
      <c r="B112" s="249">
        <v>107</v>
      </c>
      <c r="C112" s="250" t="str">
        <f>IFERROR(INDEX($Q$6:$Q$290,MATCH(107,$S$6:$S$290,0)),"")</f>
        <v>Prof. Dr. Nagehan EMİRALİOĞLU ORDUKAYA</v>
      </c>
      <c r="D112" s="251">
        <f>IF(C112="","",COUNTIFS(Başvuru!$C:$C,C112,Başvuru!$F:$F,"&lt;&gt;"&amp;""))</f>
        <v>2</v>
      </c>
      <c r="E112" s="249" t="str">
        <f>IF(D112&gt;0,TEXT(D112/COUNTIF(Başvuru!$F:$F,"&lt;&gt;"&amp;"")*100,"0.0")&amp;"%","-")</f>
        <v>00%</v>
      </c>
      <c r="F112" s="252">
        <f>IF(C112="","",COUNTIFS(Başvuru!$C:$C,C112,Başvuru!$G:$G,"Bireysel Araştırma",Başvuru!$F:$F,"&lt;&gt;"&amp;""))</f>
        <v>1</v>
      </c>
      <c r="G112" s="252">
        <f>IF(C112="","",COUNTIFS(Başvuru!$C:$C,C112,Başvuru!$G:$G,"Uzmanlık Tezi",Başvuru!$F:$F,"&lt;&gt;"&amp;""))</f>
        <v>1</v>
      </c>
      <c r="H112" s="252">
        <f>IF(C112="","",COUNTIFS(Başvuru!$C:$C,C112,Başvuru!$G:$G,"Doktora Tezi",Başvuru!$F:$F,"&lt;&gt;"&amp;""))</f>
        <v>0</v>
      </c>
      <c r="I112" s="252">
        <f>IF(C112="","",COUNTIFS(Başvuru!$C:$C,C112,Başvuru!$G:$G,"Yüksek Lisans Tezi",Başvuru!$F:$F,"&lt;&gt;"&amp;""))</f>
        <v>0</v>
      </c>
      <c r="J112" s="253">
        <f>IF(C112="","",COUNTIFS(Başvuru!$C:$C,C112,Başvuru!$L:$L,"ONAY",Başvuru!$F:$F,"&lt;&gt;"&amp;""))</f>
        <v>1</v>
      </c>
      <c r="K112" s="254">
        <f>IF(C112="","",COUNTIFS(Başvuru!$C:$C,C112,Başvuru!$L:$L,"DÜZELTME",Başvuru!$F:$F,"&lt;&gt;"&amp;""))</f>
        <v>0</v>
      </c>
      <c r="L112" s="255">
        <f>IF(C112="","",COUNTIFS(Başvuru!$C:$C,C112,Başvuru!$L:$L,"KAEK",Başvuru!$F:$F,"&lt;&gt;"&amp;""))</f>
        <v>0</v>
      </c>
      <c r="M112" s="256">
        <f>IF(C112="","",COUNTIFS(Başvuru!$C:$C,C112,Başvuru!$L:$L,"GÖRÜŞ",Başvuru!$F:$F,"&lt;&gt;"&amp;""))</f>
        <v>0</v>
      </c>
      <c r="N112" s="257">
        <f>IF(C112="","",COUNTIFS(Başvuru!$C:$C,C112,Başvuru!$L:$L,"RET",Başvuru!$F:$F,"&lt;&gt;"&amp;""))</f>
        <v>0</v>
      </c>
      <c r="O112" s="258">
        <f>IF(C112="","",COUNTIFS(Başvuru!$C:$C,C112,Başvuru!$L:$L,"KAPSAM DIŞI",Başvuru!$F:$F,"&lt;&gt;"&amp;""))</f>
        <v>0</v>
      </c>
      <c r="P112" s="259">
        <f>IF(C112="","",COUNTIFS(Başvuru!$C:$C,C112,Başvuru!$L:$L,"GERİ ÇEKİLDİ",Başvuru!$F:$F,"&lt;&gt;"&amp;""))</f>
        <v>0</v>
      </c>
      <c r="Q112" s="260" t="s">
        <v>828</v>
      </c>
      <c r="R112" s="261">
        <f>COUNTIFS(Başvuru!$C:$C,Q112,Başvuru!$F:$F,"&lt;&gt;"&amp;"")</f>
        <v>3</v>
      </c>
      <c r="S112" s="261">
        <f>RANK(R112,$R$6:$R$290,0)+COUNTIF($R$6:R112,R112)-1</f>
        <v>45</v>
      </c>
    </row>
    <row r="113" spans="2:19" ht="15" customHeight="1" x14ac:dyDescent="0.25">
      <c r="B113" s="262">
        <v>108</v>
      </c>
      <c r="C113" s="263" t="str">
        <f>IFERROR(INDEX($Q$6:$Q$290,MATCH(108,$S$6:$S$290,0)),"")</f>
        <v>Prof. Dr. Okan Bülent YILDIZ</v>
      </c>
      <c r="D113" s="264">
        <f>IF(C113="","",COUNTIFS(Başvuru!$C:$C,C113,Başvuru!$F:$F,"&lt;&gt;"&amp;""))</f>
        <v>2</v>
      </c>
      <c r="E113" s="262" t="str">
        <f>IF(D113&gt;0,TEXT(D113/COUNTIF(Başvuru!$F:$F,"&lt;&gt;"&amp;"")*100,"0.0")&amp;"%","-")</f>
        <v>00%</v>
      </c>
      <c r="F113" s="265">
        <f>IF(C113="","",COUNTIFS(Başvuru!$C:$C,C113,Başvuru!$G:$G,"Bireysel Araştırma",Başvuru!$F:$F,"&lt;&gt;"&amp;""))</f>
        <v>2</v>
      </c>
      <c r="G113" s="265">
        <f>IF(C113="","",COUNTIFS(Başvuru!$C:$C,C113,Başvuru!$G:$G,"Uzmanlık Tezi",Başvuru!$F:$F,"&lt;&gt;"&amp;""))</f>
        <v>0</v>
      </c>
      <c r="H113" s="265">
        <f>IF(C113="","",COUNTIFS(Başvuru!$C:$C,C113,Başvuru!$G:$G,"Doktora Tezi",Başvuru!$F:$F,"&lt;&gt;"&amp;""))</f>
        <v>0</v>
      </c>
      <c r="I113" s="265">
        <f>IF(C113="","",COUNTIFS(Başvuru!$C:$C,C113,Başvuru!$G:$G,"Yüksek Lisans Tezi",Başvuru!$F:$F,"&lt;&gt;"&amp;""))</f>
        <v>0</v>
      </c>
      <c r="J113" s="266">
        <f>IF(C113="","",COUNTIFS(Başvuru!$C:$C,C113,Başvuru!$L:$L,"ONAY",Başvuru!$F:$F,"&lt;&gt;"&amp;""))</f>
        <v>0</v>
      </c>
      <c r="K113" s="267">
        <f>IF(C113="","",COUNTIFS(Başvuru!$C:$C,C113,Başvuru!$L:$L,"DÜZELTME",Başvuru!$F:$F,"&lt;&gt;"&amp;""))</f>
        <v>2</v>
      </c>
      <c r="L113" s="268">
        <f>IF(C113="","",COUNTIFS(Başvuru!$C:$C,C113,Başvuru!$L:$L,"KAEK",Başvuru!$F:$F,"&lt;&gt;"&amp;""))</f>
        <v>0</v>
      </c>
      <c r="M113" s="269">
        <f>IF(C113="","",COUNTIFS(Başvuru!$C:$C,C113,Başvuru!$L:$L,"GÖRÜŞ",Başvuru!$F:$F,"&lt;&gt;"&amp;""))</f>
        <v>0</v>
      </c>
      <c r="N113" s="270">
        <f>IF(C113="","",COUNTIFS(Başvuru!$C:$C,C113,Başvuru!$L:$L,"RET",Başvuru!$F:$F,"&lt;&gt;"&amp;""))</f>
        <v>0</v>
      </c>
      <c r="O113" s="271">
        <f>IF(C113="","",COUNTIFS(Başvuru!$C:$C,C113,Başvuru!$L:$L,"KAPSAM DIŞI",Başvuru!$F:$F,"&lt;&gt;"&amp;""))</f>
        <v>0</v>
      </c>
      <c r="P113" s="272">
        <f>IF(C113="","",COUNTIFS(Başvuru!$C:$C,C113,Başvuru!$L:$L,"GERİ ÇEKİLDİ",Başvuru!$F:$F,"&lt;&gt;"&amp;""))</f>
        <v>0</v>
      </c>
      <c r="Q113" s="260" t="s">
        <v>2249</v>
      </c>
      <c r="R113" s="261">
        <f>COUNTIFS(Başvuru!$C:$C,Q113,Başvuru!$F:$F,"&lt;&gt;"&amp;"")</f>
        <v>1</v>
      </c>
      <c r="S113" s="261">
        <f>RANK(R113,$R$6:$R$290,0)+COUNTIF($R$6:R113,R113)-1</f>
        <v>180</v>
      </c>
    </row>
    <row r="114" spans="2:19" ht="15" customHeight="1" x14ac:dyDescent="0.25">
      <c r="B114" s="249">
        <v>109</v>
      </c>
      <c r="C114" s="250" t="str">
        <f>IFERROR(INDEX($Q$6:$Q$290,MATCH(109,$S$6:$S$290,0)),"")</f>
        <v>Prof. Dr. Salih AKSU</v>
      </c>
      <c r="D114" s="251">
        <f>IF(C114="","",COUNTIFS(Başvuru!$C:$C,C114,Başvuru!$F:$F,"&lt;&gt;"&amp;""))</f>
        <v>2</v>
      </c>
      <c r="E114" s="249" t="str">
        <f>IF(D114&gt;0,TEXT(D114/COUNTIF(Başvuru!$F:$F,"&lt;&gt;"&amp;"")*100,"0.0")&amp;"%","-")</f>
        <v>00%</v>
      </c>
      <c r="F114" s="252">
        <f>IF(C114="","",COUNTIFS(Başvuru!$C:$C,C114,Başvuru!$G:$G,"Bireysel Araştırma",Başvuru!$F:$F,"&lt;&gt;"&amp;""))</f>
        <v>2</v>
      </c>
      <c r="G114" s="252">
        <f>IF(C114="","",COUNTIFS(Başvuru!$C:$C,C114,Başvuru!$G:$G,"Uzmanlık Tezi",Başvuru!$F:$F,"&lt;&gt;"&amp;""))</f>
        <v>0</v>
      </c>
      <c r="H114" s="252">
        <f>IF(C114="","",COUNTIFS(Başvuru!$C:$C,C114,Başvuru!$G:$G,"Doktora Tezi",Başvuru!$F:$F,"&lt;&gt;"&amp;""))</f>
        <v>0</v>
      </c>
      <c r="I114" s="252">
        <f>IF(C114="","",COUNTIFS(Başvuru!$C:$C,C114,Başvuru!$G:$G,"Yüksek Lisans Tezi",Başvuru!$F:$F,"&lt;&gt;"&amp;""))</f>
        <v>0</v>
      </c>
      <c r="J114" s="253">
        <f>IF(C114="","",COUNTIFS(Başvuru!$C:$C,C114,Başvuru!$L:$L,"ONAY",Başvuru!$F:$F,"&lt;&gt;"&amp;""))</f>
        <v>2</v>
      </c>
      <c r="K114" s="254">
        <f>IF(C114="","",COUNTIFS(Başvuru!$C:$C,C114,Başvuru!$L:$L,"DÜZELTME",Başvuru!$F:$F,"&lt;&gt;"&amp;""))</f>
        <v>0</v>
      </c>
      <c r="L114" s="255">
        <f>IF(C114="","",COUNTIFS(Başvuru!$C:$C,C114,Başvuru!$L:$L,"KAEK",Başvuru!$F:$F,"&lt;&gt;"&amp;""))</f>
        <v>0</v>
      </c>
      <c r="M114" s="256">
        <f>IF(C114="","",COUNTIFS(Başvuru!$C:$C,C114,Başvuru!$L:$L,"GÖRÜŞ",Başvuru!$F:$F,"&lt;&gt;"&amp;""))</f>
        <v>0</v>
      </c>
      <c r="N114" s="257">
        <f>IF(C114="","",COUNTIFS(Başvuru!$C:$C,C114,Başvuru!$L:$L,"RET",Başvuru!$F:$F,"&lt;&gt;"&amp;""))</f>
        <v>0</v>
      </c>
      <c r="O114" s="258">
        <f>IF(C114="","",COUNTIFS(Başvuru!$C:$C,C114,Başvuru!$L:$L,"KAPSAM DIŞI",Başvuru!$F:$F,"&lt;&gt;"&amp;""))</f>
        <v>0</v>
      </c>
      <c r="P114" s="259">
        <f>IF(C114="","",COUNTIFS(Başvuru!$C:$C,C114,Başvuru!$L:$L,"GERİ ÇEKİLDİ",Başvuru!$F:$F,"&lt;&gt;"&amp;""))</f>
        <v>0</v>
      </c>
      <c r="Q114" s="260" t="s">
        <v>804</v>
      </c>
      <c r="R114" s="261">
        <f>COUNTIFS(Başvuru!$C:$C,Q114,Başvuru!$F:$F,"&lt;&gt;"&amp;"")</f>
        <v>1</v>
      </c>
      <c r="S114" s="261">
        <f>RANK(R114,$R$6:$R$290,0)+COUNTIF($R$6:R114,R114)-1</f>
        <v>181</v>
      </c>
    </row>
    <row r="115" spans="2:19" ht="15" customHeight="1" x14ac:dyDescent="0.25">
      <c r="B115" s="262">
        <v>110</v>
      </c>
      <c r="C115" s="263" t="str">
        <f>IFERROR(INDEX($Q$6:$Q$290,MATCH(110,$S$6:$S$290,0)),"")</f>
        <v>Prof. Dr. Serdar TEKGÜL</v>
      </c>
      <c r="D115" s="264">
        <f>IF(C115="","",COUNTIFS(Başvuru!$C:$C,C115,Başvuru!$F:$F,"&lt;&gt;"&amp;""))</f>
        <v>2</v>
      </c>
      <c r="E115" s="262" t="str">
        <f>IF(D115&gt;0,TEXT(D115/COUNTIF(Başvuru!$F:$F,"&lt;&gt;"&amp;"")*100,"0.0")&amp;"%","-")</f>
        <v>00%</v>
      </c>
      <c r="F115" s="265">
        <f>IF(C115="","",COUNTIFS(Başvuru!$C:$C,C115,Başvuru!$G:$G,"Bireysel Araştırma",Başvuru!$F:$F,"&lt;&gt;"&amp;""))</f>
        <v>2</v>
      </c>
      <c r="G115" s="265">
        <f>IF(C115="","",COUNTIFS(Başvuru!$C:$C,C115,Başvuru!$G:$G,"Uzmanlık Tezi",Başvuru!$F:$F,"&lt;&gt;"&amp;""))</f>
        <v>0</v>
      </c>
      <c r="H115" s="265">
        <f>IF(C115="","",COUNTIFS(Başvuru!$C:$C,C115,Başvuru!$G:$G,"Doktora Tezi",Başvuru!$F:$F,"&lt;&gt;"&amp;""))</f>
        <v>0</v>
      </c>
      <c r="I115" s="265">
        <f>IF(C115="","",COUNTIFS(Başvuru!$C:$C,C115,Başvuru!$G:$G,"Yüksek Lisans Tezi",Başvuru!$F:$F,"&lt;&gt;"&amp;""))</f>
        <v>0</v>
      </c>
      <c r="J115" s="266">
        <f>IF(C115="","",COUNTIFS(Başvuru!$C:$C,C115,Başvuru!$L:$L,"ONAY",Başvuru!$F:$F,"&lt;&gt;"&amp;""))</f>
        <v>1</v>
      </c>
      <c r="K115" s="267">
        <f>IF(C115="","",COUNTIFS(Başvuru!$C:$C,C115,Başvuru!$L:$L,"DÜZELTME",Başvuru!$F:$F,"&lt;&gt;"&amp;""))</f>
        <v>0</v>
      </c>
      <c r="L115" s="268">
        <f>IF(C115="","",COUNTIFS(Başvuru!$C:$C,C115,Başvuru!$L:$L,"KAEK",Başvuru!$F:$F,"&lt;&gt;"&amp;""))</f>
        <v>0</v>
      </c>
      <c r="M115" s="269">
        <f>IF(C115="","",COUNTIFS(Başvuru!$C:$C,C115,Başvuru!$L:$L,"GÖRÜŞ",Başvuru!$F:$F,"&lt;&gt;"&amp;""))</f>
        <v>0</v>
      </c>
      <c r="N115" s="270">
        <f>IF(C115="","",COUNTIFS(Başvuru!$C:$C,C115,Başvuru!$L:$L,"RET",Başvuru!$F:$F,"&lt;&gt;"&amp;""))</f>
        <v>0</v>
      </c>
      <c r="O115" s="271">
        <f>IF(C115="","",COUNTIFS(Başvuru!$C:$C,C115,Başvuru!$L:$L,"KAPSAM DIŞI",Başvuru!$F:$F,"&lt;&gt;"&amp;""))</f>
        <v>0</v>
      </c>
      <c r="P115" s="272">
        <f>IF(C115="","",COUNTIFS(Başvuru!$C:$C,C115,Başvuru!$L:$L,"GERİ ÇEKİLDİ",Başvuru!$F:$F,"&lt;&gt;"&amp;""))</f>
        <v>0</v>
      </c>
      <c r="Q115" s="260" t="s">
        <v>1730</v>
      </c>
      <c r="R115" s="261">
        <f>COUNTIFS(Başvuru!$C:$C,Q115,Başvuru!$F:$F,"&lt;&gt;"&amp;"")</f>
        <v>1</v>
      </c>
      <c r="S115" s="261">
        <f>RANK(R115,$R$6:$R$290,0)+COUNTIF($R$6:R115,R115)-1</f>
        <v>182</v>
      </c>
    </row>
    <row r="116" spans="2:19" ht="15" customHeight="1" x14ac:dyDescent="0.25">
      <c r="B116" s="249">
        <v>111</v>
      </c>
      <c r="C116" s="250" t="str">
        <f>IFERROR(INDEX($Q$6:$Q$290,MATCH(111,$S$6:$S$290,0)),"")</f>
        <v>Prof. Dr. Serdar ÖZER</v>
      </c>
      <c r="D116" s="251">
        <f>IF(C116="","",COUNTIFS(Başvuru!$C:$C,C116,Başvuru!$F:$F,"&lt;&gt;"&amp;""))</f>
        <v>2</v>
      </c>
      <c r="E116" s="249" t="str">
        <f>IF(D116&gt;0,TEXT(D116/COUNTIF(Başvuru!$F:$F,"&lt;&gt;"&amp;"")*100,"0.0")&amp;"%","-")</f>
        <v>00%</v>
      </c>
      <c r="F116" s="252">
        <f>IF(C116="","",COUNTIFS(Başvuru!$C:$C,C116,Başvuru!$G:$G,"Bireysel Araştırma",Başvuru!$F:$F,"&lt;&gt;"&amp;""))</f>
        <v>1</v>
      </c>
      <c r="G116" s="252">
        <f>IF(C116="","",COUNTIFS(Başvuru!$C:$C,C116,Başvuru!$G:$G,"Uzmanlık Tezi",Başvuru!$F:$F,"&lt;&gt;"&amp;""))</f>
        <v>1</v>
      </c>
      <c r="H116" s="252">
        <f>IF(C116="","",COUNTIFS(Başvuru!$C:$C,C116,Başvuru!$G:$G,"Doktora Tezi",Başvuru!$F:$F,"&lt;&gt;"&amp;""))</f>
        <v>0</v>
      </c>
      <c r="I116" s="252">
        <f>IF(C116="","",COUNTIFS(Başvuru!$C:$C,C116,Başvuru!$G:$G,"Yüksek Lisans Tezi",Başvuru!$F:$F,"&lt;&gt;"&amp;""))</f>
        <v>0</v>
      </c>
      <c r="J116" s="253">
        <f>IF(C116="","",COUNTIFS(Başvuru!$C:$C,C116,Başvuru!$L:$L,"ONAY",Başvuru!$F:$F,"&lt;&gt;"&amp;""))</f>
        <v>1</v>
      </c>
      <c r="K116" s="254">
        <f>IF(C116="","",COUNTIFS(Başvuru!$C:$C,C116,Başvuru!$L:$L,"DÜZELTME",Başvuru!$F:$F,"&lt;&gt;"&amp;""))</f>
        <v>0</v>
      </c>
      <c r="L116" s="255">
        <f>IF(C116="","",COUNTIFS(Başvuru!$C:$C,C116,Başvuru!$L:$L,"KAEK",Başvuru!$F:$F,"&lt;&gt;"&amp;""))</f>
        <v>0</v>
      </c>
      <c r="M116" s="256">
        <f>IF(C116="","",COUNTIFS(Başvuru!$C:$C,C116,Başvuru!$L:$L,"GÖRÜŞ",Başvuru!$F:$F,"&lt;&gt;"&amp;""))</f>
        <v>0</v>
      </c>
      <c r="N116" s="257">
        <f>IF(C116="","",COUNTIFS(Başvuru!$C:$C,C116,Başvuru!$L:$L,"RET",Başvuru!$F:$F,"&lt;&gt;"&amp;""))</f>
        <v>1</v>
      </c>
      <c r="O116" s="258">
        <f>IF(C116="","",COUNTIFS(Başvuru!$C:$C,C116,Başvuru!$L:$L,"KAPSAM DIŞI",Başvuru!$F:$F,"&lt;&gt;"&amp;""))</f>
        <v>0</v>
      </c>
      <c r="P116" s="259">
        <f>IF(C116="","",COUNTIFS(Başvuru!$C:$C,C116,Başvuru!$L:$L,"GERİ ÇEKİLDİ",Başvuru!$F:$F,"&lt;&gt;"&amp;""))</f>
        <v>0</v>
      </c>
      <c r="Q116" s="260" t="s">
        <v>1100</v>
      </c>
      <c r="R116" s="261">
        <f>COUNTIFS(Başvuru!$C:$C,Q116,Başvuru!$F:$F,"&lt;&gt;"&amp;"")</f>
        <v>1</v>
      </c>
      <c r="S116" s="261">
        <f>RANK(R116,$R$6:$R$290,0)+COUNTIF($R$6:R116,R116)-1</f>
        <v>183</v>
      </c>
    </row>
    <row r="117" spans="2:19" ht="15" customHeight="1" x14ac:dyDescent="0.25">
      <c r="B117" s="262">
        <v>112</v>
      </c>
      <c r="C117" s="263" t="str">
        <f>IFERROR(INDEX($Q$6:$Q$290,MATCH(112,$S$6:$S$290,0)),"")</f>
        <v>Prof. Dr. Sinem AKGÜL</v>
      </c>
      <c r="D117" s="264">
        <f>IF(C117="","",COUNTIFS(Başvuru!$C:$C,C117,Başvuru!$F:$F,"&lt;&gt;"&amp;""))</f>
        <v>2</v>
      </c>
      <c r="E117" s="262" t="str">
        <f>IF(D117&gt;0,TEXT(D117/COUNTIF(Başvuru!$F:$F,"&lt;&gt;"&amp;"")*100,"0.0")&amp;"%","-")</f>
        <v>00%</v>
      </c>
      <c r="F117" s="265">
        <f>IF(C117="","",COUNTIFS(Başvuru!$C:$C,C117,Başvuru!$G:$G,"Bireysel Araştırma",Başvuru!$F:$F,"&lt;&gt;"&amp;""))</f>
        <v>1</v>
      </c>
      <c r="G117" s="265">
        <f>IF(C117="","",COUNTIFS(Başvuru!$C:$C,C117,Başvuru!$G:$G,"Uzmanlık Tezi",Başvuru!$F:$F,"&lt;&gt;"&amp;""))</f>
        <v>1</v>
      </c>
      <c r="H117" s="265">
        <f>IF(C117="","",COUNTIFS(Başvuru!$C:$C,C117,Başvuru!$G:$G,"Doktora Tezi",Başvuru!$F:$F,"&lt;&gt;"&amp;""))</f>
        <v>0</v>
      </c>
      <c r="I117" s="265">
        <f>IF(C117="","",COUNTIFS(Başvuru!$C:$C,C117,Başvuru!$G:$G,"Yüksek Lisans Tezi",Başvuru!$F:$F,"&lt;&gt;"&amp;""))</f>
        <v>0</v>
      </c>
      <c r="J117" s="266">
        <f>IF(C117="","",COUNTIFS(Başvuru!$C:$C,C117,Başvuru!$L:$L,"ONAY",Başvuru!$F:$F,"&lt;&gt;"&amp;""))</f>
        <v>1</v>
      </c>
      <c r="K117" s="267">
        <f>IF(C117="","",COUNTIFS(Başvuru!$C:$C,C117,Başvuru!$L:$L,"DÜZELTME",Başvuru!$F:$F,"&lt;&gt;"&amp;""))</f>
        <v>1</v>
      </c>
      <c r="L117" s="268">
        <f>IF(C117="","",COUNTIFS(Başvuru!$C:$C,C117,Başvuru!$L:$L,"KAEK",Başvuru!$F:$F,"&lt;&gt;"&amp;""))</f>
        <v>0</v>
      </c>
      <c r="M117" s="269">
        <f>IF(C117="","",COUNTIFS(Başvuru!$C:$C,C117,Başvuru!$L:$L,"GÖRÜŞ",Başvuru!$F:$F,"&lt;&gt;"&amp;""))</f>
        <v>0</v>
      </c>
      <c r="N117" s="270">
        <f>IF(C117="","",COUNTIFS(Başvuru!$C:$C,C117,Başvuru!$L:$L,"RET",Başvuru!$F:$F,"&lt;&gt;"&amp;""))</f>
        <v>0</v>
      </c>
      <c r="O117" s="271">
        <f>IF(C117="","",COUNTIFS(Başvuru!$C:$C,C117,Başvuru!$L:$L,"KAPSAM DIŞI",Başvuru!$F:$F,"&lt;&gt;"&amp;""))</f>
        <v>0</v>
      </c>
      <c r="P117" s="272">
        <f>IF(C117="","",COUNTIFS(Başvuru!$C:$C,C117,Başvuru!$L:$L,"GERİ ÇEKİLDİ",Başvuru!$F:$F,"&lt;&gt;"&amp;""))</f>
        <v>0</v>
      </c>
      <c r="Q117" s="260" t="s">
        <v>199</v>
      </c>
      <c r="R117" s="261">
        <f>COUNTIFS(Başvuru!$C:$C,Q117,Başvuru!$F:$F,"&lt;&gt;"&amp;"")</f>
        <v>8</v>
      </c>
      <c r="S117" s="261">
        <f>RANK(R117,$R$6:$R$290,0)+COUNTIF($R$6:R117,R117)-1</f>
        <v>4</v>
      </c>
    </row>
    <row r="118" spans="2:19" ht="15" customHeight="1" x14ac:dyDescent="0.25">
      <c r="B118" s="249">
        <v>113</v>
      </c>
      <c r="C118" s="250" t="str">
        <f>IFERROR(INDEX($Q$6:$Q$290,MATCH(113,$S$6:$S$290,0)),"")</f>
        <v>Prof. Dr. Taner YILMAZ</v>
      </c>
      <c r="D118" s="251">
        <f>IF(C118="","",COUNTIFS(Başvuru!$C:$C,C118,Başvuru!$F:$F,"&lt;&gt;"&amp;""))</f>
        <v>2</v>
      </c>
      <c r="E118" s="249" t="str">
        <f>IF(D118&gt;0,TEXT(D118/COUNTIF(Başvuru!$F:$F,"&lt;&gt;"&amp;"")*100,"0.0")&amp;"%","-")</f>
        <v>00%</v>
      </c>
      <c r="F118" s="252">
        <f>IF(C118="","",COUNTIFS(Başvuru!$C:$C,C118,Başvuru!$G:$G,"Bireysel Araştırma",Başvuru!$F:$F,"&lt;&gt;"&amp;""))</f>
        <v>2</v>
      </c>
      <c r="G118" s="252">
        <f>IF(C118="","",COUNTIFS(Başvuru!$C:$C,C118,Başvuru!$G:$G,"Uzmanlık Tezi",Başvuru!$F:$F,"&lt;&gt;"&amp;""))</f>
        <v>0</v>
      </c>
      <c r="H118" s="252">
        <f>IF(C118="","",COUNTIFS(Başvuru!$C:$C,C118,Başvuru!$G:$G,"Doktora Tezi",Başvuru!$F:$F,"&lt;&gt;"&amp;""))</f>
        <v>0</v>
      </c>
      <c r="I118" s="252">
        <f>IF(C118="","",COUNTIFS(Başvuru!$C:$C,C118,Başvuru!$G:$G,"Yüksek Lisans Tezi",Başvuru!$F:$F,"&lt;&gt;"&amp;""))</f>
        <v>0</v>
      </c>
      <c r="J118" s="253">
        <f>IF(C118="","",COUNTIFS(Başvuru!$C:$C,C118,Başvuru!$L:$L,"ONAY",Başvuru!$F:$F,"&lt;&gt;"&amp;""))</f>
        <v>2</v>
      </c>
      <c r="K118" s="254">
        <f>IF(C118="","",COUNTIFS(Başvuru!$C:$C,C118,Başvuru!$L:$L,"DÜZELTME",Başvuru!$F:$F,"&lt;&gt;"&amp;""))</f>
        <v>0</v>
      </c>
      <c r="L118" s="255">
        <f>IF(C118="","",COUNTIFS(Başvuru!$C:$C,C118,Başvuru!$L:$L,"KAEK",Başvuru!$F:$F,"&lt;&gt;"&amp;""))</f>
        <v>0</v>
      </c>
      <c r="M118" s="256">
        <f>IF(C118="","",COUNTIFS(Başvuru!$C:$C,C118,Başvuru!$L:$L,"GÖRÜŞ",Başvuru!$F:$F,"&lt;&gt;"&amp;""))</f>
        <v>0</v>
      </c>
      <c r="N118" s="257">
        <f>IF(C118="","",COUNTIFS(Başvuru!$C:$C,C118,Başvuru!$L:$L,"RET",Başvuru!$F:$F,"&lt;&gt;"&amp;""))</f>
        <v>0</v>
      </c>
      <c r="O118" s="258">
        <f>IF(C118="","",COUNTIFS(Başvuru!$C:$C,C118,Başvuru!$L:$L,"KAPSAM DIŞI",Başvuru!$F:$F,"&lt;&gt;"&amp;""))</f>
        <v>0</v>
      </c>
      <c r="P118" s="259">
        <f>IF(C118="","",COUNTIFS(Başvuru!$C:$C,C118,Başvuru!$L:$L,"GERİ ÇEKİLDİ",Başvuru!$F:$F,"&lt;&gt;"&amp;""))</f>
        <v>0</v>
      </c>
      <c r="Q118" s="260" t="s">
        <v>1406</v>
      </c>
      <c r="R118" s="261">
        <f>COUNTIFS(Başvuru!$C:$C,Q118,Başvuru!$F:$F,"&lt;&gt;"&amp;"")</f>
        <v>3</v>
      </c>
      <c r="S118" s="261">
        <f>RANK(R118,$R$6:$R$290,0)+COUNTIF($R$6:R118,R118)-1</f>
        <v>46</v>
      </c>
    </row>
    <row r="119" spans="2:19" ht="15" customHeight="1" x14ac:dyDescent="0.25">
      <c r="B119" s="262">
        <v>114</v>
      </c>
      <c r="C119" s="263" t="str">
        <f>IFERROR(INDEX($Q$6:$Q$290,MATCH(114,$S$6:$S$290,0)),"")</f>
        <v>Prof. Dr. Yahya BÜYÜKAŞIK</v>
      </c>
      <c r="D119" s="264">
        <f>IF(C119="","",COUNTIFS(Başvuru!$C:$C,C119,Başvuru!$F:$F,"&lt;&gt;"&amp;""))</f>
        <v>2</v>
      </c>
      <c r="E119" s="262" t="str">
        <f>IF(D119&gt;0,TEXT(D119/COUNTIF(Başvuru!$F:$F,"&lt;&gt;"&amp;"")*100,"0.0")&amp;"%","-")</f>
        <v>00%</v>
      </c>
      <c r="F119" s="265">
        <f>IF(C119="","",COUNTIFS(Başvuru!$C:$C,C119,Başvuru!$G:$G,"Bireysel Araştırma",Başvuru!$F:$F,"&lt;&gt;"&amp;""))</f>
        <v>1</v>
      </c>
      <c r="G119" s="265">
        <f>IF(C119="","",COUNTIFS(Başvuru!$C:$C,C119,Başvuru!$G:$G,"Uzmanlık Tezi",Başvuru!$F:$F,"&lt;&gt;"&amp;""))</f>
        <v>1</v>
      </c>
      <c r="H119" s="265">
        <f>IF(C119="","",COUNTIFS(Başvuru!$C:$C,C119,Başvuru!$G:$G,"Doktora Tezi",Başvuru!$F:$F,"&lt;&gt;"&amp;""))</f>
        <v>0</v>
      </c>
      <c r="I119" s="265">
        <f>IF(C119="","",COUNTIFS(Başvuru!$C:$C,C119,Başvuru!$G:$G,"Yüksek Lisans Tezi",Başvuru!$F:$F,"&lt;&gt;"&amp;""))</f>
        <v>0</v>
      </c>
      <c r="J119" s="266">
        <f>IF(C119="","",COUNTIFS(Başvuru!$C:$C,C119,Başvuru!$L:$L,"ONAY",Başvuru!$F:$F,"&lt;&gt;"&amp;""))</f>
        <v>2</v>
      </c>
      <c r="K119" s="267">
        <f>IF(C119="","",COUNTIFS(Başvuru!$C:$C,C119,Başvuru!$L:$L,"DÜZELTME",Başvuru!$F:$F,"&lt;&gt;"&amp;""))</f>
        <v>0</v>
      </c>
      <c r="L119" s="268">
        <f>IF(C119="","",COUNTIFS(Başvuru!$C:$C,C119,Başvuru!$L:$L,"KAEK",Başvuru!$F:$F,"&lt;&gt;"&amp;""))</f>
        <v>0</v>
      </c>
      <c r="M119" s="269">
        <f>IF(C119="","",COUNTIFS(Başvuru!$C:$C,C119,Başvuru!$L:$L,"GÖRÜŞ",Başvuru!$F:$F,"&lt;&gt;"&amp;""))</f>
        <v>0</v>
      </c>
      <c r="N119" s="270">
        <f>IF(C119="","",COUNTIFS(Başvuru!$C:$C,C119,Başvuru!$L:$L,"RET",Başvuru!$F:$F,"&lt;&gt;"&amp;""))</f>
        <v>0</v>
      </c>
      <c r="O119" s="271">
        <f>IF(C119="","",COUNTIFS(Başvuru!$C:$C,C119,Başvuru!$L:$L,"KAPSAM DIŞI",Başvuru!$F:$F,"&lt;&gt;"&amp;""))</f>
        <v>0</v>
      </c>
      <c r="P119" s="272">
        <f>IF(C119="","",COUNTIFS(Başvuru!$C:$C,C119,Başvuru!$L:$L,"GERİ ÇEKİLDİ",Başvuru!$F:$F,"&lt;&gt;"&amp;""))</f>
        <v>0</v>
      </c>
      <c r="Q119" s="260" t="s">
        <v>240</v>
      </c>
      <c r="R119" s="261">
        <f>COUNTIFS(Başvuru!$C:$C,Q119,Başvuru!$F:$F,"&lt;&gt;"&amp;"")</f>
        <v>8</v>
      </c>
      <c r="S119" s="261">
        <f>RANK(R119,$R$6:$R$290,0)+COUNTIF($R$6:R119,R119)-1</f>
        <v>5</v>
      </c>
    </row>
    <row r="120" spans="2:19" ht="15" customHeight="1" x14ac:dyDescent="0.25">
      <c r="B120" s="249">
        <v>115</v>
      </c>
      <c r="C120" s="250" t="str">
        <f>IFERROR(INDEX($Q$6:$Q$290,MATCH(115,$S$6:$S$290,0)),"")</f>
        <v>Prof. Dr. İnci Nur SALTIK</v>
      </c>
      <c r="D120" s="251">
        <f>IF(C120="","",COUNTIFS(Başvuru!$C:$C,C120,Başvuru!$F:$F,"&lt;&gt;"&amp;""))</f>
        <v>2</v>
      </c>
      <c r="E120" s="249" t="str">
        <f>IF(D120&gt;0,TEXT(D120/COUNTIF(Başvuru!$F:$F,"&lt;&gt;"&amp;"")*100,"0.0")&amp;"%","-")</f>
        <v>00%</v>
      </c>
      <c r="F120" s="252">
        <f>IF(C120="","",COUNTIFS(Başvuru!$C:$C,C120,Başvuru!$G:$G,"Bireysel Araştırma",Başvuru!$F:$F,"&lt;&gt;"&amp;""))</f>
        <v>2</v>
      </c>
      <c r="G120" s="252">
        <f>IF(C120="","",COUNTIFS(Başvuru!$C:$C,C120,Başvuru!$G:$G,"Uzmanlık Tezi",Başvuru!$F:$F,"&lt;&gt;"&amp;""))</f>
        <v>0</v>
      </c>
      <c r="H120" s="252">
        <f>IF(C120="","",COUNTIFS(Başvuru!$C:$C,C120,Başvuru!$G:$G,"Doktora Tezi",Başvuru!$F:$F,"&lt;&gt;"&amp;""))</f>
        <v>0</v>
      </c>
      <c r="I120" s="252">
        <f>IF(C120="","",COUNTIFS(Başvuru!$C:$C,C120,Başvuru!$G:$G,"Yüksek Lisans Tezi",Başvuru!$F:$F,"&lt;&gt;"&amp;""))</f>
        <v>0</v>
      </c>
      <c r="J120" s="253">
        <f>IF(C120="","",COUNTIFS(Başvuru!$C:$C,C120,Başvuru!$L:$L,"ONAY",Başvuru!$F:$F,"&lt;&gt;"&amp;""))</f>
        <v>1</v>
      </c>
      <c r="K120" s="254">
        <f>IF(C120="","",COUNTIFS(Başvuru!$C:$C,C120,Başvuru!$L:$L,"DÜZELTME",Başvuru!$F:$F,"&lt;&gt;"&amp;""))</f>
        <v>1</v>
      </c>
      <c r="L120" s="255">
        <f>IF(C120="","",COUNTIFS(Başvuru!$C:$C,C120,Başvuru!$L:$L,"KAEK",Başvuru!$F:$F,"&lt;&gt;"&amp;""))</f>
        <v>0</v>
      </c>
      <c r="M120" s="256">
        <f>IF(C120="","",COUNTIFS(Başvuru!$C:$C,C120,Başvuru!$L:$L,"GÖRÜŞ",Başvuru!$F:$F,"&lt;&gt;"&amp;""))</f>
        <v>0</v>
      </c>
      <c r="N120" s="257">
        <f>IF(C120="","",COUNTIFS(Başvuru!$C:$C,C120,Başvuru!$L:$L,"RET",Başvuru!$F:$F,"&lt;&gt;"&amp;""))</f>
        <v>0</v>
      </c>
      <c r="O120" s="258">
        <f>IF(C120="","",COUNTIFS(Başvuru!$C:$C,C120,Başvuru!$L:$L,"KAPSAM DIŞI",Başvuru!$F:$F,"&lt;&gt;"&amp;""))</f>
        <v>0</v>
      </c>
      <c r="P120" s="259">
        <f>IF(C120="","",COUNTIFS(Başvuru!$C:$C,C120,Başvuru!$L:$L,"GERİ ÇEKİLDİ",Başvuru!$F:$F,"&lt;&gt;"&amp;""))</f>
        <v>0</v>
      </c>
      <c r="Q120" s="260" t="s">
        <v>1256</v>
      </c>
      <c r="R120" s="261">
        <f>COUNTIFS(Başvuru!$C:$C,Q120,Başvuru!$F:$F,"&lt;&gt;"&amp;"")</f>
        <v>2</v>
      </c>
      <c r="S120" s="261">
        <f>RANK(R120,$R$6:$R$290,0)+COUNTIF($R$6:R120,R120)-1</f>
        <v>83</v>
      </c>
    </row>
    <row r="121" spans="2:19" ht="15" customHeight="1" x14ac:dyDescent="0.25">
      <c r="B121" s="262">
        <v>116</v>
      </c>
      <c r="C121" s="263" t="str">
        <f>IFERROR(INDEX($Q$6:$Q$290,MATCH(116,$S$6:$S$290,0)),"")</f>
        <v>Öğr. Gör. Dr. Aytekin İDİKUT</v>
      </c>
      <c r="D121" s="264">
        <f>IF(C121="","",COUNTIFS(Başvuru!$C:$C,C121,Başvuru!$F:$F,"&lt;&gt;"&amp;""))</f>
        <v>2</v>
      </c>
      <c r="E121" s="262" t="str">
        <f>IF(D121&gt;0,TEXT(D121/COUNTIF(Başvuru!$F:$F,"&lt;&gt;"&amp;"")*100,"0.0")&amp;"%","-")</f>
        <v>00%</v>
      </c>
      <c r="F121" s="265">
        <f>IF(C121="","",COUNTIFS(Başvuru!$C:$C,C121,Başvuru!$G:$G,"Bireysel Araştırma",Başvuru!$F:$F,"&lt;&gt;"&amp;""))</f>
        <v>2</v>
      </c>
      <c r="G121" s="265">
        <f>IF(C121="","",COUNTIFS(Başvuru!$C:$C,C121,Başvuru!$G:$G,"Uzmanlık Tezi",Başvuru!$F:$F,"&lt;&gt;"&amp;""))</f>
        <v>0</v>
      </c>
      <c r="H121" s="265">
        <f>IF(C121="","",COUNTIFS(Başvuru!$C:$C,C121,Başvuru!$G:$G,"Doktora Tezi",Başvuru!$F:$F,"&lt;&gt;"&amp;""))</f>
        <v>0</v>
      </c>
      <c r="I121" s="265">
        <f>IF(C121="","",COUNTIFS(Başvuru!$C:$C,C121,Başvuru!$G:$G,"Yüksek Lisans Tezi",Başvuru!$F:$F,"&lt;&gt;"&amp;""))</f>
        <v>0</v>
      </c>
      <c r="J121" s="266">
        <f>IF(C121="","",COUNTIFS(Başvuru!$C:$C,C121,Başvuru!$L:$L,"ONAY",Başvuru!$F:$F,"&lt;&gt;"&amp;""))</f>
        <v>1</v>
      </c>
      <c r="K121" s="267">
        <f>IF(C121="","",COUNTIFS(Başvuru!$C:$C,C121,Başvuru!$L:$L,"DÜZELTME",Başvuru!$F:$F,"&lt;&gt;"&amp;""))</f>
        <v>1</v>
      </c>
      <c r="L121" s="268">
        <f>IF(C121="","",COUNTIFS(Başvuru!$C:$C,C121,Başvuru!$L:$L,"KAEK",Başvuru!$F:$F,"&lt;&gt;"&amp;""))</f>
        <v>0</v>
      </c>
      <c r="M121" s="269">
        <f>IF(C121="","",COUNTIFS(Başvuru!$C:$C,C121,Başvuru!$L:$L,"GÖRÜŞ",Başvuru!$F:$F,"&lt;&gt;"&amp;""))</f>
        <v>0</v>
      </c>
      <c r="N121" s="270">
        <f>IF(C121="","",COUNTIFS(Başvuru!$C:$C,C121,Başvuru!$L:$L,"RET",Başvuru!$F:$F,"&lt;&gt;"&amp;""))</f>
        <v>0</v>
      </c>
      <c r="O121" s="271">
        <f>IF(C121="","",COUNTIFS(Başvuru!$C:$C,C121,Başvuru!$L:$L,"KAPSAM DIŞI",Başvuru!$F:$F,"&lt;&gt;"&amp;""))</f>
        <v>0</v>
      </c>
      <c r="P121" s="272">
        <f>IF(C121="","",COUNTIFS(Başvuru!$C:$C,C121,Başvuru!$L:$L,"GERİ ÇEKİLDİ",Başvuru!$F:$F,"&lt;&gt;"&amp;""))</f>
        <v>0</v>
      </c>
      <c r="Q121" s="260" t="s">
        <v>511</v>
      </c>
      <c r="R121" s="261">
        <f>COUNTIFS(Başvuru!$C:$C,Q121,Başvuru!$F:$F,"&lt;&gt;"&amp;"")</f>
        <v>1</v>
      </c>
      <c r="S121" s="261">
        <f>RANK(R121,$R$6:$R$290,0)+COUNTIF($R$6:R121,R121)-1</f>
        <v>184</v>
      </c>
    </row>
    <row r="122" spans="2:19" ht="15" customHeight="1" x14ac:dyDescent="0.25">
      <c r="B122" s="249">
        <v>117</v>
      </c>
      <c r="C122" s="250" t="str">
        <f>IFERROR(INDEX($Q$6:$Q$290,MATCH(117,$S$6:$S$290,0)),"")</f>
        <v>Öğr. Gör. Dr. Bahattin PASLI</v>
      </c>
      <c r="D122" s="251">
        <f>IF(C122="","",COUNTIFS(Başvuru!$C:$C,C122,Başvuru!$F:$F,"&lt;&gt;"&amp;""))</f>
        <v>2</v>
      </c>
      <c r="E122" s="249" t="str">
        <f>IF(D122&gt;0,TEXT(D122/COUNTIF(Başvuru!$F:$F,"&lt;&gt;"&amp;"")*100,"0.0")&amp;"%","-")</f>
        <v>00%</v>
      </c>
      <c r="F122" s="252">
        <f>IF(C122="","",COUNTIFS(Başvuru!$C:$C,C122,Başvuru!$G:$G,"Bireysel Araştırma",Başvuru!$F:$F,"&lt;&gt;"&amp;""))</f>
        <v>2</v>
      </c>
      <c r="G122" s="252">
        <f>IF(C122="","",COUNTIFS(Başvuru!$C:$C,C122,Başvuru!$G:$G,"Uzmanlık Tezi",Başvuru!$F:$F,"&lt;&gt;"&amp;""))</f>
        <v>0</v>
      </c>
      <c r="H122" s="252">
        <f>IF(C122="","",COUNTIFS(Başvuru!$C:$C,C122,Başvuru!$G:$G,"Doktora Tezi",Başvuru!$F:$F,"&lt;&gt;"&amp;""))</f>
        <v>0</v>
      </c>
      <c r="I122" s="252">
        <f>IF(C122="","",COUNTIFS(Başvuru!$C:$C,C122,Başvuru!$G:$G,"Yüksek Lisans Tezi",Başvuru!$F:$F,"&lt;&gt;"&amp;""))</f>
        <v>0</v>
      </c>
      <c r="J122" s="253">
        <f>IF(C122="","",COUNTIFS(Başvuru!$C:$C,C122,Başvuru!$L:$L,"ONAY",Başvuru!$F:$F,"&lt;&gt;"&amp;""))</f>
        <v>2</v>
      </c>
      <c r="K122" s="254">
        <f>IF(C122="","",COUNTIFS(Başvuru!$C:$C,C122,Başvuru!$L:$L,"DÜZELTME",Başvuru!$F:$F,"&lt;&gt;"&amp;""))</f>
        <v>0</v>
      </c>
      <c r="L122" s="255">
        <f>IF(C122="","",COUNTIFS(Başvuru!$C:$C,C122,Başvuru!$L:$L,"KAEK",Başvuru!$F:$F,"&lt;&gt;"&amp;""))</f>
        <v>0</v>
      </c>
      <c r="M122" s="256">
        <f>IF(C122="","",COUNTIFS(Başvuru!$C:$C,C122,Başvuru!$L:$L,"GÖRÜŞ",Başvuru!$F:$F,"&lt;&gt;"&amp;""))</f>
        <v>0</v>
      </c>
      <c r="N122" s="257">
        <f>IF(C122="","",COUNTIFS(Başvuru!$C:$C,C122,Başvuru!$L:$L,"RET",Başvuru!$F:$F,"&lt;&gt;"&amp;""))</f>
        <v>0</v>
      </c>
      <c r="O122" s="258">
        <f>IF(C122="","",COUNTIFS(Başvuru!$C:$C,C122,Başvuru!$L:$L,"KAPSAM DIŞI",Başvuru!$F:$F,"&lt;&gt;"&amp;""))</f>
        <v>0</v>
      </c>
      <c r="P122" s="259">
        <f>IF(C122="","",COUNTIFS(Başvuru!$C:$C,C122,Başvuru!$L:$L,"GERİ ÇEKİLDİ",Başvuru!$F:$F,"&lt;&gt;"&amp;""))</f>
        <v>0</v>
      </c>
      <c r="Q122" s="260" t="s">
        <v>1184</v>
      </c>
      <c r="R122" s="261">
        <f>COUNTIFS(Başvuru!$C:$C,Q122,Başvuru!$F:$F,"&lt;&gt;"&amp;"")</f>
        <v>1</v>
      </c>
      <c r="S122" s="261">
        <f>RANK(R122,$R$6:$R$290,0)+COUNTIF($R$6:R122,R122)-1</f>
        <v>185</v>
      </c>
    </row>
    <row r="123" spans="2:19" ht="15" customHeight="1" x14ac:dyDescent="0.25">
      <c r="B123" s="262">
        <v>118</v>
      </c>
      <c r="C123" s="263" t="str">
        <f>IFERROR(INDEX($Q$6:$Q$290,MATCH(118,$S$6:$S$290,0)),"")</f>
        <v>Öğr. Gör. Dr. Buket KILIÇ</v>
      </c>
      <c r="D123" s="264">
        <f>IF(C123="","",COUNTIFS(Başvuru!$C:$C,C123,Başvuru!$F:$F,"&lt;&gt;"&amp;""))</f>
        <v>2</v>
      </c>
      <c r="E123" s="262" t="str">
        <f>IF(D123&gt;0,TEXT(D123/COUNTIF(Başvuru!$F:$F,"&lt;&gt;"&amp;"")*100,"0.0")&amp;"%","-")</f>
        <v>00%</v>
      </c>
      <c r="F123" s="265">
        <f>IF(C123="","",COUNTIFS(Başvuru!$C:$C,C123,Başvuru!$G:$G,"Bireysel Araştırma",Başvuru!$F:$F,"&lt;&gt;"&amp;""))</f>
        <v>2</v>
      </c>
      <c r="G123" s="265">
        <f>IF(C123="","",COUNTIFS(Başvuru!$C:$C,C123,Başvuru!$G:$G,"Uzmanlık Tezi",Başvuru!$F:$F,"&lt;&gt;"&amp;""))</f>
        <v>0</v>
      </c>
      <c r="H123" s="265">
        <f>IF(C123="","",COUNTIFS(Başvuru!$C:$C,C123,Başvuru!$G:$G,"Doktora Tezi",Başvuru!$F:$F,"&lt;&gt;"&amp;""))</f>
        <v>0</v>
      </c>
      <c r="I123" s="265">
        <f>IF(C123="","",COUNTIFS(Başvuru!$C:$C,C123,Başvuru!$G:$G,"Yüksek Lisans Tezi",Başvuru!$F:$F,"&lt;&gt;"&amp;""))</f>
        <v>0</v>
      </c>
      <c r="J123" s="266">
        <f>IF(C123="","",COUNTIFS(Başvuru!$C:$C,C123,Başvuru!$L:$L,"ONAY",Başvuru!$F:$F,"&lt;&gt;"&amp;""))</f>
        <v>2</v>
      </c>
      <c r="K123" s="267">
        <f>IF(C123="","",COUNTIFS(Başvuru!$C:$C,C123,Başvuru!$L:$L,"DÜZELTME",Başvuru!$F:$F,"&lt;&gt;"&amp;""))</f>
        <v>0</v>
      </c>
      <c r="L123" s="268">
        <f>IF(C123="","",COUNTIFS(Başvuru!$C:$C,C123,Başvuru!$L:$L,"KAEK",Başvuru!$F:$F,"&lt;&gt;"&amp;""))</f>
        <v>0</v>
      </c>
      <c r="M123" s="269">
        <f>IF(C123="","",COUNTIFS(Başvuru!$C:$C,C123,Başvuru!$L:$L,"GÖRÜŞ",Başvuru!$F:$F,"&lt;&gt;"&amp;""))</f>
        <v>0</v>
      </c>
      <c r="N123" s="270">
        <f>IF(C123="","",COUNTIFS(Başvuru!$C:$C,C123,Başvuru!$L:$L,"RET",Başvuru!$F:$F,"&lt;&gt;"&amp;""))</f>
        <v>0</v>
      </c>
      <c r="O123" s="271">
        <f>IF(C123="","",COUNTIFS(Başvuru!$C:$C,C123,Başvuru!$L:$L,"KAPSAM DIŞI",Başvuru!$F:$F,"&lt;&gt;"&amp;""))</f>
        <v>0</v>
      </c>
      <c r="P123" s="272">
        <f>IF(C123="","",COUNTIFS(Başvuru!$C:$C,C123,Başvuru!$L:$L,"GERİ ÇEKİLDİ",Başvuru!$F:$F,"&lt;&gt;"&amp;""))</f>
        <v>0</v>
      </c>
      <c r="Q123" s="260" t="s">
        <v>886</v>
      </c>
      <c r="R123" s="261">
        <f>COUNTIFS(Başvuru!$C:$C,Q123,Başvuru!$F:$F,"&lt;&gt;"&amp;"")</f>
        <v>1</v>
      </c>
      <c r="S123" s="261">
        <f>RANK(R123,$R$6:$R$290,0)+COUNTIF($R$6:R123,R123)-1</f>
        <v>186</v>
      </c>
    </row>
    <row r="124" spans="2:19" ht="15" customHeight="1" x14ac:dyDescent="0.25">
      <c r="B124" s="249">
        <v>119</v>
      </c>
      <c r="C124" s="250" t="str">
        <f>IFERROR(INDEX($Q$6:$Q$290,MATCH(119,$S$6:$S$290,0)),"")</f>
        <v>Arş. Gör. Dr. Aycan UYSAL</v>
      </c>
      <c r="D124" s="251">
        <f>IF(C124="","",COUNTIFS(Başvuru!$C:$C,C124,Başvuru!$F:$F,"&lt;&gt;"&amp;""))</f>
        <v>1</v>
      </c>
      <c r="E124" s="249" t="str">
        <f>IF(D124&gt;0,TEXT(D124/COUNTIF(Başvuru!$F:$F,"&lt;&gt;"&amp;"")*100,"0.0")&amp;"%","-")</f>
        <v>00%</v>
      </c>
      <c r="F124" s="252">
        <f>IF(C124="","",COUNTIFS(Başvuru!$C:$C,C124,Başvuru!$G:$G,"Bireysel Araştırma",Başvuru!$F:$F,"&lt;&gt;"&amp;""))</f>
        <v>1</v>
      </c>
      <c r="G124" s="252">
        <f>IF(C124="","",COUNTIFS(Başvuru!$C:$C,C124,Başvuru!$G:$G,"Uzmanlık Tezi",Başvuru!$F:$F,"&lt;&gt;"&amp;""))</f>
        <v>0</v>
      </c>
      <c r="H124" s="252">
        <f>IF(C124="","",COUNTIFS(Başvuru!$C:$C,C124,Başvuru!$G:$G,"Doktora Tezi",Başvuru!$F:$F,"&lt;&gt;"&amp;""))</f>
        <v>0</v>
      </c>
      <c r="I124" s="252">
        <f>IF(C124="","",COUNTIFS(Başvuru!$C:$C,C124,Başvuru!$G:$G,"Yüksek Lisans Tezi",Başvuru!$F:$F,"&lt;&gt;"&amp;""))</f>
        <v>0</v>
      </c>
      <c r="J124" s="253">
        <f>IF(C124="","",COUNTIFS(Başvuru!$C:$C,C124,Başvuru!$L:$L,"ONAY",Başvuru!$F:$F,"&lt;&gt;"&amp;""))</f>
        <v>0</v>
      </c>
      <c r="K124" s="254">
        <f>IF(C124="","",COUNTIFS(Başvuru!$C:$C,C124,Başvuru!$L:$L,"DÜZELTME",Başvuru!$F:$F,"&lt;&gt;"&amp;""))</f>
        <v>1</v>
      </c>
      <c r="L124" s="255">
        <f>IF(C124="","",COUNTIFS(Başvuru!$C:$C,C124,Başvuru!$L:$L,"KAEK",Başvuru!$F:$F,"&lt;&gt;"&amp;""))</f>
        <v>0</v>
      </c>
      <c r="M124" s="256">
        <f>IF(C124="","",COUNTIFS(Başvuru!$C:$C,C124,Başvuru!$L:$L,"GÖRÜŞ",Başvuru!$F:$F,"&lt;&gt;"&amp;""))</f>
        <v>0</v>
      </c>
      <c r="N124" s="257">
        <f>IF(C124="","",COUNTIFS(Başvuru!$C:$C,C124,Başvuru!$L:$L,"RET",Başvuru!$F:$F,"&lt;&gt;"&amp;""))</f>
        <v>0</v>
      </c>
      <c r="O124" s="258">
        <f>IF(C124="","",COUNTIFS(Başvuru!$C:$C,C124,Başvuru!$L:$L,"KAPSAM DIŞI",Başvuru!$F:$F,"&lt;&gt;"&amp;""))</f>
        <v>0</v>
      </c>
      <c r="P124" s="259">
        <f>IF(C124="","",COUNTIFS(Başvuru!$C:$C,C124,Başvuru!$L:$L,"GERİ ÇEKİLDİ",Başvuru!$F:$F,"&lt;&gt;"&amp;""))</f>
        <v>0</v>
      </c>
      <c r="Q124" s="260" t="s">
        <v>1091</v>
      </c>
      <c r="R124" s="261">
        <f>COUNTIFS(Başvuru!$C:$C,Q124,Başvuru!$F:$F,"&lt;&gt;"&amp;"")</f>
        <v>1</v>
      </c>
      <c r="S124" s="261">
        <f>RANK(R124,$R$6:$R$290,0)+COUNTIF($R$6:R124,R124)-1</f>
        <v>187</v>
      </c>
    </row>
    <row r="125" spans="2:19" ht="15" customHeight="1" x14ac:dyDescent="0.25">
      <c r="B125" s="262">
        <v>120</v>
      </c>
      <c r="C125" s="263" t="str">
        <f>IFERROR(INDEX($Q$6:$Q$290,MATCH(120,$S$6:$S$290,0)),"")</f>
        <v>Arş. Gör. Dr. Eymen YILMAZ</v>
      </c>
      <c r="D125" s="264">
        <f>IF(C125="","",COUNTIFS(Başvuru!$C:$C,C125,Başvuru!$F:$F,"&lt;&gt;"&amp;""))</f>
        <v>1</v>
      </c>
      <c r="E125" s="262" t="str">
        <f>IF(D125&gt;0,TEXT(D125/COUNTIF(Başvuru!$F:$F,"&lt;&gt;"&amp;"")*100,"0.0")&amp;"%","-")</f>
        <v>00%</v>
      </c>
      <c r="F125" s="265">
        <f>IF(C125="","",COUNTIFS(Başvuru!$C:$C,C125,Başvuru!$G:$G,"Bireysel Araştırma",Başvuru!$F:$F,"&lt;&gt;"&amp;""))</f>
        <v>1</v>
      </c>
      <c r="G125" s="265">
        <f>IF(C125="","",COUNTIFS(Başvuru!$C:$C,C125,Başvuru!$G:$G,"Uzmanlık Tezi",Başvuru!$F:$F,"&lt;&gt;"&amp;""))</f>
        <v>0</v>
      </c>
      <c r="H125" s="265">
        <f>IF(C125="","",COUNTIFS(Başvuru!$C:$C,C125,Başvuru!$G:$G,"Doktora Tezi",Başvuru!$F:$F,"&lt;&gt;"&amp;""))</f>
        <v>0</v>
      </c>
      <c r="I125" s="265">
        <f>IF(C125="","",COUNTIFS(Başvuru!$C:$C,C125,Başvuru!$G:$G,"Yüksek Lisans Tezi",Başvuru!$F:$F,"&lt;&gt;"&amp;""))</f>
        <v>0</v>
      </c>
      <c r="J125" s="266">
        <f>IF(C125="","",COUNTIFS(Başvuru!$C:$C,C125,Başvuru!$L:$L,"ONAY",Başvuru!$F:$F,"&lt;&gt;"&amp;""))</f>
        <v>0</v>
      </c>
      <c r="K125" s="267">
        <f>IF(C125="","",COUNTIFS(Başvuru!$C:$C,C125,Başvuru!$L:$L,"DÜZELTME",Başvuru!$F:$F,"&lt;&gt;"&amp;""))</f>
        <v>0</v>
      </c>
      <c r="L125" s="268">
        <f>IF(C125="","",COUNTIFS(Başvuru!$C:$C,C125,Başvuru!$L:$L,"KAEK",Başvuru!$F:$F,"&lt;&gt;"&amp;""))</f>
        <v>0</v>
      </c>
      <c r="M125" s="269">
        <f>IF(C125="","",COUNTIFS(Başvuru!$C:$C,C125,Başvuru!$L:$L,"GÖRÜŞ",Başvuru!$F:$F,"&lt;&gt;"&amp;""))</f>
        <v>0</v>
      </c>
      <c r="N125" s="270">
        <f>IF(C125="","",COUNTIFS(Başvuru!$C:$C,C125,Başvuru!$L:$L,"RET",Başvuru!$F:$F,"&lt;&gt;"&amp;""))</f>
        <v>0</v>
      </c>
      <c r="O125" s="271">
        <f>IF(C125="","",COUNTIFS(Başvuru!$C:$C,C125,Başvuru!$L:$L,"KAPSAM DIŞI",Başvuru!$F:$F,"&lt;&gt;"&amp;""))</f>
        <v>0</v>
      </c>
      <c r="P125" s="272">
        <f>IF(C125="","",COUNTIFS(Başvuru!$C:$C,C125,Başvuru!$L:$L,"GERİ ÇEKİLDİ",Başvuru!$F:$F,"&lt;&gt;"&amp;""))</f>
        <v>0</v>
      </c>
      <c r="Q125" s="260" t="s">
        <v>1711</v>
      </c>
      <c r="R125" s="261">
        <f>COUNTIFS(Başvuru!$C:$C,Q125,Başvuru!$F:$F,"&lt;&gt;"&amp;"")</f>
        <v>2</v>
      </c>
      <c r="S125" s="261">
        <f>RANK(R125,$R$6:$R$290,0)+COUNTIF($R$6:R125,R125)-1</f>
        <v>84</v>
      </c>
    </row>
    <row r="126" spans="2:19" ht="15" customHeight="1" x14ac:dyDescent="0.25">
      <c r="B126" s="249">
        <v>121</v>
      </c>
      <c r="C126" s="250" t="str">
        <f>IFERROR(INDEX($Q$6:$Q$290,MATCH(121,$S$6:$S$290,0)),"")</f>
        <v>Arş. Gör. Dr. Ozan KAPLAN</v>
      </c>
      <c r="D126" s="251">
        <f>IF(C126="","",COUNTIFS(Başvuru!$C:$C,C126,Başvuru!$F:$F,"&lt;&gt;"&amp;""))</f>
        <v>1</v>
      </c>
      <c r="E126" s="249" t="str">
        <f>IF(D126&gt;0,TEXT(D126/COUNTIF(Başvuru!$F:$F,"&lt;&gt;"&amp;"")*100,"0.0")&amp;"%","-")</f>
        <v>00%</v>
      </c>
      <c r="F126" s="252">
        <f>IF(C126="","",COUNTIFS(Başvuru!$C:$C,C126,Başvuru!$G:$G,"Bireysel Araştırma",Başvuru!$F:$F,"&lt;&gt;"&amp;""))</f>
        <v>1</v>
      </c>
      <c r="G126" s="252">
        <f>IF(C126="","",COUNTIFS(Başvuru!$C:$C,C126,Başvuru!$G:$G,"Uzmanlık Tezi",Başvuru!$F:$F,"&lt;&gt;"&amp;""))</f>
        <v>0</v>
      </c>
      <c r="H126" s="252">
        <f>IF(C126="","",COUNTIFS(Başvuru!$C:$C,C126,Başvuru!$G:$G,"Doktora Tezi",Başvuru!$F:$F,"&lt;&gt;"&amp;""))</f>
        <v>0</v>
      </c>
      <c r="I126" s="252">
        <f>IF(C126="","",COUNTIFS(Başvuru!$C:$C,C126,Başvuru!$G:$G,"Yüksek Lisans Tezi",Başvuru!$F:$F,"&lt;&gt;"&amp;""))</f>
        <v>0</v>
      </c>
      <c r="J126" s="253">
        <f>IF(C126="","",COUNTIFS(Başvuru!$C:$C,C126,Başvuru!$L:$L,"ONAY",Başvuru!$F:$F,"&lt;&gt;"&amp;""))</f>
        <v>0</v>
      </c>
      <c r="K126" s="254">
        <f>IF(C126="","",COUNTIFS(Başvuru!$C:$C,C126,Başvuru!$L:$L,"DÜZELTME",Başvuru!$F:$F,"&lt;&gt;"&amp;""))</f>
        <v>0</v>
      </c>
      <c r="L126" s="255">
        <f>IF(C126="","",COUNTIFS(Başvuru!$C:$C,C126,Başvuru!$L:$L,"KAEK",Başvuru!$F:$F,"&lt;&gt;"&amp;""))</f>
        <v>0</v>
      </c>
      <c r="M126" s="256">
        <f>IF(C126="","",COUNTIFS(Başvuru!$C:$C,C126,Başvuru!$L:$L,"GÖRÜŞ",Başvuru!$F:$F,"&lt;&gt;"&amp;""))</f>
        <v>1</v>
      </c>
      <c r="N126" s="257">
        <f>IF(C126="","",COUNTIFS(Başvuru!$C:$C,C126,Başvuru!$L:$L,"RET",Başvuru!$F:$F,"&lt;&gt;"&amp;""))</f>
        <v>0</v>
      </c>
      <c r="O126" s="258">
        <f>IF(C126="","",COUNTIFS(Başvuru!$C:$C,C126,Başvuru!$L:$L,"KAPSAM DIŞI",Başvuru!$F:$F,"&lt;&gt;"&amp;""))</f>
        <v>0</v>
      </c>
      <c r="P126" s="259">
        <f>IF(C126="","",COUNTIFS(Başvuru!$C:$C,C126,Başvuru!$L:$L,"GERİ ÇEKİLDİ",Başvuru!$F:$F,"&lt;&gt;"&amp;""))</f>
        <v>0</v>
      </c>
      <c r="Q126" s="260" t="s">
        <v>720</v>
      </c>
      <c r="R126" s="261">
        <f>COUNTIFS(Başvuru!$C:$C,Q126,Başvuru!$F:$F,"&lt;&gt;"&amp;"")</f>
        <v>1</v>
      </c>
      <c r="S126" s="261">
        <f>RANK(R126,$R$6:$R$290,0)+COUNTIF($R$6:R126,R126)-1</f>
        <v>188</v>
      </c>
    </row>
    <row r="127" spans="2:19" ht="15" customHeight="1" x14ac:dyDescent="0.25">
      <c r="B127" s="262">
        <v>122</v>
      </c>
      <c r="C127" s="263" t="str">
        <f>IFERROR(INDEX($Q$6:$Q$290,MATCH(122,$S$6:$S$290,0)),"")</f>
        <v>Arş. Gör. Dr. Tuğçe TAŞKINDERE ABBASOĞLU</v>
      </c>
      <c r="D127" s="264">
        <f>IF(C127="","",COUNTIFS(Başvuru!$C:$C,C127,Başvuru!$F:$F,"&lt;&gt;"&amp;""))</f>
        <v>1</v>
      </c>
      <c r="E127" s="262" t="str">
        <f>IF(D127&gt;0,TEXT(D127/COUNTIF(Başvuru!$F:$F,"&lt;&gt;"&amp;"")*100,"0.0")&amp;"%","-")</f>
        <v>00%</v>
      </c>
      <c r="F127" s="265">
        <f>IF(C127="","",COUNTIFS(Başvuru!$C:$C,C127,Başvuru!$G:$G,"Bireysel Araştırma",Başvuru!$F:$F,"&lt;&gt;"&amp;""))</f>
        <v>1</v>
      </c>
      <c r="G127" s="265">
        <f>IF(C127="","",COUNTIFS(Başvuru!$C:$C,C127,Başvuru!$G:$G,"Uzmanlık Tezi",Başvuru!$F:$F,"&lt;&gt;"&amp;""))</f>
        <v>0</v>
      </c>
      <c r="H127" s="265">
        <f>IF(C127="","",COUNTIFS(Başvuru!$C:$C,C127,Başvuru!$G:$G,"Doktora Tezi",Başvuru!$F:$F,"&lt;&gt;"&amp;""))</f>
        <v>0</v>
      </c>
      <c r="I127" s="265">
        <f>IF(C127="","",COUNTIFS(Başvuru!$C:$C,C127,Başvuru!$G:$G,"Yüksek Lisans Tezi",Başvuru!$F:$F,"&lt;&gt;"&amp;""))</f>
        <v>0</v>
      </c>
      <c r="J127" s="266">
        <f>IF(C127="","",COUNTIFS(Başvuru!$C:$C,C127,Başvuru!$L:$L,"ONAY",Başvuru!$F:$F,"&lt;&gt;"&amp;""))</f>
        <v>0</v>
      </c>
      <c r="K127" s="267">
        <f>IF(C127="","",COUNTIFS(Başvuru!$C:$C,C127,Başvuru!$L:$L,"DÜZELTME",Başvuru!$F:$F,"&lt;&gt;"&amp;""))</f>
        <v>1</v>
      </c>
      <c r="L127" s="268">
        <f>IF(C127="","",COUNTIFS(Başvuru!$C:$C,C127,Başvuru!$L:$L,"KAEK",Başvuru!$F:$F,"&lt;&gt;"&amp;""))</f>
        <v>0</v>
      </c>
      <c r="M127" s="269">
        <f>IF(C127="","",COUNTIFS(Başvuru!$C:$C,C127,Başvuru!$L:$L,"GÖRÜŞ",Başvuru!$F:$F,"&lt;&gt;"&amp;""))</f>
        <v>0</v>
      </c>
      <c r="N127" s="270">
        <f>IF(C127="","",COUNTIFS(Başvuru!$C:$C,C127,Başvuru!$L:$L,"RET",Başvuru!$F:$F,"&lt;&gt;"&amp;""))</f>
        <v>0</v>
      </c>
      <c r="O127" s="271">
        <f>IF(C127="","",COUNTIFS(Başvuru!$C:$C,C127,Başvuru!$L:$L,"KAPSAM DIŞI",Başvuru!$F:$F,"&lt;&gt;"&amp;""))</f>
        <v>0</v>
      </c>
      <c r="P127" s="272">
        <f>IF(C127="","",COUNTIFS(Başvuru!$C:$C,C127,Başvuru!$L:$L,"GERİ ÇEKİLDİ",Başvuru!$F:$F,"&lt;&gt;"&amp;""))</f>
        <v>0</v>
      </c>
      <c r="Q127" s="260" t="s">
        <v>685</v>
      </c>
      <c r="R127" s="261">
        <f>COUNTIFS(Başvuru!$C:$C,Q127,Başvuru!$F:$F,"&lt;&gt;"&amp;"")</f>
        <v>1</v>
      </c>
      <c r="S127" s="261">
        <f>RANK(R127,$R$6:$R$290,0)+COUNTIF($R$6:R127,R127)-1</f>
        <v>189</v>
      </c>
    </row>
    <row r="128" spans="2:19" ht="15" customHeight="1" x14ac:dyDescent="0.25">
      <c r="B128" s="249">
        <v>123</v>
      </c>
      <c r="C128" s="250" t="str">
        <f>IFERROR(INDEX($Q$6:$Q$290,MATCH(123,$S$6:$S$290,0)),"")</f>
        <v>Arş. Gör. Dr. Şeyma KAHRAMAN</v>
      </c>
      <c r="D128" s="251">
        <f>IF(C128="","",COUNTIFS(Başvuru!$C:$C,C128,Başvuru!$F:$F,"&lt;&gt;"&amp;""))</f>
        <v>1</v>
      </c>
      <c r="E128" s="249" t="str">
        <f>IF(D128&gt;0,TEXT(D128/COUNTIF(Başvuru!$F:$F,"&lt;&gt;"&amp;"")*100,"0.0")&amp;"%","-")</f>
        <v>00%</v>
      </c>
      <c r="F128" s="252">
        <f>IF(C128="","",COUNTIFS(Başvuru!$C:$C,C128,Başvuru!$G:$G,"Bireysel Araştırma",Başvuru!$F:$F,"&lt;&gt;"&amp;""))</f>
        <v>1</v>
      </c>
      <c r="G128" s="252">
        <f>IF(C128="","",COUNTIFS(Başvuru!$C:$C,C128,Başvuru!$G:$G,"Uzmanlık Tezi",Başvuru!$F:$F,"&lt;&gt;"&amp;""))</f>
        <v>0</v>
      </c>
      <c r="H128" s="252">
        <f>IF(C128="","",COUNTIFS(Başvuru!$C:$C,C128,Başvuru!$G:$G,"Doktora Tezi",Başvuru!$F:$F,"&lt;&gt;"&amp;""))</f>
        <v>0</v>
      </c>
      <c r="I128" s="252">
        <f>IF(C128="","",COUNTIFS(Başvuru!$C:$C,C128,Başvuru!$G:$G,"Yüksek Lisans Tezi",Başvuru!$F:$F,"&lt;&gt;"&amp;""))</f>
        <v>0</v>
      </c>
      <c r="J128" s="253">
        <f>IF(C128="","",COUNTIFS(Başvuru!$C:$C,C128,Başvuru!$L:$L,"ONAY",Başvuru!$F:$F,"&lt;&gt;"&amp;""))</f>
        <v>0</v>
      </c>
      <c r="K128" s="254">
        <f>IF(C128="","",COUNTIFS(Başvuru!$C:$C,C128,Başvuru!$L:$L,"DÜZELTME",Başvuru!$F:$F,"&lt;&gt;"&amp;""))</f>
        <v>0</v>
      </c>
      <c r="L128" s="255">
        <f>IF(C128="","",COUNTIFS(Başvuru!$C:$C,C128,Başvuru!$L:$L,"KAEK",Başvuru!$F:$F,"&lt;&gt;"&amp;""))</f>
        <v>0</v>
      </c>
      <c r="M128" s="256">
        <f>IF(C128="","",COUNTIFS(Başvuru!$C:$C,C128,Başvuru!$L:$L,"GÖRÜŞ",Başvuru!$F:$F,"&lt;&gt;"&amp;""))</f>
        <v>0</v>
      </c>
      <c r="N128" s="257">
        <f>IF(C128="","",COUNTIFS(Başvuru!$C:$C,C128,Başvuru!$L:$L,"RET",Başvuru!$F:$F,"&lt;&gt;"&amp;""))</f>
        <v>0</v>
      </c>
      <c r="O128" s="258">
        <f>IF(C128="","",COUNTIFS(Başvuru!$C:$C,C128,Başvuru!$L:$L,"KAPSAM DIŞI",Başvuru!$F:$F,"&lt;&gt;"&amp;""))</f>
        <v>1</v>
      </c>
      <c r="P128" s="259">
        <f>IF(C128="","",COUNTIFS(Başvuru!$C:$C,C128,Başvuru!$L:$L,"GERİ ÇEKİLDİ",Başvuru!$F:$F,"&lt;&gt;"&amp;""))</f>
        <v>0</v>
      </c>
      <c r="Q128" s="260" t="s">
        <v>2123</v>
      </c>
      <c r="R128" s="261">
        <f>COUNTIFS(Başvuru!$C:$C,Q128,Başvuru!$F:$F,"&lt;&gt;"&amp;"")</f>
        <v>1</v>
      </c>
      <c r="S128" s="261">
        <f>RANK(R128,$R$6:$R$290,0)+COUNTIF($R$6:R128,R128)-1</f>
        <v>190</v>
      </c>
    </row>
    <row r="129" spans="2:19" ht="15" customHeight="1" x14ac:dyDescent="0.25">
      <c r="B129" s="262">
        <v>124</v>
      </c>
      <c r="C129" s="263" t="str">
        <f>IFERROR(INDEX($Q$6:$Q$290,MATCH(124,$S$6:$S$290,0)),"")</f>
        <v>Arş. Gör. Dt. Dilara KARA</v>
      </c>
      <c r="D129" s="264">
        <f>IF(C129="","",COUNTIFS(Başvuru!$C:$C,C129,Başvuru!$F:$F,"&lt;&gt;"&amp;""))</f>
        <v>1</v>
      </c>
      <c r="E129" s="262" t="str">
        <f>IF(D129&gt;0,TEXT(D129/COUNTIF(Başvuru!$F:$F,"&lt;&gt;"&amp;"")*100,"0.0")&amp;"%","-")</f>
        <v>00%</v>
      </c>
      <c r="F129" s="265">
        <f>IF(C129="","",COUNTIFS(Başvuru!$C:$C,C129,Başvuru!$G:$G,"Bireysel Araştırma",Başvuru!$F:$F,"&lt;&gt;"&amp;""))</f>
        <v>1</v>
      </c>
      <c r="G129" s="265">
        <f>IF(C129="","",COUNTIFS(Başvuru!$C:$C,C129,Başvuru!$G:$G,"Uzmanlık Tezi",Başvuru!$F:$F,"&lt;&gt;"&amp;""))</f>
        <v>0</v>
      </c>
      <c r="H129" s="265">
        <f>IF(C129="","",COUNTIFS(Başvuru!$C:$C,C129,Başvuru!$G:$G,"Doktora Tezi",Başvuru!$F:$F,"&lt;&gt;"&amp;""))</f>
        <v>0</v>
      </c>
      <c r="I129" s="265">
        <f>IF(C129="","",COUNTIFS(Başvuru!$C:$C,C129,Başvuru!$G:$G,"Yüksek Lisans Tezi",Başvuru!$F:$F,"&lt;&gt;"&amp;""))</f>
        <v>0</v>
      </c>
      <c r="J129" s="266">
        <f>IF(C129="","",COUNTIFS(Başvuru!$C:$C,C129,Başvuru!$L:$L,"ONAY",Başvuru!$F:$F,"&lt;&gt;"&amp;""))</f>
        <v>1</v>
      </c>
      <c r="K129" s="267">
        <f>IF(C129="","",COUNTIFS(Başvuru!$C:$C,C129,Başvuru!$L:$L,"DÜZELTME",Başvuru!$F:$F,"&lt;&gt;"&amp;""))</f>
        <v>0</v>
      </c>
      <c r="L129" s="268">
        <f>IF(C129="","",COUNTIFS(Başvuru!$C:$C,C129,Başvuru!$L:$L,"KAEK",Başvuru!$F:$F,"&lt;&gt;"&amp;""))</f>
        <v>0</v>
      </c>
      <c r="M129" s="269">
        <f>IF(C129="","",COUNTIFS(Başvuru!$C:$C,C129,Başvuru!$L:$L,"GÖRÜŞ",Başvuru!$F:$F,"&lt;&gt;"&amp;""))</f>
        <v>0</v>
      </c>
      <c r="N129" s="270">
        <f>IF(C129="","",COUNTIFS(Başvuru!$C:$C,C129,Başvuru!$L:$L,"RET",Başvuru!$F:$F,"&lt;&gt;"&amp;""))</f>
        <v>0</v>
      </c>
      <c r="O129" s="271">
        <f>IF(C129="","",COUNTIFS(Başvuru!$C:$C,C129,Başvuru!$L:$L,"KAPSAM DIŞI",Başvuru!$F:$F,"&lt;&gt;"&amp;""))</f>
        <v>0</v>
      </c>
      <c r="P129" s="272">
        <f>IF(C129="","",COUNTIFS(Başvuru!$C:$C,C129,Başvuru!$L:$L,"GERİ ÇEKİLDİ",Başvuru!$F:$F,"&lt;&gt;"&amp;""))</f>
        <v>0</v>
      </c>
      <c r="Q129" s="260" t="s">
        <v>1008</v>
      </c>
      <c r="R129" s="261">
        <f>COUNTIFS(Başvuru!$C:$C,Q129,Başvuru!$F:$F,"&lt;&gt;"&amp;"")</f>
        <v>1</v>
      </c>
      <c r="S129" s="261">
        <f>RANK(R129,$R$6:$R$290,0)+COUNTIF($R$6:R129,R129)-1</f>
        <v>191</v>
      </c>
    </row>
    <row r="130" spans="2:19" ht="15" customHeight="1" x14ac:dyDescent="0.25">
      <c r="B130" s="249">
        <v>125</v>
      </c>
      <c r="C130" s="250" t="str">
        <f>IFERROR(INDEX($Q$6:$Q$290,MATCH(125,$S$6:$S$290,0)),"")</f>
        <v>Doç. Dr. Almıla Gülsün PAMUK</v>
      </c>
      <c r="D130" s="251">
        <f>IF(C130="","",COUNTIFS(Başvuru!$C:$C,C130,Başvuru!$F:$F,"&lt;&gt;"&amp;""))</f>
        <v>1</v>
      </c>
      <c r="E130" s="249" t="str">
        <f>IF(D130&gt;0,TEXT(D130/COUNTIF(Başvuru!$F:$F,"&lt;&gt;"&amp;"")*100,"0.0")&amp;"%","-")</f>
        <v>00%</v>
      </c>
      <c r="F130" s="252">
        <f>IF(C130="","",COUNTIFS(Başvuru!$C:$C,C130,Başvuru!$G:$G,"Bireysel Araştırma",Başvuru!$F:$F,"&lt;&gt;"&amp;""))</f>
        <v>0</v>
      </c>
      <c r="G130" s="252">
        <f>IF(C130="","",COUNTIFS(Başvuru!$C:$C,C130,Başvuru!$G:$G,"Uzmanlık Tezi",Başvuru!$F:$F,"&lt;&gt;"&amp;""))</f>
        <v>1</v>
      </c>
      <c r="H130" s="252">
        <f>IF(C130="","",COUNTIFS(Başvuru!$C:$C,C130,Başvuru!$G:$G,"Doktora Tezi",Başvuru!$F:$F,"&lt;&gt;"&amp;""))</f>
        <v>0</v>
      </c>
      <c r="I130" s="252">
        <f>IF(C130="","",COUNTIFS(Başvuru!$C:$C,C130,Başvuru!$G:$G,"Yüksek Lisans Tezi",Başvuru!$F:$F,"&lt;&gt;"&amp;""))</f>
        <v>0</v>
      </c>
      <c r="J130" s="253">
        <f>IF(C130="","",COUNTIFS(Başvuru!$C:$C,C130,Başvuru!$L:$L,"ONAY",Başvuru!$F:$F,"&lt;&gt;"&amp;""))</f>
        <v>0</v>
      </c>
      <c r="K130" s="254">
        <f>IF(C130="","",COUNTIFS(Başvuru!$C:$C,C130,Başvuru!$L:$L,"DÜZELTME",Başvuru!$F:$F,"&lt;&gt;"&amp;""))</f>
        <v>1</v>
      </c>
      <c r="L130" s="255">
        <f>IF(C130="","",COUNTIFS(Başvuru!$C:$C,C130,Başvuru!$L:$L,"KAEK",Başvuru!$F:$F,"&lt;&gt;"&amp;""))</f>
        <v>0</v>
      </c>
      <c r="M130" s="256">
        <f>IF(C130="","",COUNTIFS(Başvuru!$C:$C,C130,Başvuru!$L:$L,"GÖRÜŞ",Başvuru!$F:$F,"&lt;&gt;"&amp;""))</f>
        <v>0</v>
      </c>
      <c r="N130" s="257">
        <f>IF(C130="","",COUNTIFS(Başvuru!$C:$C,C130,Başvuru!$L:$L,"RET",Başvuru!$F:$F,"&lt;&gt;"&amp;""))</f>
        <v>0</v>
      </c>
      <c r="O130" s="258">
        <f>IF(C130="","",COUNTIFS(Başvuru!$C:$C,C130,Başvuru!$L:$L,"KAPSAM DIŞI",Başvuru!$F:$F,"&lt;&gt;"&amp;""))</f>
        <v>0</v>
      </c>
      <c r="P130" s="259">
        <f>IF(C130="","",COUNTIFS(Başvuru!$C:$C,C130,Başvuru!$L:$L,"GERİ ÇEKİLDİ",Başvuru!$F:$F,"&lt;&gt;"&amp;""))</f>
        <v>0</v>
      </c>
      <c r="Q130" s="260" t="s">
        <v>1032</v>
      </c>
      <c r="R130" s="261">
        <f>COUNTIFS(Başvuru!$C:$C,Q130,Başvuru!$F:$F,"&lt;&gt;"&amp;"")</f>
        <v>2</v>
      </c>
      <c r="S130" s="261">
        <f>RANK(R130,$R$6:$R$290,0)+COUNTIF($R$6:R130,R130)-1</f>
        <v>85</v>
      </c>
    </row>
    <row r="131" spans="2:19" ht="15" customHeight="1" x14ac:dyDescent="0.25">
      <c r="B131" s="262">
        <v>126</v>
      </c>
      <c r="C131" s="263" t="str">
        <f>IFERROR(INDEX($Q$6:$Q$290,MATCH(126,$S$6:$S$290,0)),"")</f>
        <v>Doç. Dr. Ayhan EYMİRLİ</v>
      </c>
      <c r="D131" s="264">
        <f>IF(C131="","",COUNTIFS(Başvuru!$C:$C,C131,Başvuru!$F:$F,"&lt;&gt;"&amp;""))</f>
        <v>1</v>
      </c>
      <c r="E131" s="262" t="str">
        <f>IF(D131&gt;0,TEXT(D131/COUNTIF(Başvuru!$F:$F,"&lt;&gt;"&amp;"")*100,"0.0")&amp;"%","-")</f>
        <v>00%</v>
      </c>
      <c r="F131" s="265">
        <f>IF(C131="","",COUNTIFS(Başvuru!$C:$C,C131,Başvuru!$G:$G,"Bireysel Araştırma",Başvuru!$F:$F,"&lt;&gt;"&amp;""))</f>
        <v>0</v>
      </c>
      <c r="G131" s="265">
        <f>IF(C131="","",COUNTIFS(Başvuru!$C:$C,C131,Başvuru!$G:$G,"Uzmanlık Tezi",Başvuru!$F:$F,"&lt;&gt;"&amp;""))</f>
        <v>1</v>
      </c>
      <c r="H131" s="265">
        <f>IF(C131="","",COUNTIFS(Başvuru!$C:$C,C131,Başvuru!$G:$G,"Doktora Tezi",Başvuru!$F:$F,"&lt;&gt;"&amp;""))</f>
        <v>0</v>
      </c>
      <c r="I131" s="265">
        <f>IF(C131="","",COUNTIFS(Başvuru!$C:$C,C131,Başvuru!$G:$G,"Yüksek Lisans Tezi",Başvuru!$F:$F,"&lt;&gt;"&amp;""))</f>
        <v>0</v>
      </c>
      <c r="J131" s="266">
        <f>IF(C131="","",COUNTIFS(Başvuru!$C:$C,C131,Başvuru!$L:$L,"ONAY",Başvuru!$F:$F,"&lt;&gt;"&amp;""))</f>
        <v>1</v>
      </c>
      <c r="K131" s="267">
        <f>IF(C131="","",COUNTIFS(Başvuru!$C:$C,C131,Başvuru!$L:$L,"DÜZELTME",Başvuru!$F:$F,"&lt;&gt;"&amp;""))</f>
        <v>0</v>
      </c>
      <c r="L131" s="268">
        <f>IF(C131="","",COUNTIFS(Başvuru!$C:$C,C131,Başvuru!$L:$L,"KAEK",Başvuru!$F:$F,"&lt;&gt;"&amp;""))</f>
        <v>0</v>
      </c>
      <c r="M131" s="269">
        <f>IF(C131="","",COUNTIFS(Başvuru!$C:$C,C131,Başvuru!$L:$L,"GÖRÜŞ",Başvuru!$F:$F,"&lt;&gt;"&amp;""))</f>
        <v>0</v>
      </c>
      <c r="N131" s="270">
        <f>IF(C131="","",COUNTIFS(Başvuru!$C:$C,C131,Başvuru!$L:$L,"RET",Başvuru!$F:$F,"&lt;&gt;"&amp;""))</f>
        <v>0</v>
      </c>
      <c r="O131" s="271">
        <f>IF(C131="","",COUNTIFS(Başvuru!$C:$C,C131,Başvuru!$L:$L,"KAPSAM DIŞI",Başvuru!$F:$F,"&lt;&gt;"&amp;""))</f>
        <v>0</v>
      </c>
      <c r="P131" s="272">
        <f>IF(C131="","",COUNTIFS(Başvuru!$C:$C,C131,Başvuru!$L:$L,"GERİ ÇEKİLDİ",Başvuru!$F:$F,"&lt;&gt;"&amp;""))</f>
        <v>0</v>
      </c>
      <c r="Q131" s="260" t="s">
        <v>656</v>
      </c>
      <c r="R131" s="261">
        <f>COUNTIFS(Başvuru!$C:$C,Q131,Başvuru!$F:$F,"&lt;&gt;"&amp;"")</f>
        <v>3</v>
      </c>
      <c r="S131" s="261">
        <f>RANK(R131,$R$6:$R$290,0)+COUNTIF($R$6:R131,R131)-1</f>
        <v>47</v>
      </c>
    </row>
    <row r="132" spans="2:19" ht="15" customHeight="1" x14ac:dyDescent="0.25">
      <c r="B132" s="249">
        <v>127</v>
      </c>
      <c r="C132" s="250" t="str">
        <f>IFERROR(INDEX($Q$6:$Q$290,MATCH(127,$S$6:$S$290,0)),"")</f>
        <v>Doç. Dr. Ayşe Bikem KARGI</v>
      </c>
      <c r="D132" s="251">
        <f>IF(C132="","",COUNTIFS(Başvuru!$C:$C,C132,Başvuru!$F:$F,"&lt;&gt;"&amp;""))</f>
        <v>1</v>
      </c>
      <c r="E132" s="249" t="str">
        <f>IF(D132&gt;0,TEXT(D132/COUNTIF(Başvuru!$F:$F,"&lt;&gt;"&amp;"")*100,"0.0")&amp;"%","-")</f>
        <v>00%</v>
      </c>
      <c r="F132" s="252">
        <f>IF(C132="","",COUNTIFS(Başvuru!$C:$C,C132,Başvuru!$G:$G,"Bireysel Araştırma",Başvuru!$F:$F,"&lt;&gt;"&amp;""))</f>
        <v>0</v>
      </c>
      <c r="G132" s="252">
        <f>IF(C132="","",COUNTIFS(Başvuru!$C:$C,C132,Başvuru!$G:$G,"Uzmanlık Tezi",Başvuru!$F:$F,"&lt;&gt;"&amp;""))</f>
        <v>0</v>
      </c>
      <c r="H132" s="252">
        <f>IF(C132="","",COUNTIFS(Başvuru!$C:$C,C132,Başvuru!$G:$G,"Doktora Tezi",Başvuru!$F:$F,"&lt;&gt;"&amp;""))</f>
        <v>1</v>
      </c>
      <c r="I132" s="252">
        <f>IF(C132="","",COUNTIFS(Başvuru!$C:$C,C132,Başvuru!$G:$G,"Yüksek Lisans Tezi",Başvuru!$F:$F,"&lt;&gt;"&amp;""))</f>
        <v>0</v>
      </c>
      <c r="J132" s="253">
        <f>IF(C132="","",COUNTIFS(Başvuru!$C:$C,C132,Başvuru!$L:$L,"ONAY",Başvuru!$F:$F,"&lt;&gt;"&amp;""))</f>
        <v>1</v>
      </c>
      <c r="K132" s="254">
        <f>IF(C132="","",COUNTIFS(Başvuru!$C:$C,C132,Başvuru!$L:$L,"DÜZELTME",Başvuru!$F:$F,"&lt;&gt;"&amp;""))</f>
        <v>0</v>
      </c>
      <c r="L132" s="255">
        <f>IF(C132="","",COUNTIFS(Başvuru!$C:$C,C132,Başvuru!$L:$L,"KAEK",Başvuru!$F:$F,"&lt;&gt;"&amp;""))</f>
        <v>0</v>
      </c>
      <c r="M132" s="256">
        <f>IF(C132="","",COUNTIFS(Başvuru!$C:$C,C132,Başvuru!$L:$L,"GÖRÜŞ",Başvuru!$F:$F,"&lt;&gt;"&amp;""))</f>
        <v>0</v>
      </c>
      <c r="N132" s="257">
        <f>IF(C132="","",COUNTIFS(Başvuru!$C:$C,C132,Başvuru!$L:$L,"RET",Başvuru!$F:$F,"&lt;&gt;"&amp;""))</f>
        <v>0</v>
      </c>
      <c r="O132" s="258">
        <f>IF(C132="","",COUNTIFS(Başvuru!$C:$C,C132,Başvuru!$L:$L,"KAPSAM DIŞI",Başvuru!$F:$F,"&lt;&gt;"&amp;""))</f>
        <v>0</v>
      </c>
      <c r="P132" s="259">
        <f>IF(C132="","",COUNTIFS(Başvuru!$C:$C,C132,Başvuru!$L:$L,"GERİ ÇEKİLDİ",Başvuru!$F:$F,"&lt;&gt;"&amp;""))</f>
        <v>0</v>
      </c>
      <c r="Q132" s="260" t="s">
        <v>2264</v>
      </c>
      <c r="R132" s="261">
        <f>COUNTIFS(Başvuru!$C:$C,Q132,Başvuru!$F:$F,"&lt;&gt;"&amp;"")</f>
        <v>1</v>
      </c>
      <c r="S132" s="261">
        <f>RANK(R132,$R$6:$R$290,0)+COUNTIF($R$6:R132,R132)-1</f>
        <v>192</v>
      </c>
    </row>
    <row r="133" spans="2:19" ht="15" customHeight="1" x14ac:dyDescent="0.25">
      <c r="B133" s="262">
        <v>128</v>
      </c>
      <c r="C133" s="263" t="str">
        <f>IFERROR(INDEX($Q$6:$Q$290,MATCH(128,$S$6:$S$290,0)),"")</f>
        <v>Doç. Dr. Barış SEZER</v>
      </c>
      <c r="D133" s="264">
        <f>IF(C133="","",COUNTIFS(Başvuru!$C:$C,C133,Başvuru!$F:$F,"&lt;&gt;"&amp;""))</f>
        <v>1</v>
      </c>
      <c r="E133" s="262" t="str">
        <f>IF(D133&gt;0,TEXT(D133/COUNTIF(Başvuru!$F:$F,"&lt;&gt;"&amp;"")*100,"0.0")&amp;"%","-")</f>
        <v>00%</v>
      </c>
      <c r="F133" s="265">
        <f>IF(C133="","",COUNTIFS(Başvuru!$C:$C,C133,Başvuru!$G:$G,"Bireysel Araştırma",Başvuru!$F:$F,"&lt;&gt;"&amp;""))</f>
        <v>1</v>
      </c>
      <c r="G133" s="265">
        <f>IF(C133="","",COUNTIFS(Başvuru!$C:$C,C133,Başvuru!$G:$G,"Uzmanlık Tezi",Başvuru!$F:$F,"&lt;&gt;"&amp;""))</f>
        <v>0</v>
      </c>
      <c r="H133" s="265">
        <f>IF(C133="","",COUNTIFS(Başvuru!$C:$C,C133,Başvuru!$G:$G,"Doktora Tezi",Başvuru!$F:$F,"&lt;&gt;"&amp;""))</f>
        <v>0</v>
      </c>
      <c r="I133" s="265">
        <f>IF(C133="","",COUNTIFS(Başvuru!$C:$C,C133,Başvuru!$G:$G,"Yüksek Lisans Tezi",Başvuru!$F:$F,"&lt;&gt;"&amp;""))</f>
        <v>0</v>
      </c>
      <c r="J133" s="266">
        <f>IF(C133="","",COUNTIFS(Başvuru!$C:$C,C133,Başvuru!$L:$L,"ONAY",Başvuru!$F:$F,"&lt;&gt;"&amp;""))</f>
        <v>1</v>
      </c>
      <c r="K133" s="267">
        <f>IF(C133="","",COUNTIFS(Başvuru!$C:$C,C133,Başvuru!$L:$L,"DÜZELTME",Başvuru!$F:$F,"&lt;&gt;"&amp;""))</f>
        <v>0</v>
      </c>
      <c r="L133" s="268">
        <f>IF(C133="","",COUNTIFS(Başvuru!$C:$C,C133,Başvuru!$L:$L,"KAEK",Başvuru!$F:$F,"&lt;&gt;"&amp;""))</f>
        <v>0</v>
      </c>
      <c r="M133" s="269">
        <f>IF(C133="","",COUNTIFS(Başvuru!$C:$C,C133,Başvuru!$L:$L,"GÖRÜŞ",Başvuru!$F:$F,"&lt;&gt;"&amp;""))</f>
        <v>0</v>
      </c>
      <c r="N133" s="270">
        <f>IF(C133="","",COUNTIFS(Başvuru!$C:$C,C133,Başvuru!$L:$L,"RET",Başvuru!$F:$F,"&lt;&gt;"&amp;""))</f>
        <v>0</v>
      </c>
      <c r="O133" s="271">
        <f>IF(C133="","",COUNTIFS(Başvuru!$C:$C,C133,Başvuru!$L:$L,"KAPSAM DIŞI",Başvuru!$F:$F,"&lt;&gt;"&amp;""))</f>
        <v>0</v>
      </c>
      <c r="P133" s="272">
        <f>IF(C133="","",COUNTIFS(Başvuru!$C:$C,C133,Başvuru!$L:$L,"GERİ ÇEKİLDİ",Başvuru!$F:$F,"&lt;&gt;"&amp;""))</f>
        <v>0</v>
      </c>
      <c r="Q133" s="260" t="s">
        <v>2324</v>
      </c>
      <c r="R133" s="261">
        <f>COUNTIFS(Başvuru!$C:$C,Q133,Başvuru!$F:$F,"&lt;&gt;"&amp;"")</f>
        <v>1</v>
      </c>
      <c r="S133" s="261">
        <f>RANK(R133,$R$6:$R$290,0)+COUNTIF($R$6:R133,R133)-1</f>
        <v>193</v>
      </c>
    </row>
    <row r="134" spans="2:19" ht="15" customHeight="1" x14ac:dyDescent="0.25">
      <c r="B134" s="249">
        <v>129</v>
      </c>
      <c r="C134" s="250" t="str">
        <f>IFERROR(INDEX($Q$6:$Q$290,MATCH(129,$S$6:$S$290,0)),"")</f>
        <v>Doç. Dr. Basri GÜLBAKAN</v>
      </c>
      <c r="D134" s="251">
        <f>IF(C134="","",COUNTIFS(Başvuru!$C:$C,C134,Başvuru!$F:$F,"&lt;&gt;"&amp;""))</f>
        <v>1</v>
      </c>
      <c r="E134" s="249" t="str">
        <f>IF(D134&gt;0,TEXT(D134/COUNTIF(Başvuru!$F:$F,"&lt;&gt;"&amp;"")*100,"0.0")&amp;"%","-")</f>
        <v>00%</v>
      </c>
      <c r="F134" s="252">
        <f>IF(C134="","",COUNTIFS(Başvuru!$C:$C,C134,Başvuru!$G:$G,"Bireysel Araştırma",Başvuru!$F:$F,"&lt;&gt;"&amp;""))</f>
        <v>0</v>
      </c>
      <c r="G134" s="252">
        <f>IF(C134="","",COUNTIFS(Başvuru!$C:$C,C134,Başvuru!$G:$G,"Uzmanlık Tezi",Başvuru!$F:$F,"&lt;&gt;"&amp;""))</f>
        <v>0</v>
      </c>
      <c r="H134" s="252">
        <f>IF(C134="","",COUNTIFS(Başvuru!$C:$C,C134,Başvuru!$G:$G,"Doktora Tezi",Başvuru!$F:$F,"&lt;&gt;"&amp;""))</f>
        <v>0</v>
      </c>
      <c r="I134" s="252">
        <f>IF(C134="","",COUNTIFS(Başvuru!$C:$C,C134,Başvuru!$G:$G,"Yüksek Lisans Tezi",Başvuru!$F:$F,"&lt;&gt;"&amp;""))</f>
        <v>1</v>
      </c>
      <c r="J134" s="253">
        <f>IF(C134="","",COUNTIFS(Başvuru!$C:$C,C134,Başvuru!$L:$L,"ONAY",Başvuru!$F:$F,"&lt;&gt;"&amp;""))</f>
        <v>0</v>
      </c>
      <c r="K134" s="254">
        <f>IF(C134="","",COUNTIFS(Başvuru!$C:$C,C134,Başvuru!$L:$L,"DÜZELTME",Başvuru!$F:$F,"&lt;&gt;"&amp;""))</f>
        <v>1</v>
      </c>
      <c r="L134" s="255">
        <f>IF(C134="","",COUNTIFS(Başvuru!$C:$C,C134,Başvuru!$L:$L,"KAEK",Başvuru!$F:$F,"&lt;&gt;"&amp;""))</f>
        <v>0</v>
      </c>
      <c r="M134" s="256">
        <f>IF(C134="","",COUNTIFS(Başvuru!$C:$C,C134,Başvuru!$L:$L,"GÖRÜŞ",Başvuru!$F:$F,"&lt;&gt;"&amp;""))</f>
        <v>0</v>
      </c>
      <c r="N134" s="257">
        <f>IF(C134="","",COUNTIFS(Başvuru!$C:$C,C134,Başvuru!$L:$L,"RET",Başvuru!$F:$F,"&lt;&gt;"&amp;""))</f>
        <v>0</v>
      </c>
      <c r="O134" s="258">
        <f>IF(C134="","",COUNTIFS(Başvuru!$C:$C,C134,Başvuru!$L:$L,"KAPSAM DIŞI",Başvuru!$F:$F,"&lt;&gt;"&amp;""))</f>
        <v>0</v>
      </c>
      <c r="P134" s="259">
        <f>IF(C134="","",COUNTIFS(Başvuru!$C:$C,C134,Başvuru!$L:$L,"GERİ ÇEKİLDİ",Başvuru!$F:$F,"&lt;&gt;"&amp;""))</f>
        <v>0</v>
      </c>
      <c r="Q134" s="260" t="s">
        <v>1514</v>
      </c>
      <c r="R134" s="261">
        <f>COUNTIFS(Başvuru!$C:$C,Q134,Başvuru!$F:$F,"&lt;&gt;"&amp;"")</f>
        <v>1</v>
      </c>
      <c r="S134" s="261">
        <f>RANK(R134,$R$6:$R$290,0)+COUNTIF($R$6:R134,R134)-1</f>
        <v>194</v>
      </c>
    </row>
    <row r="135" spans="2:19" ht="15" customHeight="1" x14ac:dyDescent="0.25">
      <c r="B135" s="262">
        <v>130</v>
      </c>
      <c r="C135" s="263" t="str">
        <f>IFERROR(INDEX($Q$6:$Q$290,MATCH(130,$S$6:$S$290,0)),"")</f>
        <v>Doç. Dr. Başak AKÇA</v>
      </c>
      <c r="D135" s="264">
        <f>IF(C135="","",COUNTIFS(Başvuru!$C:$C,C135,Başvuru!$F:$F,"&lt;&gt;"&amp;""))</f>
        <v>1</v>
      </c>
      <c r="E135" s="262" t="str">
        <f>IF(D135&gt;0,TEXT(D135/COUNTIF(Başvuru!$F:$F,"&lt;&gt;"&amp;"")*100,"0.0")&amp;"%","-")</f>
        <v>00%</v>
      </c>
      <c r="F135" s="265">
        <f>IF(C135="","",COUNTIFS(Başvuru!$C:$C,C135,Başvuru!$G:$G,"Bireysel Araştırma",Başvuru!$F:$F,"&lt;&gt;"&amp;""))</f>
        <v>0</v>
      </c>
      <c r="G135" s="265">
        <f>IF(C135="","",COUNTIFS(Başvuru!$C:$C,C135,Başvuru!$G:$G,"Uzmanlık Tezi",Başvuru!$F:$F,"&lt;&gt;"&amp;""))</f>
        <v>1</v>
      </c>
      <c r="H135" s="265">
        <f>IF(C135="","",COUNTIFS(Başvuru!$C:$C,C135,Başvuru!$G:$G,"Doktora Tezi",Başvuru!$F:$F,"&lt;&gt;"&amp;""))</f>
        <v>0</v>
      </c>
      <c r="I135" s="265">
        <f>IF(C135="","",COUNTIFS(Başvuru!$C:$C,C135,Başvuru!$G:$G,"Yüksek Lisans Tezi",Başvuru!$F:$F,"&lt;&gt;"&amp;""))</f>
        <v>0</v>
      </c>
      <c r="J135" s="266">
        <f>IF(C135="","",COUNTIFS(Başvuru!$C:$C,C135,Başvuru!$L:$L,"ONAY",Başvuru!$F:$F,"&lt;&gt;"&amp;""))</f>
        <v>0</v>
      </c>
      <c r="K135" s="267">
        <f>IF(C135="","",COUNTIFS(Başvuru!$C:$C,C135,Başvuru!$L:$L,"DÜZELTME",Başvuru!$F:$F,"&lt;&gt;"&amp;""))</f>
        <v>0</v>
      </c>
      <c r="L135" s="268">
        <f>IF(C135="","",COUNTIFS(Başvuru!$C:$C,C135,Başvuru!$L:$L,"KAEK",Başvuru!$F:$F,"&lt;&gt;"&amp;""))</f>
        <v>0</v>
      </c>
      <c r="M135" s="269">
        <f>IF(C135="","",COUNTIFS(Başvuru!$C:$C,C135,Başvuru!$L:$L,"GÖRÜŞ",Başvuru!$F:$F,"&lt;&gt;"&amp;""))</f>
        <v>1</v>
      </c>
      <c r="N135" s="270">
        <f>IF(C135="","",COUNTIFS(Başvuru!$C:$C,C135,Başvuru!$L:$L,"RET",Başvuru!$F:$F,"&lt;&gt;"&amp;""))</f>
        <v>0</v>
      </c>
      <c r="O135" s="271">
        <f>IF(C135="","",COUNTIFS(Başvuru!$C:$C,C135,Başvuru!$L:$L,"KAPSAM DIŞI",Başvuru!$F:$F,"&lt;&gt;"&amp;""))</f>
        <v>0</v>
      </c>
      <c r="P135" s="272">
        <f>IF(C135="","",COUNTIFS(Başvuru!$C:$C,C135,Başvuru!$L:$L,"GERİ ÇEKİLDİ",Başvuru!$F:$F,"&lt;&gt;"&amp;""))</f>
        <v>0</v>
      </c>
      <c r="Q135" s="260" t="s">
        <v>2218</v>
      </c>
      <c r="R135" s="261">
        <f>COUNTIFS(Başvuru!$C:$C,Q135,Başvuru!$F:$F,"&lt;&gt;"&amp;"")</f>
        <v>1</v>
      </c>
      <c r="S135" s="261">
        <f>RANK(R135,$R$6:$R$290,0)+COUNTIF($R$6:R135,R135)-1</f>
        <v>195</v>
      </c>
    </row>
    <row r="136" spans="2:19" ht="15" customHeight="1" x14ac:dyDescent="0.25">
      <c r="B136" s="249">
        <v>131</v>
      </c>
      <c r="C136" s="250" t="str">
        <f>IFERROR(INDEX($Q$6:$Q$290,MATCH(131,$S$6:$S$290,0)),"")</f>
        <v>Doç. Dr. Bengisu AKARSU GÜVEN</v>
      </c>
      <c r="D136" s="251">
        <f>IF(C136="","",COUNTIFS(Başvuru!$C:$C,C136,Başvuru!$F:$F,"&lt;&gt;"&amp;""))</f>
        <v>1</v>
      </c>
      <c r="E136" s="249" t="str">
        <f>IF(D136&gt;0,TEXT(D136/COUNTIF(Başvuru!$F:$F,"&lt;&gt;"&amp;"")*100,"0.0")&amp;"%","-")</f>
        <v>00%</v>
      </c>
      <c r="F136" s="252">
        <f>IF(C136="","",COUNTIFS(Başvuru!$C:$C,C136,Başvuru!$G:$G,"Bireysel Araştırma",Başvuru!$F:$F,"&lt;&gt;"&amp;""))</f>
        <v>1</v>
      </c>
      <c r="G136" s="252">
        <f>IF(C136="","",COUNTIFS(Başvuru!$C:$C,C136,Başvuru!$G:$G,"Uzmanlık Tezi",Başvuru!$F:$F,"&lt;&gt;"&amp;""))</f>
        <v>0</v>
      </c>
      <c r="H136" s="252">
        <f>IF(C136="","",COUNTIFS(Başvuru!$C:$C,C136,Başvuru!$G:$G,"Doktora Tezi",Başvuru!$F:$F,"&lt;&gt;"&amp;""))</f>
        <v>0</v>
      </c>
      <c r="I136" s="252">
        <f>IF(C136="","",COUNTIFS(Başvuru!$C:$C,C136,Başvuru!$G:$G,"Yüksek Lisans Tezi",Başvuru!$F:$F,"&lt;&gt;"&amp;""))</f>
        <v>0</v>
      </c>
      <c r="J136" s="253">
        <f>IF(C136="","",COUNTIFS(Başvuru!$C:$C,C136,Başvuru!$L:$L,"ONAY",Başvuru!$F:$F,"&lt;&gt;"&amp;""))</f>
        <v>0</v>
      </c>
      <c r="K136" s="254">
        <f>IF(C136="","",COUNTIFS(Başvuru!$C:$C,C136,Başvuru!$L:$L,"DÜZELTME",Başvuru!$F:$F,"&lt;&gt;"&amp;""))</f>
        <v>1</v>
      </c>
      <c r="L136" s="255">
        <f>IF(C136="","",COUNTIFS(Başvuru!$C:$C,C136,Başvuru!$L:$L,"KAEK",Başvuru!$F:$F,"&lt;&gt;"&amp;""))</f>
        <v>0</v>
      </c>
      <c r="M136" s="256">
        <f>IF(C136="","",COUNTIFS(Başvuru!$C:$C,C136,Başvuru!$L:$L,"GÖRÜŞ",Başvuru!$F:$F,"&lt;&gt;"&amp;""))</f>
        <v>0</v>
      </c>
      <c r="N136" s="257">
        <f>IF(C136="","",COUNTIFS(Başvuru!$C:$C,C136,Başvuru!$L:$L,"RET",Başvuru!$F:$F,"&lt;&gt;"&amp;""))</f>
        <v>0</v>
      </c>
      <c r="O136" s="258">
        <f>IF(C136="","",COUNTIFS(Başvuru!$C:$C,C136,Başvuru!$L:$L,"KAPSAM DIŞI",Başvuru!$F:$F,"&lt;&gt;"&amp;""))</f>
        <v>0</v>
      </c>
      <c r="P136" s="259">
        <f>IF(C136="","",COUNTIFS(Başvuru!$C:$C,C136,Başvuru!$L:$L,"GERİ ÇEKİLDİ",Başvuru!$F:$F,"&lt;&gt;"&amp;""))</f>
        <v>0</v>
      </c>
      <c r="Q136" s="260" t="s">
        <v>1106</v>
      </c>
      <c r="R136" s="261">
        <f>COUNTIFS(Başvuru!$C:$C,Q136,Başvuru!$F:$F,"&lt;&gt;"&amp;"")</f>
        <v>1</v>
      </c>
      <c r="S136" s="261">
        <f>RANK(R136,$R$6:$R$290,0)+COUNTIF($R$6:R136,R136)-1</f>
        <v>196</v>
      </c>
    </row>
    <row r="137" spans="2:19" ht="15" customHeight="1" x14ac:dyDescent="0.25">
      <c r="B137" s="262">
        <v>132</v>
      </c>
      <c r="C137" s="263" t="str">
        <f>IFERROR(INDEX($Q$6:$Q$290,MATCH(132,$S$6:$S$290,0)),"")</f>
        <v>Doç. Dr. Burak ARDIÇLI</v>
      </c>
      <c r="D137" s="264">
        <f>IF(C137="","",COUNTIFS(Başvuru!$C:$C,C137,Başvuru!$F:$F,"&lt;&gt;"&amp;""))</f>
        <v>1</v>
      </c>
      <c r="E137" s="262" t="str">
        <f>IF(D137&gt;0,TEXT(D137/COUNTIF(Başvuru!$F:$F,"&lt;&gt;"&amp;"")*100,"0.0")&amp;"%","-")</f>
        <v>00%</v>
      </c>
      <c r="F137" s="265">
        <f>IF(C137="","",COUNTIFS(Başvuru!$C:$C,C137,Başvuru!$G:$G,"Bireysel Araştırma",Başvuru!$F:$F,"&lt;&gt;"&amp;""))</f>
        <v>1</v>
      </c>
      <c r="G137" s="265">
        <f>IF(C137="","",COUNTIFS(Başvuru!$C:$C,C137,Başvuru!$G:$G,"Uzmanlık Tezi",Başvuru!$F:$F,"&lt;&gt;"&amp;""))</f>
        <v>0</v>
      </c>
      <c r="H137" s="265">
        <f>IF(C137="","",COUNTIFS(Başvuru!$C:$C,C137,Başvuru!$G:$G,"Doktora Tezi",Başvuru!$F:$F,"&lt;&gt;"&amp;""))</f>
        <v>0</v>
      </c>
      <c r="I137" s="265">
        <f>IF(C137="","",COUNTIFS(Başvuru!$C:$C,C137,Başvuru!$G:$G,"Yüksek Lisans Tezi",Başvuru!$F:$F,"&lt;&gt;"&amp;""))</f>
        <v>0</v>
      </c>
      <c r="J137" s="266">
        <f>IF(C137="","",COUNTIFS(Başvuru!$C:$C,C137,Başvuru!$L:$L,"ONAY",Başvuru!$F:$F,"&lt;&gt;"&amp;""))</f>
        <v>1</v>
      </c>
      <c r="K137" s="267">
        <f>IF(C137="","",COUNTIFS(Başvuru!$C:$C,C137,Başvuru!$L:$L,"DÜZELTME",Başvuru!$F:$F,"&lt;&gt;"&amp;""))</f>
        <v>0</v>
      </c>
      <c r="L137" s="268">
        <f>IF(C137="","",COUNTIFS(Başvuru!$C:$C,C137,Başvuru!$L:$L,"KAEK",Başvuru!$F:$F,"&lt;&gt;"&amp;""))</f>
        <v>0</v>
      </c>
      <c r="M137" s="269">
        <f>IF(C137="","",COUNTIFS(Başvuru!$C:$C,C137,Başvuru!$L:$L,"GÖRÜŞ",Başvuru!$F:$F,"&lt;&gt;"&amp;""))</f>
        <v>0</v>
      </c>
      <c r="N137" s="270">
        <f>IF(C137="","",COUNTIFS(Başvuru!$C:$C,C137,Başvuru!$L:$L,"RET",Başvuru!$F:$F,"&lt;&gt;"&amp;""))</f>
        <v>0</v>
      </c>
      <c r="O137" s="271">
        <f>IF(C137="","",COUNTIFS(Başvuru!$C:$C,C137,Başvuru!$L:$L,"KAPSAM DIŞI",Başvuru!$F:$F,"&lt;&gt;"&amp;""))</f>
        <v>0</v>
      </c>
      <c r="P137" s="272">
        <f>IF(C137="","",COUNTIFS(Başvuru!$C:$C,C137,Başvuru!$L:$L,"GERİ ÇEKİLDİ",Başvuru!$F:$F,"&lt;&gt;"&amp;""))</f>
        <v>0</v>
      </c>
      <c r="Q137" s="260" t="s">
        <v>1431</v>
      </c>
      <c r="R137" s="261">
        <f>COUNTIFS(Başvuru!$C:$C,Q137,Başvuru!$F:$F,"&lt;&gt;"&amp;"")</f>
        <v>1</v>
      </c>
      <c r="S137" s="261">
        <f>RANK(R137,$R$6:$R$290,0)+COUNTIF($R$6:R137,R137)-1</f>
        <v>197</v>
      </c>
    </row>
    <row r="138" spans="2:19" ht="15" customHeight="1" x14ac:dyDescent="0.25">
      <c r="B138" s="249">
        <v>133</v>
      </c>
      <c r="C138" s="250" t="str">
        <f>IFERROR(INDEX($Q$6:$Q$290,MATCH(133,$S$6:$S$290,0)),"")</f>
        <v>Doç. Dr. Cansu ÖZŞİN ÖZLER</v>
      </c>
      <c r="D138" s="251">
        <f>IF(C138="","",COUNTIFS(Başvuru!$C:$C,C138,Başvuru!$F:$F,"&lt;&gt;"&amp;""))</f>
        <v>1</v>
      </c>
      <c r="E138" s="249" t="str">
        <f>IF(D138&gt;0,TEXT(D138/COUNTIF(Başvuru!$F:$F,"&lt;&gt;"&amp;"")*100,"0.0")&amp;"%","-")</f>
        <v>00%</v>
      </c>
      <c r="F138" s="252">
        <f>IF(C138="","",COUNTIFS(Başvuru!$C:$C,C138,Başvuru!$G:$G,"Bireysel Araştırma",Başvuru!$F:$F,"&lt;&gt;"&amp;""))</f>
        <v>0</v>
      </c>
      <c r="G138" s="252">
        <f>IF(C138="","",COUNTIFS(Başvuru!$C:$C,C138,Başvuru!$G:$G,"Uzmanlık Tezi",Başvuru!$F:$F,"&lt;&gt;"&amp;""))</f>
        <v>1</v>
      </c>
      <c r="H138" s="252">
        <f>IF(C138="","",COUNTIFS(Başvuru!$C:$C,C138,Başvuru!$G:$G,"Doktora Tezi",Başvuru!$F:$F,"&lt;&gt;"&amp;""))</f>
        <v>0</v>
      </c>
      <c r="I138" s="252">
        <f>IF(C138="","",COUNTIFS(Başvuru!$C:$C,C138,Başvuru!$G:$G,"Yüksek Lisans Tezi",Başvuru!$F:$F,"&lt;&gt;"&amp;""))</f>
        <v>0</v>
      </c>
      <c r="J138" s="253">
        <f>IF(C138="","",COUNTIFS(Başvuru!$C:$C,C138,Başvuru!$L:$L,"ONAY",Başvuru!$F:$F,"&lt;&gt;"&amp;""))</f>
        <v>1</v>
      </c>
      <c r="K138" s="254">
        <f>IF(C138="","",COUNTIFS(Başvuru!$C:$C,C138,Başvuru!$L:$L,"DÜZELTME",Başvuru!$F:$F,"&lt;&gt;"&amp;""))</f>
        <v>0</v>
      </c>
      <c r="L138" s="255">
        <f>IF(C138="","",COUNTIFS(Başvuru!$C:$C,C138,Başvuru!$L:$L,"KAEK",Başvuru!$F:$F,"&lt;&gt;"&amp;""))</f>
        <v>0</v>
      </c>
      <c r="M138" s="256">
        <f>IF(C138="","",COUNTIFS(Başvuru!$C:$C,C138,Başvuru!$L:$L,"GÖRÜŞ",Başvuru!$F:$F,"&lt;&gt;"&amp;""))</f>
        <v>0</v>
      </c>
      <c r="N138" s="257">
        <f>IF(C138="","",COUNTIFS(Başvuru!$C:$C,C138,Başvuru!$L:$L,"RET",Başvuru!$F:$F,"&lt;&gt;"&amp;""))</f>
        <v>0</v>
      </c>
      <c r="O138" s="258">
        <f>IF(C138="","",COUNTIFS(Başvuru!$C:$C,C138,Başvuru!$L:$L,"KAPSAM DIŞI",Başvuru!$F:$F,"&lt;&gt;"&amp;""))</f>
        <v>0</v>
      </c>
      <c r="P138" s="259">
        <f>IF(C138="","",COUNTIFS(Başvuru!$C:$C,C138,Başvuru!$L:$L,"GERİ ÇEKİLDİ",Başvuru!$F:$F,"&lt;&gt;"&amp;""))</f>
        <v>0</v>
      </c>
      <c r="Q138" s="260" t="s">
        <v>2302</v>
      </c>
      <c r="R138" s="261">
        <f>COUNTIFS(Başvuru!$C:$C,Q138,Başvuru!$F:$F,"&lt;&gt;"&amp;"")</f>
        <v>2</v>
      </c>
      <c r="S138" s="261">
        <f>RANK(R138,$R$6:$R$290,0)+COUNTIF($R$6:R138,R138)-1</f>
        <v>86</v>
      </c>
    </row>
    <row r="139" spans="2:19" ht="15" customHeight="1" x14ac:dyDescent="0.25">
      <c r="B139" s="262">
        <v>134</v>
      </c>
      <c r="C139" s="263" t="str">
        <f>IFERROR(INDEX($Q$6:$Q$290,MATCH(134,$S$6:$S$290,0)),"")</f>
        <v>Doç. Dr. Derman BAŞARAN</v>
      </c>
      <c r="D139" s="264">
        <f>IF(C139="","",COUNTIFS(Başvuru!$C:$C,C139,Başvuru!$F:$F,"&lt;&gt;"&amp;""))</f>
        <v>1</v>
      </c>
      <c r="E139" s="262" t="str">
        <f>IF(D139&gt;0,TEXT(D139/COUNTIF(Başvuru!$F:$F,"&lt;&gt;"&amp;"")*100,"0.0")&amp;"%","-")</f>
        <v>00%</v>
      </c>
      <c r="F139" s="265">
        <f>IF(C139="","",COUNTIFS(Başvuru!$C:$C,C139,Başvuru!$G:$G,"Bireysel Araştırma",Başvuru!$F:$F,"&lt;&gt;"&amp;""))</f>
        <v>1</v>
      </c>
      <c r="G139" s="265">
        <f>IF(C139="","",COUNTIFS(Başvuru!$C:$C,C139,Başvuru!$G:$G,"Uzmanlık Tezi",Başvuru!$F:$F,"&lt;&gt;"&amp;""))</f>
        <v>0</v>
      </c>
      <c r="H139" s="265">
        <f>IF(C139="","",COUNTIFS(Başvuru!$C:$C,C139,Başvuru!$G:$G,"Doktora Tezi",Başvuru!$F:$F,"&lt;&gt;"&amp;""))</f>
        <v>0</v>
      </c>
      <c r="I139" s="265">
        <f>IF(C139="","",COUNTIFS(Başvuru!$C:$C,C139,Başvuru!$G:$G,"Yüksek Lisans Tezi",Başvuru!$F:$F,"&lt;&gt;"&amp;""))</f>
        <v>0</v>
      </c>
      <c r="J139" s="266">
        <f>IF(C139="","",COUNTIFS(Başvuru!$C:$C,C139,Başvuru!$L:$L,"ONAY",Başvuru!$F:$F,"&lt;&gt;"&amp;""))</f>
        <v>1</v>
      </c>
      <c r="K139" s="267">
        <f>IF(C139="","",COUNTIFS(Başvuru!$C:$C,C139,Başvuru!$L:$L,"DÜZELTME",Başvuru!$F:$F,"&lt;&gt;"&amp;""))</f>
        <v>0</v>
      </c>
      <c r="L139" s="268">
        <f>IF(C139="","",COUNTIFS(Başvuru!$C:$C,C139,Başvuru!$L:$L,"KAEK",Başvuru!$F:$F,"&lt;&gt;"&amp;""))</f>
        <v>0</v>
      </c>
      <c r="M139" s="269">
        <f>IF(C139="","",COUNTIFS(Başvuru!$C:$C,C139,Başvuru!$L:$L,"GÖRÜŞ",Başvuru!$F:$F,"&lt;&gt;"&amp;""))</f>
        <v>0</v>
      </c>
      <c r="N139" s="270">
        <f>IF(C139="","",COUNTIFS(Başvuru!$C:$C,C139,Başvuru!$L:$L,"RET",Başvuru!$F:$F,"&lt;&gt;"&amp;""))</f>
        <v>0</v>
      </c>
      <c r="O139" s="271">
        <f>IF(C139="","",COUNTIFS(Başvuru!$C:$C,C139,Başvuru!$L:$L,"KAPSAM DIŞI",Başvuru!$F:$F,"&lt;&gt;"&amp;""))</f>
        <v>0</v>
      </c>
      <c r="P139" s="272">
        <f>IF(C139="","",COUNTIFS(Başvuru!$C:$C,C139,Başvuru!$L:$L,"GERİ ÇEKİLDİ",Başvuru!$F:$F,"&lt;&gt;"&amp;""))</f>
        <v>0</v>
      </c>
      <c r="Q139" s="260" t="s">
        <v>1348</v>
      </c>
      <c r="R139" s="261">
        <f>COUNTIFS(Başvuru!$C:$C,Q139,Başvuru!$F:$F,"&lt;&gt;"&amp;"")</f>
        <v>2</v>
      </c>
      <c r="S139" s="261">
        <f>RANK(R139,$R$6:$R$290,0)+COUNTIF($R$6:R139,R139)-1</f>
        <v>87</v>
      </c>
    </row>
    <row r="140" spans="2:19" ht="15" customHeight="1" x14ac:dyDescent="0.25">
      <c r="B140" s="249">
        <v>135</v>
      </c>
      <c r="C140" s="250" t="str">
        <f>IFERROR(INDEX($Q$6:$Q$290,MATCH(135,$S$6:$S$290,0)),"")</f>
        <v>Doç. Dr. Eda Didem KURT ŞÜKÜR</v>
      </c>
      <c r="D140" s="251">
        <f>IF(C140="","",COUNTIFS(Başvuru!$C:$C,C140,Başvuru!$F:$F,"&lt;&gt;"&amp;""))</f>
        <v>1</v>
      </c>
      <c r="E140" s="249" t="str">
        <f>IF(D140&gt;0,TEXT(D140/COUNTIF(Başvuru!$F:$F,"&lt;&gt;"&amp;"")*100,"0.0")&amp;"%","-")</f>
        <v>00%</v>
      </c>
      <c r="F140" s="252">
        <f>IF(C140="","",COUNTIFS(Başvuru!$C:$C,C140,Başvuru!$G:$G,"Bireysel Araştırma",Başvuru!$F:$F,"&lt;&gt;"&amp;""))</f>
        <v>0</v>
      </c>
      <c r="G140" s="252">
        <f>IF(C140="","",COUNTIFS(Başvuru!$C:$C,C140,Başvuru!$G:$G,"Uzmanlık Tezi",Başvuru!$F:$F,"&lt;&gt;"&amp;""))</f>
        <v>1</v>
      </c>
      <c r="H140" s="252">
        <f>IF(C140="","",COUNTIFS(Başvuru!$C:$C,C140,Başvuru!$G:$G,"Doktora Tezi",Başvuru!$F:$F,"&lt;&gt;"&amp;""))</f>
        <v>0</v>
      </c>
      <c r="I140" s="252">
        <f>IF(C140="","",COUNTIFS(Başvuru!$C:$C,C140,Başvuru!$G:$G,"Yüksek Lisans Tezi",Başvuru!$F:$F,"&lt;&gt;"&amp;""))</f>
        <v>0</v>
      </c>
      <c r="J140" s="253">
        <f>IF(C140="","",COUNTIFS(Başvuru!$C:$C,C140,Başvuru!$L:$L,"ONAY",Başvuru!$F:$F,"&lt;&gt;"&amp;""))</f>
        <v>1</v>
      </c>
      <c r="K140" s="254">
        <f>IF(C140="","",COUNTIFS(Başvuru!$C:$C,C140,Başvuru!$L:$L,"DÜZELTME",Başvuru!$F:$F,"&lt;&gt;"&amp;""))</f>
        <v>0</v>
      </c>
      <c r="L140" s="255">
        <f>IF(C140="","",COUNTIFS(Başvuru!$C:$C,C140,Başvuru!$L:$L,"KAEK",Başvuru!$F:$F,"&lt;&gt;"&amp;""))</f>
        <v>0</v>
      </c>
      <c r="M140" s="256">
        <f>IF(C140="","",COUNTIFS(Başvuru!$C:$C,C140,Başvuru!$L:$L,"GÖRÜŞ",Başvuru!$F:$F,"&lt;&gt;"&amp;""))</f>
        <v>0</v>
      </c>
      <c r="N140" s="257">
        <f>IF(C140="","",COUNTIFS(Başvuru!$C:$C,C140,Başvuru!$L:$L,"RET",Başvuru!$F:$F,"&lt;&gt;"&amp;""))</f>
        <v>0</v>
      </c>
      <c r="O140" s="258">
        <f>IF(C140="","",COUNTIFS(Başvuru!$C:$C,C140,Başvuru!$L:$L,"KAPSAM DIŞI",Başvuru!$F:$F,"&lt;&gt;"&amp;""))</f>
        <v>0</v>
      </c>
      <c r="P140" s="259">
        <f>IF(C140="","",COUNTIFS(Başvuru!$C:$C,C140,Başvuru!$L:$L,"GERİ ÇEKİLDİ",Başvuru!$F:$F,"&lt;&gt;"&amp;""))</f>
        <v>0</v>
      </c>
      <c r="Q140" s="260" t="s">
        <v>1665</v>
      </c>
      <c r="R140" s="261">
        <f>COUNTIFS(Başvuru!$C:$C,Q140,Başvuru!$F:$F,"&lt;&gt;"&amp;"")</f>
        <v>1</v>
      </c>
      <c r="S140" s="261">
        <f>RANK(R140,$R$6:$R$290,0)+COUNTIF($R$6:R140,R140)-1</f>
        <v>198</v>
      </c>
    </row>
    <row r="141" spans="2:19" ht="15" customHeight="1" x14ac:dyDescent="0.25">
      <c r="B141" s="262">
        <v>136</v>
      </c>
      <c r="C141" s="263" t="str">
        <f>IFERROR(INDEX($Q$6:$Q$290,MATCH(136,$S$6:$S$290,0)),"")</f>
        <v>Doç. Dr. Ekim GÜMELER</v>
      </c>
      <c r="D141" s="264">
        <f>IF(C141="","",COUNTIFS(Başvuru!$C:$C,C141,Başvuru!$F:$F,"&lt;&gt;"&amp;""))</f>
        <v>1</v>
      </c>
      <c r="E141" s="262" t="str">
        <f>IF(D141&gt;0,TEXT(D141/COUNTIF(Başvuru!$F:$F,"&lt;&gt;"&amp;"")*100,"0.0")&amp;"%","-")</f>
        <v>00%</v>
      </c>
      <c r="F141" s="265">
        <f>IF(C141="","",COUNTIFS(Başvuru!$C:$C,C141,Başvuru!$G:$G,"Bireysel Araştırma",Başvuru!$F:$F,"&lt;&gt;"&amp;""))</f>
        <v>0</v>
      </c>
      <c r="G141" s="265">
        <f>IF(C141="","",COUNTIFS(Başvuru!$C:$C,C141,Başvuru!$G:$G,"Uzmanlık Tezi",Başvuru!$F:$F,"&lt;&gt;"&amp;""))</f>
        <v>1</v>
      </c>
      <c r="H141" s="265">
        <f>IF(C141="","",COUNTIFS(Başvuru!$C:$C,C141,Başvuru!$G:$G,"Doktora Tezi",Başvuru!$F:$F,"&lt;&gt;"&amp;""))</f>
        <v>0</v>
      </c>
      <c r="I141" s="265">
        <f>IF(C141="","",COUNTIFS(Başvuru!$C:$C,C141,Başvuru!$G:$G,"Yüksek Lisans Tezi",Başvuru!$F:$F,"&lt;&gt;"&amp;""))</f>
        <v>0</v>
      </c>
      <c r="J141" s="266">
        <f>IF(C141="","",COUNTIFS(Başvuru!$C:$C,C141,Başvuru!$L:$L,"ONAY",Başvuru!$F:$F,"&lt;&gt;"&amp;""))</f>
        <v>1</v>
      </c>
      <c r="K141" s="267">
        <f>IF(C141="","",COUNTIFS(Başvuru!$C:$C,C141,Başvuru!$L:$L,"DÜZELTME",Başvuru!$F:$F,"&lt;&gt;"&amp;""))</f>
        <v>0</v>
      </c>
      <c r="L141" s="268">
        <f>IF(C141="","",COUNTIFS(Başvuru!$C:$C,C141,Başvuru!$L:$L,"KAEK",Başvuru!$F:$F,"&lt;&gt;"&amp;""))</f>
        <v>0</v>
      </c>
      <c r="M141" s="269">
        <f>IF(C141="","",COUNTIFS(Başvuru!$C:$C,C141,Başvuru!$L:$L,"GÖRÜŞ",Başvuru!$F:$F,"&lt;&gt;"&amp;""))</f>
        <v>0</v>
      </c>
      <c r="N141" s="270">
        <f>IF(C141="","",COUNTIFS(Başvuru!$C:$C,C141,Başvuru!$L:$L,"RET",Başvuru!$F:$F,"&lt;&gt;"&amp;""))</f>
        <v>0</v>
      </c>
      <c r="O141" s="271">
        <f>IF(C141="","",COUNTIFS(Başvuru!$C:$C,C141,Başvuru!$L:$L,"KAPSAM DIŞI",Başvuru!$F:$F,"&lt;&gt;"&amp;""))</f>
        <v>0</v>
      </c>
      <c r="P141" s="272">
        <f>IF(C141="","",COUNTIFS(Başvuru!$C:$C,C141,Başvuru!$L:$L,"GERİ ÇEKİLDİ",Başvuru!$F:$F,"&lt;&gt;"&amp;""))</f>
        <v>0</v>
      </c>
      <c r="Q141" s="260" t="s">
        <v>467</v>
      </c>
      <c r="R141" s="261">
        <f>COUNTIFS(Başvuru!$C:$C,Q141,Başvuru!$F:$F,"&lt;&gt;"&amp;"")</f>
        <v>2</v>
      </c>
      <c r="S141" s="261">
        <f>RANK(R141,$R$6:$R$290,0)+COUNTIF($R$6:R141,R141)-1</f>
        <v>88</v>
      </c>
    </row>
    <row r="142" spans="2:19" ht="15" customHeight="1" x14ac:dyDescent="0.25">
      <c r="B142" s="249">
        <v>137</v>
      </c>
      <c r="C142" s="250" t="str">
        <f>IFERROR(INDEX($Q$6:$Q$290,MATCH(137,$S$6:$S$290,0)),"")</f>
        <v>Doç. Dr. Emel ISIYEL</v>
      </c>
      <c r="D142" s="251">
        <f>IF(C142="","",COUNTIFS(Başvuru!$C:$C,C142,Başvuru!$F:$F,"&lt;&gt;"&amp;""))</f>
        <v>1</v>
      </c>
      <c r="E142" s="249" t="str">
        <f>IF(D142&gt;0,TEXT(D142/COUNTIF(Başvuru!$F:$F,"&lt;&gt;"&amp;"")*100,"0.0")&amp;"%","-")</f>
        <v>00%</v>
      </c>
      <c r="F142" s="252">
        <f>IF(C142="","",COUNTIFS(Başvuru!$C:$C,C142,Başvuru!$G:$G,"Bireysel Araştırma",Başvuru!$F:$F,"&lt;&gt;"&amp;""))</f>
        <v>0</v>
      </c>
      <c r="G142" s="252">
        <f>IF(C142="","",COUNTIFS(Başvuru!$C:$C,C142,Başvuru!$G:$G,"Uzmanlık Tezi",Başvuru!$F:$F,"&lt;&gt;"&amp;""))</f>
        <v>1</v>
      </c>
      <c r="H142" s="252">
        <f>IF(C142="","",COUNTIFS(Başvuru!$C:$C,C142,Başvuru!$G:$G,"Doktora Tezi",Başvuru!$F:$F,"&lt;&gt;"&amp;""))</f>
        <v>0</v>
      </c>
      <c r="I142" s="252">
        <f>IF(C142="","",COUNTIFS(Başvuru!$C:$C,C142,Başvuru!$G:$G,"Yüksek Lisans Tezi",Başvuru!$F:$F,"&lt;&gt;"&amp;""))</f>
        <v>0</v>
      </c>
      <c r="J142" s="253">
        <f>IF(C142="","",COUNTIFS(Başvuru!$C:$C,C142,Başvuru!$L:$L,"ONAY",Başvuru!$F:$F,"&lt;&gt;"&amp;""))</f>
        <v>0</v>
      </c>
      <c r="K142" s="254">
        <f>IF(C142="","",COUNTIFS(Başvuru!$C:$C,C142,Başvuru!$L:$L,"DÜZELTME",Başvuru!$F:$F,"&lt;&gt;"&amp;""))</f>
        <v>1</v>
      </c>
      <c r="L142" s="255">
        <f>IF(C142="","",COUNTIFS(Başvuru!$C:$C,C142,Başvuru!$L:$L,"KAEK",Başvuru!$F:$F,"&lt;&gt;"&amp;""))</f>
        <v>0</v>
      </c>
      <c r="M142" s="256">
        <f>IF(C142="","",COUNTIFS(Başvuru!$C:$C,C142,Başvuru!$L:$L,"GÖRÜŞ",Başvuru!$F:$F,"&lt;&gt;"&amp;""))</f>
        <v>0</v>
      </c>
      <c r="N142" s="257">
        <f>IF(C142="","",COUNTIFS(Başvuru!$C:$C,C142,Başvuru!$L:$L,"RET",Başvuru!$F:$F,"&lt;&gt;"&amp;""))</f>
        <v>0</v>
      </c>
      <c r="O142" s="258">
        <f>IF(C142="","",COUNTIFS(Başvuru!$C:$C,C142,Başvuru!$L:$L,"KAPSAM DIŞI",Başvuru!$F:$F,"&lt;&gt;"&amp;""))</f>
        <v>0</v>
      </c>
      <c r="P142" s="259">
        <f>IF(C142="","",COUNTIFS(Başvuru!$C:$C,C142,Başvuru!$L:$L,"GERİ ÇEKİLDİ",Başvuru!$F:$F,"&lt;&gt;"&amp;""))</f>
        <v>0</v>
      </c>
      <c r="Q142" s="260" t="s">
        <v>1922</v>
      </c>
      <c r="R142" s="261">
        <f>COUNTIFS(Başvuru!$C:$C,Q142,Başvuru!$F:$F,"&lt;&gt;"&amp;"")</f>
        <v>1</v>
      </c>
      <c r="S142" s="261">
        <f>RANK(R142,$R$6:$R$290,0)+COUNTIF($R$6:R142,R142)-1</f>
        <v>199</v>
      </c>
    </row>
    <row r="143" spans="2:19" ht="15" customHeight="1" x14ac:dyDescent="0.25">
      <c r="B143" s="262">
        <v>138</v>
      </c>
      <c r="C143" s="263" t="str">
        <f>IFERROR(INDEX($Q$6:$Q$290,MATCH(138,$S$6:$S$290,0)),"")</f>
        <v>Doç. Dr. Emel Tuğba ATAMAN DURUEL</v>
      </c>
      <c r="D143" s="264">
        <f>IF(C143="","",COUNTIFS(Başvuru!$C:$C,C143,Başvuru!$F:$F,"&lt;&gt;"&amp;""))</f>
        <v>1</v>
      </c>
      <c r="E143" s="262" t="str">
        <f>IF(D143&gt;0,TEXT(D143/COUNTIF(Başvuru!$F:$F,"&lt;&gt;"&amp;"")*100,"0.0")&amp;"%","-")</f>
        <v>00%</v>
      </c>
      <c r="F143" s="265">
        <f>IF(C143="","",COUNTIFS(Başvuru!$C:$C,C143,Başvuru!$G:$G,"Bireysel Araştırma",Başvuru!$F:$F,"&lt;&gt;"&amp;""))</f>
        <v>0</v>
      </c>
      <c r="G143" s="265">
        <f>IF(C143="","",COUNTIFS(Başvuru!$C:$C,C143,Başvuru!$G:$G,"Uzmanlık Tezi",Başvuru!$F:$F,"&lt;&gt;"&amp;""))</f>
        <v>1</v>
      </c>
      <c r="H143" s="265">
        <f>IF(C143="","",COUNTIFS(Başvuru!$C:$C,C143,Başvuru!$G:$G,"Doktora Tezi",Başvuru!$F:$F,"&lt;&gt;"&amp;""))</f>
        <v>0</v>
      </c>
      <c r="I143" s="265">
        <f>IF(C143="","",COUNTIFS(Başvuru!$C:$C,C143,Başvuru!$G:$G,"Yüksek Lisans Tezi",Başvuru!$F:$F,"&lt;&gt;"&amp;""))</f>
        <v>0</v>
      </c>
      <c r="J143" s="266">
        <f>IF(C143="","",COUNTIFS(Başvuru!$C:$C,C143,Başvuru!$L:$L,"ONAY",Başvuru!$F:$F,"&lt;&gt;"&amp;""))</f>
        <v>0</v>
      </c>
      <c r="K143" s="267">
        <f>IF(C143="","",COUNTIFS(Başvuru!$C:$C,C143,Başvuru!$L:$L,"DÜZELTME",Başvuru!$F:$F,"&lt;&gt;"&amp;""))</f>
        <v>1</v>
      </c>
      <c r="L143" s="268">
        <f>IF(C143="","",COUNTIFS(Başvuru!$C:$C,C143,Başvuru!$L:$L,"KAEK",Başvuru!$F:$F,"&lt;&gt;"&amp;""))</f>
        <v>0</v>
      </c>
      <c r="M143" s="269">
        <f>IF(C143="","",COUNTIFS(Başvuru!$C:$C,C143,Başvuru!$L:$L,"GÖRÜŞ",Başvuru!$F:$F,"&lt;&gt;"&amp;""))</f>
        <v>0</v>
      </c>
      <c r="N143" s="270">
        <f>IF(C143="","",COUNTIFS(Başvuru!$C:$C,C143,Başvuru!$L:$L,"RET",Başvuru!$F:$F,"&lt;&gt;"&amp;""))</f>
        <v>0</v>
      </c>
      <c r="O143" s="271">
        <f>IF(C143="","",COUNTIFS(Başvuru!$C:$C,C143,Başvuru!$L:$L,"KAPSAM DIŞI",Başvuru!$F:$F,"&lt;&gt;"&amp;""))</f>
        <v>0</v>
      </c>
      <c r="P143" s="272">
        <f>IF(C143="","",COUNTIFS(Başvuru!$C:$C,C143,Başvuru!$L:$L,"GERİ ÇEKİLDİ",Başvuru!$F:$F,"&lt;&gt;"&amp;""))</f>
        <v>0</v>
      </c>
      <c r="Q143" s="260" t="s">
        <v>2307</v>
      </c>
      <c r="R143" s="261">
        <f>COUNTIFS(Başvuru!$C:$C,Q143,Başvuru!$F:$F,"&lt;&gt;"&amp;"")</f>
        <v>1</v>
      </c>
      <c r="S143" s="261">
        <f>RANK(R143,$R$6:$R$290,0)+COUNTIF($R$6:R143,R143)-1</f>
        <v>200</v>
      </c>
    </row>
    <row r="144" spans="2:19" ht="15" customHeight="1" x14ac:dyDescent="0.25">
      <c r="B144" s="249">
        <v>139</v>
      </c>
      <c r="C144" s="250" t="str">
        <f>IFERROR(INDEX($Q$6:$Q$290,MATCH(139,$S$6:$S$290,0)),"")</f>
        <v>Doç. Dr. Evren SERTALP</v>
      </c>
      <c r="D144" s="251">
        <f>IF(C144="","",COUNTIFS(Başvuru!$C:$C,C144,Başvuru!$F:$F,"&lt;&gt;"&amp;""))</f>
        <v>1</v>
      </c>
      <c r="E144" s="249" t="str">
        <f>IF(D144&gt;0,TEXT(D144/COUNTIF(Başvuru!$F:$F,"&lt;&gt;"&amp;"")*100,"0.0")&amp;"%","-")</f>
        <v>00%</v>
      </c>
      <c r="F144" s="252">
        <f>IF(C144="","",COUNTIFS(Başvuru!$C:$C,C144,Başvuru!$G:$G,"Bireysel Araştırma",Başvuru!$F:$F,"&lt;&gt;"&amp;""))</f>
        <v>0</v>
      </c>
      <c r="G144" s="252">
        <f>IF(C144="","",COUNTIFS(Başvuru!$C:$C,C144,Başvuru!$G:$G,"Uzmanlık Tezi",Başvuru!$F:$F,"&lt;&gt;"&amp;""))</f>
        <v>0</v>
      </c>
      <c r="H144" s="252">
        <f>IF(C144="","",COUNTIFS(Başvuru!$C:$C,C144,Başvuru!$G:$G,"Doktora Tezi",Başvuru!$F:$F,"&lt;&gt;"&amp;""))</f>
        <v>0</v>
      </c>
      <c r="I144" s="252">
        <f>IF(C144="","",COUNTIFS(Başvuru!$C:$C,C144,Başvuru!$G:$G,"Yüksek Lisans Tezi",Başvuru!$F:$F,"&lt;&gt;"&amp;""))</f>
        <v>1</v>
      </c>
      <c r="J144" s="253">
        <f>IF(C144="","",COUNTIFS(Başvuru!$C:$C,C144,Başvuru!$L:$L,"ONAY",Başvuru!$F:$F,"&lt;&gt;"&amp;""))</f>
        <v>0</v>
      </c>
      <c r="K144" s="254">
        <f>IF(C144="","",COUNTIFS(Başvuru!$C:$C,C144,Başvuru!$L:$L,"DÜZELTME",Başvuru!$F:$F,"&lt;&gt;"&amp;""))</f>
        <v>0</v>
      </c>
      <c r="L144" s="255">
        <f>IF(C144="","",COUNTIFS(Başvuru!$C:$C,C144,Başvuru!$L:$L,"KAEK",Başvuru!$F:$F,"&lt;&gt;"&amp;""))</f>
        <v>0</v>
      </c>
      <c r="M144" s="256">
        <f>IF(C144="","",COUNTIFS(Başvuru!$C:$C,C144,Başvuru!$L:$L,"GÖRÜŞ",Başvuru!$F:$F,"&lt;&gt;"&amp;""))</f>
        <v>0</v>
      </c>
      <c r="N144" s="257">
        <f>IF(C144="","",COUNTIFS(Başvuru!$C:$C,C144,Başvuru!$L:$L,"RET",Başvuru!$F:$F,"&lt;&gt;"&amp;""))</f>
        <v>0</v>
      </c>
      <c r="O144" s="258">
        <f>IF(C144="","",COUNTIFS(Başvuru!$C:$C,C144,Başvuru!$L:$L,"KAPSAM DIŞI",Başvuru!$F:$F,"&lt;&gt;"&amp;""))</f>
        <v>0</v>
      </c>
      <c r="P144" s="259">
        <f>IF(C144="","",COUNTIFS(Başvuru!$C:$C,C144,Başvuru!$L:$L,"GERİ ÇEKİLDİ",Başvuru!$F:$F,"&lt;&gt;"&amp;""))</f>
        <v>0</v>
      </c>
      <c r="Q144" s="260" t="s">
        <v>164</v>
      </c>
      <c r="R144" s="261">
        <f>COUNTIFS(Başvuru!$C:$C,Q144,Başvuru!$F:$F,"&lt;&gt;"&amp;"")</f>
        <v>2</v>
      </c>
      <c r="S144" s="261">
        <f>RANK(R144,$R$6:$R$290,0)+COUNTIF($R$6:R144,R144)-1</f>
        <v>89</v>
      </c>
    </row>
    <row r="145" spans="2:19" ht="15" customHeight="1" x14ac:dyDescent="0.25">
      <c r="B145" s="262">
        <v>140</v>
      </c>
      <c r="C145" s="263" t="str">
        <f>IFERROR(INDEX($Q$6:$Q$290,MATCH(140,$S$6:$S$290,0)),"")</f>
        <v>Doç. Dr. Eylem TOPBAŞ</v>
      </c>
      <c r="D145" s="264">
        <f>IF(C145="","",COUNTIFS(Başvuru!$C:$C,C145,Başvuru!$F:$F,"&lt;&gt;"&amp;""))</f>
        <v>1</v>
      </c>
      <c r="E145" s="262" t="str">
        <f>IF(D145&gt;0,TEXT(D145/COUNTIF(Başvuru!$F:$F,"&lt;&gt;"&amp;"")*100,"0.0")&amp;"%","-")</f>
        <v>00%</v>
      </c>
      <c r="F145" s="265">
        <f>IF(C145="","",COUNTIFS(Başvuru!$C:$C,C145,Başvuru!$G:$G,"Bireysel Araştırma",Başvuru!$F:$F,"&lt;&gt;"&amp;""))</f>
        <v>0</v>
      </c>
      <c r="G145" s="265">
        <f>IF(C145="","",COUNTIFS(Başvuru!$C:$C,C145,Başvuru!$G:$G,"Uzmanlık Tezi",Başvuru!$F:$F,"&lt;&gt;"&amp;""))</f>
        <v>0</v>
      </c>
      <c r="H145" s="265">
        <f>IF(C145="","",COUNTIFS(Başvuru!$C:$C,C145,Başvuru!$G:$G,"Doktora Tezi",Başvuru!$F:$F,"&lt;&gt;"&amp;""))</f>
        <v>0</v>
      </c>
      <c r="I145" s="265">
        <f>IF(C145="","",COUNTIFS(Başvuru!$C:$C,C145,Başvuru!$G:$G,"Yüksek Lisans Tezi",Başvuru!$F:$F,"&lt;&gt;"&amp;""))</f>
        <v>1</v>
      </c>
      <c r="J145" s="266">
        <f>IF(C145="","",COUNTIFS(Başvuru!$C:$C,C145,Başvuru!$L:$L,"ONAY",Başvuru!$F:$F,"&lt;&gt;"&amp;""))</f>
        <v>0</v>
      </c>
      <c r="K145" s="267">
        <f>IF(C145="","",COUNTIFS(Başvuru!$C:$C,C145,Başvuru!$L:$L,"DÜZELTME",Başvuru!$F:$F,"&lt;&gt;"&amp;""))</f>
        <v>0</v>
      </c>
      <c r="L145" s="268">
        <f>IF(C145="","",COUNTIFS(Başvuru!$C:$C,C145,Başvuru!$L:$L,"KAEK",Başvuru!$F:$F,"&lt;&gt;"&amp;""))</f>
        <v>0</v>
      </c>
      <c r="M145" s="269">
        <f>IF(C145="","",COUNTIFS(Başvuru!$C:$C,C145,Başvuru!$L:$L,"GÖRÜŞ",Başvuru!$F:$F,"&lt;&gt;"&amp;""))</f>
        <v>0</v>
      </c>
      <c r="N145" s="270">
        <f>IF(C145="","",COUNTIFS(Başvuru!$C:$C,C145,Başvuru!$L:$L,"RET",Başvuru!$F:$F,"&lt;&gt;"&amp;""))</f>
        <v>0</v>
      </c>
      <c r="O145" s="271">
        <f>IF(C145="","",COUNTIFS(Başvuru!$C:$C,C145,Başvuru!$L:$L,"KAPSAM DIŞI",Başvuru!$F:$F,"&lt;&gt;"&amp;""))</f>
        <v>0</v>
      </c>
      <c r="P145" s="272">
        <f>IF(C145="","",COUNTIFS(Başvuru!$C:$C,C145,Başvuru!$L:$L,"GERİ ÇEKİLDİ",Başvuru!$F:$F,"&lt;&gt;"&amp;""))</f>
        <v>0</v>
      </c>
      <c r="Q145" s="260" t="s">
        <v>1047</v>
      </c>
      <c r="R145" s="261">
        <f>COUNTIFS(Başvuru!$C:$C,Q145,Başvuru!$F:$F,"&lt;&gt;"&amp;"")</f>
        <v>1</v>
      </c>
      <c r="S145" s="261">
        <f>RANK(R145,$R$6:$R$290,0)+COUNTIF($R$6:R145,R145)-1</f>
        <v>201</v>
      </c>
    </row>
    <row r="146" spans="2:19" ht="15" customHeight="1" x14ac:dyDescent="0.25">
      <c r="B146" s="249">
        <v>141</v>
      </c>
      <c r="C146" s="250" t="str">
        <f>IFERROR(INDEX($Q$6:$Q$290,MATCH(141,$S$6:$S$290,0)),"")</f>
        <v>Doç. Dr. Fatma Gonca ELDEM</v>
      </c>
      <c r="D146" s="251">
        <f>IF(C146="","",COUNTIFS(Başvuru!$C:$C,C146,Başvuru!$F:$F,"&lt;&gt;"&amp;""))</f>
        <v>1</v>
      </c>
      <c r="E146" s="249" t="str">
        <f>IF(D146&gt;0,TEXT(D146/COUNTIF(Başvuru!$F:$F,"&lt;&gt;"&amp;"")*100,"0.0")&amp;"%","-")</f>
        <v>00%</v>
      </c>
      <c r="F146" s="252">
        <f>IF(C146="","",COUNTIFS(Başvuru!$C:$C,C146,Başvuru!$G:$G,"Bireysel Araştırma",Başvuru!$F:$F,"&lt;&gt;"&amp;""))</f>
        <v>1</v>
      </c>
      <c r="G146" s="252">
        <f>IF(C146="","",COUNTIFS(Başvuru!$C:$C,C146,Başvuru!$G:$G,"Uzmanlık Tezi",Başvuru!$F:$F,"&lt;&gt;"&amp;""))</f>
        <v>0</v>
      </c>
      <c r="H146" s="252">
        <f>IF(C146="","",COUNTIFS(Başvuru!$C:$C,C146,Başvuru!$G:$G,"Doktora Tezi",Başvuru!$F:$F,"&lt;&gt;"&amp;""))</f>
        <v>0</v>
      </c>
      <c r="I146" s="252">
        <f>IF(C146="","",COUNTIFS(Başvuru!$C:$C,C146,Başvuru!$G:$G,"Yüksek Lisans Tezi",Başvuru!$F:$F,"&lt;&gt;"&amp;""))</f>
        <v>0</v>
      </c>
      <c r="J146" s="253">
        <f>IF(C146="","",COUNTIFS(Başvuru!$C:$C,C146,Başvuru!$L:$L,"ONAY",Başvuru!$F:$F,"&lt;&gt;"&amp;""))</f>
        <v>0</v>
      </c>
      <c r="K146" s="254">
        <f>IF(C146="","",COUNTIFS(Başvuru!$C:$C,C146,Başvuru!$L:$L,"DÜZELTME",Başvuru!$F:$F,"&lt;&gt;"&amp;""))</f>
        <v>1</v>
      </c>
      <c r="L146" s="255">
        <f>IF(C146="","",COUNTIFS(Başvuru!$C:$C,C146,Başvuru!$L:$L,"KAEK",Başvuru!$F:$F,"&lt;&gt;"&amp;""))</f>
        <v>0</v>
      </c>
      <c r="M146" s="256">
        <f>IF(C146="","",COUNTIFS(Başvuru!$C:$C,C146,Başvuru!$L:$L,"GÖRÜŞ",Başvuru!$F:$F,"&lt;&gt;"&amp;""))</f>
        <v>0</v>
      </c>
      <c r="N146" s="257">
        <f>IF(C146="","",COUNTIFS(Başvuru!$C:$C,C146,Başvuru!$L:$L,"RET",Başvuru!$F:$F,"&lt;&gt;"&amp;""))</f>
        <v>0</v>
      </c>
      <c r="O146" s="258">
        <f>IF(C146="","",COUNTIFS(Başvuru!$C:$C,C146,Başvuru!$L:$L,"KAPSAM DIŞI",Başvuru!$F:$F,"&lt;&gt;"&amp;""))</f>
        <v>0</v>
      </c>
      <c r="P146" s="259">
        <f>IF(C146="","",COUNTIFS(Başvuru!$C:$C,C146,Başvuru!$L:$L,"GERİ ÇEKİLDİ",Başvuru!$F:$F,"&lt;&gt;"&amp;""))</f>
        <v>0</v>
      </c>
      <c r="Q146" s="260" t="s">
        <v>1970</v>
      </c>
      <c r="R146" s="261">
        <f>COUNTIFS(Başvuru!$C:$C,Q146,Başvuru!$F:$F,"&lt;&gt;"&amp;"")</f>
        <v>1</v>
      </c>
      <c r="S146" s="261">
        <f>RANK(R146,$R$6:$R$290,0)+COUNTIF($R$6:R146,R146)-1</f>
        <v>202</v>
      </c>
    </row>
    <row r="147" spans="2:19" ht="15" customHeight="1" x14ac:dyDescent="0.25">
      <c r="B147" s="262">
        <v>142</v>
      </c>
      <c r="C147" s="263" t="str">
        <f>IFERROR(INDEX($Q$6:$Q$290,MATCH(142,$S$6:$S$290,0)),"")</f>
        <v>Doç. Dr. Gamze ATAY</v>
      </c>
      <c r="D147" s="264">
        <f>IF(C147="","",COUNTIFS(Başvuru!$C:$C,C147,Başvuru!$F:$F,"&lt;&gt;"&amp;""))</f>
        <v>1</v>
      </c>
      <c r="E147" s="262" t="str">
        <f>IF(D147&gt;0,TEXT(D147/COUNTIF(Başvuru!$F:$F,"&lt;&gt;"&amp;"")*100,"0.0")&amp;"%","-")</f>
        <v>00%</v>
      </c>
      <c r="F147" s="265">
        <f>IF(C147="","",COUNTIFS(Başvuru!$C:$C,C147,Başvuru!$G:$G,"Bireysel Araştırma",Başvuru!$F:$F,"&lt;&gt;"&amp;""))</f>
        <v>0</v>
      </c>
      <c r="G147" s="265">
        <f>IF(C147="","",COUNTIFS(Başvuru!$C:$C,C147,Başvuru!$G:$G,"Uzmanlık Tezi",Başvuru!$F:$F,"&lt;&gt;"&amp;""))</f>
        <v>1</v>
      </c>
      <c r="H147" s="265">
        <f>IF(C147="","",COUNTIFS(Başvuru!$C:$C,C147,Başvuru!$G:$G,"Doktora Tezi",Başvuru!$F:$F,"&lt;&gt;"&amp;""))</f>
        <v>0</v>
      </c>
      <c r="I147" s="265">
        <f>IF(C147="","",COUNTIFS(Başvuru!$C:$C,C147,Başvuru!$G:$G,"Yüksek Lisans Tezi",Başvuru!$F:$F,"&lt;&gt;"&amp;""))</f>
        <v>0</v>
      </c>
      <c r="J147" s="266">
        <f>IF(C147="","",COUNTIFS(Başvuru!$C:$C,C147,Başvuru!$L:$L,"ONAY",Başvuru!$F:$F,"&lt;&gt;"&amp;""))</f>
        <v>0</v>
      </c>
      <c r="K147" s="267">
        <f>IF(C147="","",COUNTIFS(Başvuru!$C:$C,C147,Başvuru!$L:$L,"DÜZELTME",Başvuru!$F:$F,"&lt;&gt;"&amp;""))</f>
        <v>1</v>
      </c>
      <c r="L147" s="268">
        <f>IF(C147="","",COUNTIFS(Başvuru!$C:$C,C147,Başvuru!$L:$L,"KAEK",Başvuru!$F:$F,"&lt;&gt;"&amp;""))</f>
        <v>0</v>
      </c>
      <c r="M147" s="269">
        <f>IF(C147="","",COUNTIFS(Başvuru!$C:$C,C147,Başvuru!$L:$L,"GÖRÜŞ",Başvuru!$F:$F,"&lt;&gt;"&amp;""))</f>
        <v>0</v>
      </c>
      <c r="N147" s="270">
        <f>IF(C147="","",COUNTIFS(Başvuru!$C:$C,C147,Başvuru!$L:$L,"RET",Başvuru!$F:$F,"&lt;&gt;"&amp;""))</f>
        <v>0</v>
      </c>
      <c r="O147" s="271">
        <f>IF(C147="","",COUNTIFS(Başvuru!$C:$C,C147,Başvuru!$L:$L,"KAPSAM DIŞI",Başvuru!$F:$F,"&lt;&gt;"&amp;""))</f>
        <v>0</v>
      </c>
      <c r="P147" s="272">
        <f>IF(C147="","",COUNTIFS(Başvuru!$C:$C,C147,Başvuru!$L:$L,"GERİ ÇEKİLDİ",Başvuru!$F:$F,"&lt;&gt;"&amp;""))</f>
        <v>0</v>
      </c>
      <c r="Q147" s="260" t="s">
        <v>1157</v>
      </c>
      <c r="R147" s="261">
        <f>COUNTIFS(Başvuru!$C:$C,Q147,Başvuru!$F:$F,"&lt;&gt;"&amp;"")</f>
        <v>1</v>
      </c>
      <c r="S147" s="261">
        <f>RANK(R147,$R$6:$R$290,0)+COUNTIF($R$6:R147,R147)-1</f>
        <v>203</v>
      </c>
    </row>
    <row r="148" spans="2:19" ht="15" customHeight="1" x14ac:dyDescent="0.25">
      <c r="B148" s="249">
        <v>143</v>
      </c>
      <c r="C148" s="250" t="str">
        <f>IFERROR(INDEX($Q$6:$Q$290,MATCH(143,$S$6:$S$290,0)),"")</f>
        <v>Doç. Dr. Gölşah KÖK</v>
      </c>
      <c r="D148" s="251">
        <f>IF(C148="","",COUNTIFS(Başvuru!$C:$C,C148,Başvuru!$F:$F,"&lt;&gt;"&amp;""))</f>
        <v>1</v>
      </c>
      <c r="E148" s="249" t="str">
        <f>IF(D148&gt;0,TEXT(D148/COUNTIF(Başvuru!$F:$F,"&lt;&gt;"&amp;"")*100,"0.0")&amp;"%","-")</f>
        <v>00%</v>
      </c>
      <c r="F148" s="252">
        <f>IF(C148="","",COUNTIFS(Başvuru!$C:$C,C148,Başvuru!$G:$G,"Bireysel Araştırma",Başvuru!$F:$F,"&lt;&gt;"&amp;""))</f>
        <v>1</v>
      </c>
      <c r="G148" s="252">
        <f>IF(C148="","",COUNTIFS(Başvuru!$C:$C,C148,Başvuru!$G:$G,"Uzmanlık Tezi",Başvuru!$F:$F,"&lt;&gt;"&amp;""))</f>
        <v>0</v>
      </c>
      <c r="H148" s="252">
        <f>IF(C148="","",COUNTIFS(Başvuru!$C:$C,C148,Başvuru!$G:$G,"Doktora Tezi",Başvuru!$F:$F,"&lt;&gt;"&amp;""))</f>
        <v>0</v>
      </c>
      <c r="I148" s="252">
        <f>IF(C148="","",COUNTIFS(Başvuru!$C:$C,C148,Başvuru!$G:$G,"Yüksek Lisans Tezi",Başvuru!$F:$F,"&lt;&gt;"&amp;""))</f>
        <v>0</v>
      </c>
      <c r="J148" s="253">
        <f>IF(C148="","",COUNTIFS(Başvuru!$C:$C,C148,Başvuru!$L:$L,"ONAY",Başvuru!$F:$F,"&lt;&gt;"&amp;""))</f>
        <v>1</v>
      </c>
      <c r="K148" s="254">
        <f>IF(C148="","",COUNTIFS(Başvuru!$C:$C,C148,Başvuru!$L:$L,"DÜZELTME",Başvuru!$F:$F,"&lt;&gt;"&amp;""))</f>
        <v>0</v>
      </c>
      <c r="L148" s="255">
        <f>IF(C148="","",COUNTIFS(Başvuru!$C:$C,C148,Başvuru!$L:$L,"KAEK",Başvuru!$F:$F,"&lt;&gt;"&amp;""))</f>
        <v>0</v>
      </c>
      <c r="M148" s="256">
        <f>IF(C148="","",COUNTIFS(Başvuru!$C:$C,C148,Başvuru!$L:$L,"GÖRÜŞ",Başvuru!$F:$F,"&lt;&gt;"&amp;""))</f>
        <v>0</v>
      </c>
      <c r="N148" s="257">
        <f>IF(C148="","",COUNTIFS(Başvuru!$C:$C,C148,Başvuru!$L:$L,"RET",Başvuru!$F:$F,"&lt;&gt;"&amp;""))</f>
        <v>0</v>
      </c>
      <c r="O148" s="258">
        <f>IF(C148="","",COUNTIFS(Başvuru!$C:$C,C148,Başvuru!$L:$L,"KAPSAM DIŞI",Başvuru!$F:$F,"&lt;&gt;"&amp;""))</f>
        <v>0</v>
      </c>
      <c r="P148" s="259">
        <f>IF(C148="","",COUNTIFS(Başvuru!$C:$C,C148,Başvuru!$L:$L,"GERİ ÇEKİLDİ",Başvuru!$F:$F,"&lt;&gt;"&amp;""))</f>
        <v>0</v>
      </c>
      <c r="Q148" s="260" t="s">
        <v>358</v>
      </c>
      <c r="R148" s="261">
        <f>COUNTIFS(Başvuru!$C:$C,Q148,Başvuru!$F:$F,"&lt;&gt;"&amp;"")</f>
        <v>1</v>
      </c>
      <c r="S148" s="261">
        <f>RANK(R148,$R$6:$R$290,0)+COUNTIF($R$6:R148,R148)-1</f>
        <v>204</v>
      </c>
    </row>
    <row r="149" spans="2:19" ht="15" customHeight="1" x14ac:dyDescent="0.25">
      <c r="B149" s="262">
        <v>144</v>
      </c>
      <c r="C149" s="263" t="str">
        <f>IFERROR(INDEX($Q$6:$Q$290,MATCH(144,$S$6:$S$290,0)),"")</f>
        <v>Doç. Dr. Gülçin TELLİ DİZMAN</v>
      </c>
      <c r="D149" s="264">
        <f>IF(C149="","",COUNTIFS(Başvuru!$C:$C,C149,Başvuru!$F:$F,"&lt;&gt;"&amp;""))</f>
        <v>1</v>
      </c>
      <c r="E149" s="262" t="str">
        <f>IF(D149&gt;0,TEXT(D149/COUNTIF(Başvuru!$F:$F,"&lt;&gt;"&amp;"")*100,"0.0")&amp;"%","-")</f>
        <v>00%</v>
      </c>
      <c r="F149" s="265">
        <f>IF(C149="","",COUNTIFS(Başvuru!$C:$C,C149,Başvuru!$G:$G,"Bireysel Araştırma",Başvuru!$F:$F,"&lt;&gt;"&amp;""))</f>
        <v>1</v>
      </c>
      <c r="G149" s="265">
        <f>IF(C149="","",COUNTIFS(Başvuru!$C:$C,C149,Başvuru!$G:$G,"Uzmanlık Tezi",Başvuru!$F:$F,"&lt;&gt;"&amp;""))</f>
        <v>0</v>
      </c>
      <c r="H149" s="265">
        <f>IF(C149="","",COUNTIFS(Başvuru!$C:$C,C149,Başvuru!$G:$G,"Doktora Tezi",Başvuru!$F:$F,"&lt;&gt;"&amp;""))</f>
        <v>0</v>
      </c>
      <c r="I149" s="265">
        <f>IF(C149="","",COUNTIFS(Başvuru!$C:$C,C149,Başvuru!$G:$G,"Yüksek Lisans Tezi",Başvuru!$F:$F,"&lt;&gt;"&amp;""))</f>
        <v>0</v>
      </c>
      <c r="J149" s="266">
        <f>IF(C149="","",COUNTIFS(Başvuru!$C:$C,C149,Başvuru!$L:$L,"ONAY",Başvuru!$F:$F,"&lt;&gt;"&amp;""))</f>
        <v>1</v>
      </c>
      <c r="K149" s="267">
        <f>IF(C149="","",COUNTIFS(Başvuru!$C:$C,C149,Başvuru!$L:$L,"DÜZELTME",Başvuru!$F:$F,"&lt;&gt;"&amp;""))</f>
        <v>0</v>
      </c>
      <c r="L149" s="268">
        <f>IF(C149="","",COUNTIFS(Başvuru!$C:$C,C149,Başvuru!$L:$L,"KAEK",Başvuru!$F:$F,"&lt;&gt;"&amp;""))</f>
        <v>0</v>
      </c>
      <c r="M149" s="269">
        <f>IF(C149="","",COUNTIFS(Başvuru!$C:$C,C149,Başvuru!$L:$L,"GÖRÜŞ",Başvuru!$F:$F,"&lt;&gt;"&amp;""))</f>
        <v>0</v>
      </c>
      <c r="N149" s="270">
        <f>IF(C149="","",COUNTIFS(Başvuru!$C:$C,C149,Başvuru!$L:$L,"RET",Başvuru!$F:$F,"&lt;&gt;"&amp;""))</f>
        <v>0</v>
      </c>
      <c r="O149" s="271">
        <f>IF(C149="","",COUNTIFS(Başvuru!$C:$C,C149,Başvuru!$L:$L,"KAPSAM DIŞI",Başvuru!$F:$F,"&lt;&gt;"&amp;""))</f>
        <v>0</v>
      </c>
      <c r="P149" s="272">
        <f>IF(C149="","",COUNTIFS(Başvuru!$C:$C,C149,Başvuru!$L:$L,"GERİ ÇEKİLDİ",Başvuru!$F:$F,"&lt;&gt;"&amp;""))</f>
        <v>0</v>
      </c>
      <c r="Q149" s="260" t="s">
        <v>171</v>
      </c>
      <c r="R149" s="261">
        <f>COUNTIFS(Başvuru!$C:$C,Q149,Başvuru!$F:$F,"&lt;&gt;"&amp;"")</f>
        <v>4</v>
      </c>
      <c r="S149" s="261">
        <f>RANK(R149,$R$6:$R$290,0)+COUNTIF($R$6:R149,R149)-1</f>
        <v>30</v>
      </c>
    </row>
    <row r="150" spans="2:19" ht="15" customHeight="1" x14ac:dyDescent="0.25">
      <c r="B150" s="249">
        <v>145</v>
      </c>
      <c r="C150" s="250" t="str">
        <f>IFERROR(INDEX($Q$6:$Q$290,MATCH(145,$S$6:$S$290,0)),"")</f>
        <v>Doç. Dr. Hacı Hasan YETER</v>
      </c>
      <c r="D150" s="251">
        <f>IF(C150="","",COUNTIFS(Başvuru!$C:$C,C150,Başvuru!$F:$F,"&lt;&gt;"&amp;""))</f>
        <v>1</v>
      </c>
      <c r="E150" s="249" t="str">
        <f>IF(D150&gt;0,TEXT(D150/COUNTIF(Başvuru!$F:$F,"&lt;&gt;"&amp;"")*100,"0.0")&amp;"%","-")</f>
        <v>00%</v>
      </c>
      <c r="F150" s="252">
        <f>IF(C150="","",COUNTIFS(Başvuru!$C:$C,C150,Başvuru!$G:$G,"Bireysel Araştırma",Başvuru!$F:$F,"&lt;&gt;"&amp;""))</f>
        <v>1</v>
      </c>
      <c r="G150" s="252">
        <f>IF(C150="","",COUNTIFS(Başvuru!$C:$C,C150,Başvuru!$G:$G,"Uzmanlık Tezi",Başvuru!$F:$F,"&lt;&gt;"&amp;""))</f>
        <v>0</v>
      </c>
      <c r="H150" s="252">
        <f>IF(C150="","",COUNTIFS(Başvuru!$C:$C,C150,Başvuru!$G:$G,"Doktora Tezi",Başvuru!$F:$F,"&lt;&gt;"&amp;""))</f>
        <v>0</v>
      </c>
      <c r="I150" s="252">
        <f>IF(C150="","",COUNTIFS(Başvuru!$C:$C,C150,Başvuru!$G:$G,"Yüksek Lisans Tezi",Başvuru!$F:$F,"&lt;&gt;"&amp;""))</f>
        <v>0</v>
      </c>
      <c r="J150" s="253">
        <f>IF(C150="","",COUNTIFS(Başvuru!$C:$C,C150,Başvuru!$L:$L,"ONAY",Başvuru!$F:$F,"&lt;&gt;"&amp;""))</f>
        <v>1</v>
      </c>
      <c r="K150" s="254">
        <f>IF(C150="","",COUNTIFS(Başvuru!$C:$C,C150,Başvuru!$L:$L,"DÜZELTME",Başvuru!$F:$F,"&lt;&gt;"&amp;""))</f>
        <v>0</v>
      </c>
      <c r="L150" s="255">
        <f>IF(C150="","",COUNTIFS(Başvuru!$C:$C,C150,Başvuru!$L:$L,"KAEK",Başvuru!$F:$F,"&lt;&gt;"&amp;""))</f>
        <v>0</v>
      </c>
      <c r="M150" s="256">
        <f>IF(C150="","",COUNTIFS(Başvuru!$C:$C,C150,Başvuru!$L:$L,"GÖRÜŞ",Başvuru!$F:$F,"&lt;&gt;"&amp;""))</f>
        <v>0</v>
      </c>
      <c r="N150" s="257">
        <f>IF(C150="","",COUNTIFS(Başvuru!$C:$C,C150,Başvuru!$L:$L,"RET",Başvuru!$F:$F,"&lt;&gt;"&amp;""))</f>
        <v>0</v>
      </c>
      <c r="O150" s="258">
        <f>IF(C150="","",COUNTIFS(Başvuru!$C:$C,C150,Başvuru!$L:$L,"KAPSAM DIŞI",Başvuru!$F:$F,"&lt;&gt;"&amp;""))</f>
        <v>0</v>
      </c>
      <c r="P150" s="259">
        <f>IF(C150="","",COUNTIFS(Başvuru!$C:$C,C150,Başvuru!$L:$L,"GERİ ÇEKİLDİ",Başvuru!$F:$F,"&lt;&gt;"&amp;""))</f>
        <v>0</v>
      </c>
      <c r="Q150" s="260" t="s">
        <v>1370</v>
      </c>
      <c r="R150" s="261">
        <f>COUNTIFS(Başvuru!$C:$C,Q150,Başvuru!$F:$F,"&lt;&gt;"&amp;"")</f>
        <v>2</v>
      </c>
      <c r="S150" s="261">
        <f>RANK(R150,$R$6:$R$290,0)+COUNTIF($R$6:R150,R150)-1</f>
        <v>90</v>
      </c>
    </row>
    <row r="151" spans="2:19" ht="15" customHeight="1" x14ac:dyDescent="0.25">
      <c r="B151" s="262">
        <v>146</v>
      </c>
      <c r="C151" s="263" t="str">
        <f>IFERROR(INDEX($Q$6:$Q$290,MATCH(146,$S$6:$S$290,0)),"")</f>
        <v>Doç. Dr. Hilal KORKMAZ</v>
      </c>
      <c r="D151" s="264">
        <f>IF(C151="","",COUNTIFS(Başvuru!$C:$C,C151,Başvuru!$F:$F,"&lt;&gt;"&amp;""))</f>
        <v>1</v>
      </c>
      <c r="E151" s="262" t="str">
        <f>IF(D151&gt;0,TEXT(D151/COUNTIF(Başvuru!$F:$F,"&lt;&gt;"&amp;"")*100,"0.0")&amp;"%","-")</f>
        <v>00%</v>
      </c>
      <c r="F151" s="265">
        <f>IF(C151="","",COUNTIFS(Başvuru!$C:$C,C151,Başvuru!$G:$G,"Bireysel Araştırma",Başvuru!$F:$F,"&lt;&gt;"&amp;""))</f>
        <v>1</v>
      </c>
      <c r="G151" s="265">
        <f>IF(C151="","",COUNTIFS(Başvuru!$C:$C,C151,Başvuru!$G:$G,"Uzmanlık Tezi",Başvuru!$F:$F,"&lt;&gt;"&amp;""))</f>
        <v>0</v>
      </c>
      <c r="H151" s="265">
        <f>IF(C151="","",COUNTIFS(Başvuru!$C:$C,C151,Başvuru!$G:$G,"Doktora Tezi",Başvuru!$F:$F,"&lt;&gt;"&amp;""))</f>
        <v>0</v>
      </c>
      <c r="I151" s="265">
        <f>IF(C151="","",COUNTIFS(Başvuru!$C:$C,C151,Başvuru!$G:$G,"Yüksek Lisans Tezi",Başvuru!$F:$F,"&lt;&gt;"&amp;""))</f>
        <v>0</v>
      </c>
      <c r="J151" s="266">
        <f>IF(C151="","",COUNTIFS(Başvuru!$C:$C,C151,Başvuru!$L:$L,"ONAY",Başvuru!$F:$F,"&lt;&gt;"&amp;""))</f>
        <v>0</v>
      </c>
      <c r="K151" s="267">
        <f>IF(C151="","",COUNTIFS(Başvuru!$C:$C,C151,Başvuru!$L:$L,"DÜZELTME",Başvuru!$F:$F,"&lt;&gt;"&amp;""))</f>
        <v>1</v>
      </c>
      <c r="L151" s="268">
        <f>IF(C151="","",COUNTIFS(Başvuru!$C:$C,C151,Başvuru!$L:$L,"KAEK",Başvuru!$F:$F,"&lt;&gt;"&amp;""))</f>
        <v>0</v>
      </c>
      <c r="M151" s="269">
        <f>IF(C151="","",COUNTIFS(Başvuru!$C:$C,C151,Başvuru!$L:$L,"GÖRÜŞ",Başvuru!$F:$F,"&lt;&gt;"&amp;""))</f>
        <v>0</v>
      </c>
      <c r="N151" s="270">
        <f>IF(C151="","",COUNTIFS(Başvuru!$C:$C,C151,Başvuru!$L:$L,"RET",Başvuru!$F:$F,"&lt;&gt;"&amp;""))</f>
        <v>0</v>
      </c>
      <c r="O151" s="271">
        <f>IF(C151="","",COUNTIFS(Başvuru!$C:$C,C151,Başvuru!$L:$L,"KAPSAM DIŞI",Başvuru!$F:$F,"&lt;&gt;"&amp;""))</f>
        <v>0</v>
      </c>
      <c r="P151" s="272">
        <f>IF(C151="","",COUNTIFS(Başvuru!$C:$C,C151,Başvuru!$L:$L,"GERİ ÇEKİLDİ",Başvuru!$F:$F,"&lt;&gt;"&amp;""))</f>
        <v>0</v>
      </c>
      <c r="Q151" s="260" t="s">
        <v>2088</v>
      </c>
      <c r="R151" s="261">
        <f>COUNTIFS(Başvuru!$C:$C,Q151,Başvuru!$F:$F,"&lt;&gt;"&amp;"")</f>
        <v>1</v>
      </c>
      <c r="S151" s="261">
        <f>RANK(R151,$R$6:$R$290,0)+COUNTIF($R$6:R151,R151)-1</f>
        <v>205</v>
      </c>
    </row>
    <row r="152" spans="2:19" ht="15" customHeight="1" x14ac:dyDescent="0.25">
      <c r="B152" s="249">
        <v>147</v>
      </c>
      <c r="C152" s="250" t="str">
        <f>IFERROR(INDEX($Q$6:$Q$290,MATCH(147,$S$6:$S$290,0)),"")</f>
        <v>Doç. Dr. Kevser NALBANT</v>
      </c>
      <c r="D152" s="251">
        <f>IF(C152="","",COUNTIFS(Başvuru!$C:$C,C152,Başvuru!$F:$F,"&lt;&gt;"&amp;""))</f>
        <v>1</v>
      </c>
      <c r="E152" s="249" t="str">
        <f>IF(D152&gt;0,TEXT(D152/COUNTIF(Başvuru!$F:$F,"&lt;&gt;"&amp;"")*100,"0.0")&amp;"%","-")</f>
        <v>00%</v>
      </c>
      <c r="F152" s="252">
        <f>IF(C152="","",COUNTIFS(Başvuru!$C:$C,C152,Başvuru!$G:$G,"Bireysel Araştırma",Başvuru!$F:$F,"&lt;&gt;"&amp;""))</f>
        <v>1</v>
      </c>
      <c r="G152" s="252">
        <f>IF(C152="","",COUNTIFS(Başvuru!$C:$C,C152,Başvuru!$G:$G,"Uzmanlık Tezi",Başvuru!$F:$F,"&lt;&gt;"&amp;""))</f>
        <v>0</v>
      </c>
      <c r="H152" s="252">
        <f>IF(C152="","",COUNTIFS(Başvuru!$C:$C,C152,Başvuru!$G:$G,"Doktora Tezi",Başvuru!$F:$F,"&lt;&gt;"&amp;""))</f>
        <v>0</v>
      </c>
      <c r="I152" s="252">
        <f>IF(C152="","",COUNTIFS(Başvuru!$C:$C,C152,Başvuru!$G:$G,"Yüksek Lisans Tezi",Başvuru!$F:$F,"&lt;&gt;"&amp;""))</f>
        <v>0</v>
      </c>
      <c r="J152" s="253">
        <f>IF(C152="","",COUNTIFS(Başvuru!$C:$C,C152,Başvuru!$L:$L,"ONAY",Başvuru!$F:$F,"&lt;&gt;"&amp;""))</f>
        <v>0</v>
      </c>
      <c r="K152" s="254">
        <f>IF(C152="","",COUNTIFS(Başvuru!$C:$C,C152,Başvuru!$L:$L,"DÜZELTME",Başvuru!$F:$F,"&lt;&gt;"&amp;""))</f>
        <v>1</v>
      </c>
      <c r="L152" s="255">
        <f>IF(C152="","",COUNTIFS(Başvuru!$C:$C,C152,Başvuru!$L:$L,"KAEK",Başvuru!$F:$F,"&lt;&gt;"&amp;""))</f>
        <v>0</v>
      </c>
      <c r="M152" s="256">
        <f>IF(C152="","",COUNTIFS(Başvuru!$C:$C,C152,Başvuru!$L:$L,"GÖRÜŞ",Başvuru!$F:$F,"&lt;&gt;"&amp;""))</f>
        <v>0</v>
      </c>
      <c r="N152" s="257">
        <f>IF(C152="","",COUNTIFS(Başvuru!$C:$C,C152,Başvuru!$L:$L,"RET",Başvuru!$F:$F,"&lt;&gt;"&amp;""))</f>
        <v>0</v>
      </c>
      <c r="O152" s="258">
        <f>IF(C152="","",COUNTIFS(Başvuru!$C:$C,C152,Başvuru!$L:$L,"KAPSAM DIŞI",Başvuru!$F:$F,"&lt;&gt;"&amp;""))</f>
        <v>0</v>
      </c>
      <c r="P152" s="259">
        <f>IF(C152="","",COUNTIFS(Başvuru!$C:$C,C152,Başvuru!$L:$L,"GERİ ÇEKİLDİ",Başvuru!$F:$F,"&lt;&gt;"&amp;""))</f>
        <v>0</v>
      </c>
      <c r="Q152" s="260" t="s">
        <v>699</v>
      </c>
      <c r="R152" s="261">
        <f>COUNTIFS(Başvuru!$C:$C,Q152,Başvuru!$F:$F,"&lt;&gt;"&amp;"")</f>
        <v>4</v>
      </c>
      <c r="S152" s="261">
        <f>RANK(R152,$R$6:$R$290,0)+COUNTIF($R$6:R152,R152)-1</f>
        <v>31</v>
      </c>
    </row>
    <row r="153" spans="2:19" ht="15" customHeight="1" x14ac:dyDescent="0.25">
      <c r="B153" s="262">
        <v>148</v>
      </c>
      <c r="C153" s="263" t="str">
        <f>IFERROR(INDEX($Q$6:$Q$290,MATCH(148,$S$6:$S$290,0)),"")</f>
        <v>Doç. Dr. Kısmet ÇIKI</v>
      </c>
      <c r="D153" s="264">
        <f>IF(C153="","",COUNTIFS(Başvuru!$C:$C,C153,Başvuru!$F:$F,"&lt;&gt;"&amp;""))</f>
        <v>1</v>
      </c>
      <c r="E153" s="262" t="str">
        <f>IF(D153&gt;0,TEXT(D153/COUNTIF(Başvuru!$F:$F,"&lt;&gt;"&amp;"")*100,"0.0")&amp;"%","-")</f>
        <v>00%</v>
      </c>
      <c r="F153" s="265">
        <f>IF(C153="","",COUNTIFS(Başvuru!$C:$C,C153,Başvuru!$G:$G,"Bireysel Araştırma",Başvuru!$F:$F,"&lt;&gt;"&amp;""))</f>
        <v>1</v>
      </c>
      <c r="G153" s="265">
        <f>IF(C153="","",COUNTIFS(Başvuru!$C:$C,C153,Başvuru!$G:$G,"Uzmanlık Tezi",Başvuru!$F:$F,"&lt;&gt;"&amp;""))</f>
        <v>0</v>
      </c>
      <c r="H153" s="265">
        <f>IF(C153="","",COUNTIFS(Başvuru!$C:$C,C153,Başvuru!$G:$G,"Doktora Tezi",Başvuru!$F:$F,"&lt;&gt;"&amp;""))</f>
        <v>0</v>
      </c>
      <c r="I153" s="265">
        <f>IF(C153="","",COUNTIFS(Başvuru!$C:$C,C153,Başvuru!$G:$G,"Yüksek Lisans Tezi",Başvuru!$F:$F,"&lt;&gt;"&amp;""))</f>
        <v>0</v>
      </c>
      <c r="J153" s="266">
        <f>IF(C153="","",COUNTIFS(Başvuru!$C:$C,C153,Başvuru!$L:$L,"ONAY",Başvuru!$F:$F,"&lt;&gt;"&amp;""))</f>
        <v>0</v>
      </c>
      <c r="K153" s="267">
        <f>IF(C153="","",COUNTIFS(Başvuru!$C:$C,C153,Başvuru!$L:$L,"DÜZELTME",Başvuru!$F:$F,"&lt;&gt;"&amp;""))</f>
        <v>1</v>
      </c>
      <c r="L153" s="268">
        <f>IF(C153="","",COUNTIFS(Başvuru!$C:$C,C153,Başvuru!$L:$L,"KAEK",Başvuru!$F:$F,"&lt;&gt;"&amp;""))</f>
        <v>0</v>
      </c>
      <c r="M153" s="269">
        <f>IF(C153="","",COUNTIFS(Başvuru!$C:$C,C153,Başvuru!$L:$L,"GÖRÜŞ",Başvuru!$F:$F,"&lt;&gt;"&amp;""))</f>
        <v>0</v>
      </c>
      <c r="N153" s="270">
        <f>IF(C153="","",COUNTIFS(Başvuru!$C:$C,C153,Başvuru!$L:$L,"RET",Başvuru!$F:$F,"&lt;&gt;"&amp;""))</f>
        <v>0</v>
      </c>
      <c r="O153" s="271">
        <f>IF(C153="","",COUNTIFS(Başvuru!$C:$C,C153,Başvuru!$L:$L,"KAPSAM DIŞI",Başvuru!$F:$F,"&lt;&gt;"&amp;""))</f>
        <v>0</v>
      </c>
      <c r="P153" s="272">
        <f>IF(C153="","",COUNTIFS(Başvuru!$C:$C,C153,Başvuru!$L:$L,"GERİ ÇEKİLDİ",Başvuru!$F:$F,"&lt;&gt;"&amp;""))</f>
        <v>0</v>
      </c>
      <c r="Q153" s="260" t="s">
        <v>2189</v>
      </c>
      <c r="R153" s="261">
        <f>COUNTIFS(Başvuru!$C:$C,Q153,Başvuru!$F:$F,"&lt;&gt;"&amp;"")</f>
        <v>1</v>
      </c>
      <c r="S153" s="261">
        <f>RANK(R153,$R$6:$R$290,0)+COUNTIF($R$6:R153,R153)-1</f>
        <v>206</v>
      </c>
    </row>
    <row r="154" spans="2:19" ht="15" customHeight="1" x14ac:dyDescent="0.25">
      <c r="B154" s="249">
        <v>149</v>
      </c>
      <c r="C154" s="250" t="str">
        <f>IFERROR(INDEX($Q$6:$Q$290,MATCH(149,$S$6:$S$290,0)),"")</f>
        <v>Doç. Dr. Muhammed Bahaddin DURAK</v>
      </c>
      <c r="D154" s="251">
        <f>IF(C154="","",COUNTIFS(Başvuru!$C:$C,C154,Başvuru!$F:$F,"&lt;&gt;"&amp;""))</f>
        <v>1</v>
      </c>
      <c r="E154" s="249" t="str">
        <f>IF(D154&gt;0,TEXT(D154/COUNTIF(Başvuru!$F:$F,"&lt;&gt;"&amp;"")*100,"0.0")&amp;"%","-")</f>
        <v>00%</v>
      </c>
      <c r="F154" s="252">
        <f>IF(C154="","",COUNTIFS(Başvuru!$C:$C,C154,Başvuru!$G:$G,"Bireysel Araştırma",Başvuru!$F:$F,"&lt;&gt;"&amp;""))</f>
        <v>0</v>
      </c>
      <c r="G154" s="252">
        <f>IF(C154="","",COUNTIFS(Başvuru!$C:$C,C154,Başvuru!$G:$G,"Uzmanlık Tezi",Başvuru!$F:$F,"&lt;&gt;"&amp;""))</f>
        <v>1</v>
      </c>
      <c r="H154" s="252">
        <f>IF(C154="","",COUNTIFS(Başvuru!$C:$C,C154,Başvuru!$G:$G,"Doktora Tezi",Başvuru!$F:$F,"&lt;&gt;"&amp;""))</f>
        <v>0</v>
      </c>
      <c r="I154" s="252">
        <f>IF(C154="","",COUNTIFS(Başvuru!$C:$C,C154,Başvuru!$G:$G,"Yüksek Lisans Tezi",Başvuru!$F:$F,"&lt;&gt;"&amp;""))</f>
        <v>0</v>
      </c>
      <c r="J154" s="253">
        <f>IF(C154="","",COUNTIFS(Başvuru!$C:$C,C154,Başvuru!$L:$L,"ONAY",Başvuru!$F:$F,"&lt;&gt;"&amp;""))</f>
        <v>1</v>
      </c>
      <c r="K154" s="254">
        <f>IF(C154="","",COUNTIFS(Başvuru!$C:$C,C154,Başvuru!$L:$L,"DÜZELTME",Başvuru!$F:$F,"&lt;&gt;"&amp;""))</f>
        <v>0</v>
      </c>
      <c r="L154" s="255">
        <f>IF(C154="","",COUNTIFS(Başvuru!$C:$C,C154,Başvuru!$L:$L,"KAEK",Başvuru!$F:$F,"&lt;&gt;"&amp;""))</f>
        <v>0</v>
      </c>
      <c r="M154" s="256">
        <f>IF(C154="","",COUNTIFS(Başvuru!$C:$C,C154,Başvuru!$L:$L,"GÖRÜŞ",Başvuru!$F:$F,"&lt;&gt;"&amp;""))</f>
        <v>0</v>
      </c>
      <c r="N154" s="257">
        <f>IF(C154="","",COUNTIFS(Başvuru!$C:$C,C154,Başvuru!$L:$L,"RET",Başvuru!$F:$F,"&lt;&gt;"&amp;""))</f>
        <v>0</v>
      </c>
      <c r="O154" s="258">
        <f>IF(C154="","",COUNTIFS(Başvuru!$C:$C,C154,Başvuru!$L:$L,"KAPSAM DIŞI",Başvuru!$F:$F,"&lt;&gt;"&amp;""))</f>
        <v>0</v>
      </c>
      <c r="P154" s="259">
        <f>IF(C154="","",COUNTIFS(Başvuru!$C:$C,C154,Başvuru!$L:$L,"GERİ ÇEKİLDİ",Başvuru!$F:$F,"&lt;&gt;"&amp;""))</f>
        <v>0</v>
      </c>
      <c r="Q154" s="260" t="s">
        <v>785</v>
      </c>
      <c r="R154" s="261">
        <f>COUNTIFS(Başvuru!$C:$C,Q154,Başvuru!$F:$F,"&lt;&gt;"&amp;"")</f>
        <v>1</v>
      </c>
      <c r="S154" s="261">
        <f>RANK(R154,$R$6:$R$290,0)+COUNTIF($R$6:R154,R154)-1</f>
        <v>207</v>
      </c>
    </row>
    <row r="155" spans="2:19" ht="15" customHeight="1" x14ac:dyDescent="0.25">
      <c r="B155" s="262">
        <v>150</v>
      </c>
      <c r="C155" s="263" t="str">
        <f>IFERROR(INDEX($Q$6:$Q$290,MATCH(150,$S$6:$S$290,0)),"")</f>
        <v>Doç. Dr. Nagihan KOÇ</v>
      </c>
      <c r="D155" s="264">
        <f>IF(C155="","",COUNTIFS(Başvuru!$C:$C,C155,Başvuru!$F:$F,"&lt;&gt;"&amp;""))</f>
        <v>1</v>
      </c>
      <c r="E155" s="262" t="str">
        <f>IF(D155&gt;0,TEXT(D155/COUNTIF(Başvuru!$F:$F,"&lt;&gt;"&amp;"")*100,"0.0")&amp;"%","-")</f>
        <v>00%</v>
      </c>
      <c r="F155" s="265">
        <f>IF(C155="","",COUNTIFS(Başvuru!$C:$C,C155,Başvuru!$G:$G,"Bireysel Araştırma",Başvuru!$F:$F,"&lt;&gt;"&amp;""))</f>
        <v>0</v>
      </c>
      <c r="G155" s="265">
        <f>IF(C155="","",COUNTIFS(Başvuru!$C:$C,C155,Başvuru!$G:$G,"Uzmanlık Tezi",Başvuru!$F:$F,"&lt;&gt;"&amp;""))</f>
        <v>1</v>
      </c>
      <c r="H155" s="265">
        <f>IF(C155="","",COUNTIFS(Başvuru!$C:$C,C155,Başvuru!$G:$G,"Doktora Tezi",Başvuru!$F:$F,"&lt;&gt;"&amp;""))</f>
        <v>0</v>
      </c>
      <c r="I155" s="265">
        <f>IF(C155="","",COUNTIFS(Başvuru!$C:$C,C155,Başvuru!$G:$G,"Yüksek Lisans Tezi",Başvuru!$F:$F,"&lt;&gt;"&amp;""))</f>
        <v>0</v>
      </c>
      <c r="J155" s="266">
        <f>IF(C155="","",COUNTIFS(Başvuru!$C:$C,C155,Başvuru!$L:$L,"ONAY",Başvuru!$F:$F,"&lt;&gt;"&amp;""))</f>
        <v>1</v>
      </c>
      <c r="K155" s="267">
        <f>IF(C155="","",COUNTIFS(Başvuru!$C:$C,C155,Başvuru!$L:$L,"DÜZELTME",Başvuru!$F:$F,"&lt;&gt;"&amp;""))</f>
        <v>0</v>
      </c>
      <c r="L155" s="268">
        <f>IF(C155="","",COUNTIFS(Başvuru!$C:$C,C155,Başvuru!$L:$L,"KAEK",Başvuru!$F:$F,"&lt;&gt;"&amp;""))</f>
        <v>0</v>
      </c>
      <c r="M155" s="269">
        <f>IF(C155="","",COUNTIFS(Başvuru!$C:$C,C155,Başvuru!$L:$L,"GÖRÜŞ",Başvuru!$F:$F,"&lt;&gt;"&amp;""))</f>
        <v>0</v>
      </c>
      <c r="N155" s="270">
        <f>IF(C155="","",COUNTIFS(Başvuru!$C:$C,C155,Başvuru!$L:$L,"RET",Başvuru!$F:$F,"&lt;&gt;"&amp;""))</f>
        <v>0</v>
      </c>
      <c r="O155" s="271">
        <f>IF(C155="","",COUNTIFS(Başvuru!$C:$C,C155,Başvuru!$L:$L,"KAPSAM DIŞI",Başvuru!$F:$F,"&lt;&gt;"&amp;""))</f>
        <v>0</v>
      </c>
      <c r="P155" s="272">
        <f>IF(C155="","",COUNTIFS(Başvuru!$C:$C,C155,Başvuru!$L:$L,"GERİ ÇEKİLDİ",Başvuru!$F:$F,"&lt;&gt;"&amp;""))</f>
        <v>0</v>
      </c>
      <c r="Q155" s="260" t="s">
        <v>110</v>
      </c>
      <c r="R155" s="261">
        <f>COUNTIFS(Başvuru!$C:$C,Q155,Başvuru!$F:$F,"&lt;&gt;"&amp;"")</f>
        <v>2</v>
      </c>
      <c r="S155" s="261">
        <f>RANK(R155,$R$6:$R$290,0)+COUNTIF($R$6:R155,R155)-1</f>
        <v>91</v>
      </c>
    </row>
    <row r="156" spans="2:19" ht="15" customHeight="1" x14ac:dyDescent="0.25">
      <c r="B156" s="249">
        <v>151</v>
      </c>
      <c r="C156" s="250" t="str">
        <f>IFERROR(INDEX($Q$6:$Q$290,MATCH(151,$S$6:$S$290,0)),"")</f>
        <v>Doç. Dr. Neslihan AKDOĞAN</v>
      </c>
      <c r="D156" s="251">
        <f>IF(C156="","",COUNTIFS(Başvuru!$C:$C,C156,Başvuru!$F:$F,"&lt;&gt;"&amp;""))</f>
        <v>1</v>
      </c>
      <c r="E156" s="249" t="str">
        <f>IF(D156&gt;0,TEXT(D156/COUNTIF(Başvuru!$F:$F,"&lt;&gt;"&amp;"")*100,"0.0")&amp;"%","-")</f>
        <v>00%</v>
      </c>
      <c r="F156" s="252">
        <f>IF(C156="","",COUNTIFS(Başvuru!$C:$C,C156,Başvuru!$G:$G,"Bireysel Araştırma",Başvuru!$F:$F,"&lt;&gt;"&amp;""))</f>
        <v>0</v>
      </c>
      <c r="G156" s="252">
        <f>IF(C156="","",COUNTIFS(Başvuru!$C:$C,C156,Başvuru!$G:$G,"Uzmanlık Tezi",Başvuru!$F:$F,"&lt;&gt;"&amp;""))</f>
        <v>1</v>
      </c>
      <c r="H156" s="252">
        <f>IF(C156="","",COUNTIFS(Başvuru!$C:$C,C156,Başvuru!$G:$G,"Doktora Tezi",Başvuru!$F:$F,"&lt;&gt;"&amp;""))</f>
        <v>0</v>
      </c>
      <c r="I156" s="252">
        <f>IF(C156="","",COUNTIFS(Başvuru!$C:$C,C156,Başvuru!$G:$G,"Yüksek Lisans Tezi",Başvuru!$F:$F,"&lt;&gt;"&amp;""))</f>
        <v>0</v>
      </c>
      <c r="J156" s="253">
        <f>IF(C156="","",COUNTIFS(Başvuru!$C:$C,C156,Başvuru!$L:$L,"ONAY",Başvuru!$F:$F,"&lt;&gt;"&amp;""))</f>
        <v>1</v>
      </c>
      <c r="K156" s="254">
        <f>IF(C156="","",COUNTIFS(Başvuru!$C:$C,C156,Başvuru!$L:$L,"DÜZELTME",Başvuru!$F:$F,"&lt;&gt;"&amp;""))</f>
        <v>0</v>
      </c>
      <c r="L156" s="255">
        <f>IF(C156="","",COUNTIFS(Başvuru!$C:$C,C156,Başvuru!$L:$L,"KAEK",Başvuru!$F:$F,"&lt;&gt;"&amp;""))</f>
        <v>0</v>
      </c>
      <c r="M156" s="256">
        <f>IF(C156="","",COUNTIFS(Başvuru!$C:$C,C156,Başvuru!$L:$L,"GÖRÜŞ",Başvuru!$F:$F,"&lt;&gt;"&amp;""))</f>
        <v>0</v>
      </c>
      <c r="N156" s="257">
        <f>IF(C156="","",COUNTIFS(Başvuru!$C:$C,C156,Başvuru!$L:$L,"RET",Başvuru!$F:$F,"&lt;&gt;"&amp;""))</f>
        <v>0</v>
      </c>
      <c r="O156" s="258">
        <f>IF(C156="","",COUNTIFS(Başvuru!$C:$C,C156,Başvuru!$L:$L,"KAPSAM DIŞI",Başvuru!$F:$F,"&lt;&gt;"&amp;""))</f>
        <v>0</v>
      </c>
      <c r="P156" s="259">
        <f>IF(C156="","",COUNTIFS(Başvuru!$C:$C,C156,Başvuru!$L:$L,"GERİ ÇEKİLDİ",Başvuru!$F:$F,"&lt;&gt;"&amp;""))</f>
        <v>0</v>
      </c>
      <c r="Q156" s="260" t="s">
        <v>606</v>
      </c>
      <c r="R156" s="261">
        <f>COUNTIFS(Başvuru!$C:$C,Q156,Başvuru!$F:$F,"&lt;&gt;"&amp;"")</f>
        <v>3</v>
      </c>
      <c r="S156" s="261">
        <f>RANK(R156,$R$6:$R$290,0)+COUNTIF($R$6:R156,R156)-1</f>
        <v>48</v>
      </c>
    </row>
    <row r="157" spans="2:19" ht="15" customHeight="1" x14ac:dyDescent="0.25">
      <c r="B157" s="262">
        <v>152</v>
      </c>
      <c r="C157" s="263" t="str">
        <f>IFERROR(INDEX($Q$6:$Q$290,MATCH(152,$S$6:$S$290,0)),"")</f>
        <v>Doç. Dr. Nezih AKKAPULU</v>
      </c>
      <c r="D157" s="264">
        <f>IF(C157="","",COUNTIFS(Başvuru!$C:$C,C157,Başvuru!$F:$F,"&lt;&gt;"&amp;""))</f>
        <v>1</v>
      </c>
      <c r="E157" s="262" t="str">
        <f>IF(D157&gt;0,TEXT(D157/COUNTIF(Başvuru!$F:$F,"&lt;&gt;"&amp;"")*100,"0.0")&amp;"%","-")</f>
        <v>00%</v>
      </c>
      <c r="F157" s="265">
        <f>IF(C157="","",COUNTIFS(Başvuru!$C:$C,C157,Başvuru!$G:$G,"Bireysel Araştırma",Başvuru!$F:$F,"&lt;&gt;"&amp;""))</f>
        <v>1</v>
      </c>
      <c r="G157" s="265">
        <f>IF(C157="","",COUNTIFS(Başvuru!$C:$C,C157,Başvuru!$G:$G,"Uzmanlık Tezi",Başvuru!$F:$F,"&lt;&gt;"&amp;""))</f>
        <v>0</v>
      </c>
      <c r="H157" s="265">
        <f>IF(C157="","",COUNTIFS(Başvuru!$C:$C,C157,Başvuru!$G:$G,"Doktora Tezi",Başvuru!$F:$F,"&lt;&gt;"&amp;""))</f>
        <v>0</v>
      </c>
      <c r="I157" s="265">
        <f>IF(C157="","",COUNTIFS(Başvuru!$C:$C,C157,Başvuru!$G:$G,"Yüksek Lisans Tezi",Başvuru!$F:$F,"&lt;&gt;"&amp;""))</f>
        <v>0</v>
      </c>
      <c r="J157" s="266">
        <f>IF(C157="","",COUNTIFS(Başvuru!$C:$C,C157,Başvuru!$L:$L,"ONAY",Başvuru!$F:$F,"&lt;&gt;"&amp;""))</f>
        <v>1</v>
      </c>
      <c r="K157" s="267">
        <f>IF(C157="","",COUNTIFS(Başvuru!$C:$C,C157,Başvuru!$L:$L,"DÜZELTME",Başvuru!$F:$F,"&lt;&gt;"&amp;""))</f>
        <v>0</v>
      </c>
      <c r="L157" s="268">
        <f>IF(C157="","",COUNTIFS(Başvuru!$C:$C,C157,Başvuru!$L:$L,"KAEK",Başvuru!$F:$F,"&lt;&gt;"&amp;""))</f>
        <v>0</v>
      </c>
      <c r="M157" s="269">
        <f>IF(C157="","",COUNTIFS(Başvuru!$C:$C,C157,Başvuru!$L:$L,"GÖRÜŞ",Başvuru!$F:$F,"&lt;&gt;"&amp;""))</f>
        <v>0</v>
      </c>
      <c r="N157" s="270">
        <f>IF(C157="","",COUNTIFS(Başvuru!$C:$C,C157,Başvuru!$L:$L,"RET",Başvuru!$F:$F,"&lt;&gt;"&amp;""))</f>
        <v>0</v>
      </c>
      <c r="O157" s="271">
        <f>IF(C157="","",COUNTIFS(Başvuru!$C:$C,C157,Başvuru!$L:$L,"KAPSAM DIŞI",Başvuru!$F:$F,"&lt;&gt;"&amp;""))</f>
        <v>0</v>
      </c>
      <c r="P157" s="272">
        <f>IF(C157="","",COUNTIFS(Başvuru!$C:$C,C157,Başvuru!$L:$L,"GERİ ÇEKİLDİ",Başvuru!$F:$F,"&lt;&gt;"&amp;""))</f>
        <v>0</v>
      </c>
      <c r="Q157" s="260" t="s">
        <v>380</v>
      </c>
      <c r="R157" s="261">
        <f>COUNTIFS(Başvuru!$C:$C,Q157,Başvuru!$F:$F,"&lt;&gt;"&amp;"")</f>
        <v>1</v>
      </c>
      <c r="S157" s="261">
        <f>RANK(R157,$R$6:$R$290,0)+COUNTIF($R$6:R157,R157)-1</f>
        <v>208</v>
      </c>
    </row>
    <row r="158" spans="2:19" ht="15" customHeight="1" x14ac:dyDescent="0.25">
      <c r="B158" s="249">
        <v>153</v>
      </c>
      <c r="C158" s="250" t="str">
        <f>IFERROR(INDEX($Q$6:$Q$290,MATCH(153,$S$6:$S$290,0)),"")</f>
        <v>Doç. Dr. Nursel AKKAYA</v>
      </c>
      <c r="D158" s="251">
        <f>IF(C158="","",COUNTIFS(Başvuru!$C:$C,C158,Başvuru!$F:$F,"&lt;&gt;"&amp;""))</f>
        <v>1</v>
      </c>
      <c r="E158" s="249" t="str">
        <f>IF(D158&gt;0,TEXT(D158/COUNTIF(Başvuru!$F:$F,"&lt;&gt;"&amp;"")*100,"0.0")&amp;"%","-")</f>
        <v>00%</v>
      </c>
      <c r="F158" s="252">
        <f>IF(C158="","",COUNTIFS(Başvuru!$C:$C,C158,Başvuru!$G:$G,"Bireysel Araştırma",Başvuru!$F:$F,"&lt;&gt;"&amp;""))</f>
        <v>0</v>
      </c>
      <c r="G158" s="252">
        <f>IF(C158="","",COUNTIFS(Başvuru!$C:$C,C158,Başvuru!$G:$G,"Uzmanlık Tezi",Başvuru!$F:$F,"&lt;&gt;"&amp;""))</f>
        <v>1</v>
      </c>
      <c r="H158" s="252">
        <f>IF(C158="","",COUNTIFS(Başvuru!$C:$C,C158,Başvuru!$G:$G,"Doktora Tezi",Başvuru!$F:$F,"&lt;&gt;"&amp;""))</f>
        <v>0</v>
      </c>
      <c r="I158" s="252">
        <f>IF(C158="","",COUNTIFS(Başvuru!$C:$C,C158,Başvuru!$G:$G,"Yüksek Lisans Tezi",Başvuru!$F:$F,"&lt;&gt;"&amp;""))</f>
        <v>0</v>
      </c>
      <c r="J158" s="253">
        <f>IF(C158="","",COUNTIFS(Başvuru!$C:$C,C158,Başvuru!$L:$L,"ONAY",Başvuru!$F:$F,"&lt;&gt;"&amp;""))</f>
        <v>0</v>
      </c>
      <c r="K158" s="254">
        <f>IF(C158="","",COUNTIFS(Başvuru!$C:$C,C158,Başvuru!$L:$L,"DÜZELTME",Başvuru!$F:$F,"&lt;&gt;"&amp;""))</f>
        <v>0</v>
      </c>
      <c r="L158" s="255">
        <f>IF(C158="","",COUNTIFS(Başvuru!$C:$C,C158,Başvuru!$L:$L,"KAEK",Başvuru!$F:$F,"&lt;&gt;"&amp;""))</f>
        <v>0</v>
      </c>
      <c r="M158" s="256">
        <f>IF(C158="","",COUNTIFS(Başvuru!$C:$C,C158,Başvuru!$L:$L,"GÖRÜŞ",Başvuru!$F:$F,"&lt;&gt;"&amp;""))</f>
        <v>0</v>
      </c>
      <c r="N158" s="257">
        <f>IF(C158="","",COUNTIFS(Başvuru!$C:$C,C158,Başvuru!$L:$L,"RET",Başvuru!$F:$F,"&lt;&gt;"&amp;""))</f>
        <v>0</v>
      </c>
      <c r="O158" s="258">
        <f>IF(C158="","",COUNTIFS(Başvuru!$C:$C,C158,Başvuru!$L:$L,"KAPSAM DIŞI",Başvuru!$F:$F,"&lt;&gt;"&amp;""))</f>
        <v>0</v>
      </c>
      <c r="P158" s="259">
        <f>IF(C158="","",COUNTIFS(Başvuru!$C:$C,C158,Başvuru!$L:$L,"GERİ ÇEKİLDİ",Başvuru!$F:$F,"&lt;&gt;"&amp;""))</f>
        <v>0</v>
      </c>
      <c r="Q158" s="260" t="s">
        <v>185</v>
      </c>
      <c r="R158" s="261">
        <f>COUNTIFS(Başvuru!$C:$C,Q158,Başvuru!$F:$F,"&lt;&gt;"&amp;"")</f>
        <v>1</v>
      </c>
      <c r="S158" s="261">
        <f>RANK(R158,$R$6:$R$290,0)+COUNTIF($R$6:R158,R158)-1</f>
        <v>209</v>
      </c>
    </row>
    <row r="159" spans="2:19" ht="15" customHeight="1" x14ac:dyDescent="0.25">
      <c r="B159" s="262">
        <v>154</v>
      </c>
      <c r="C159" s="263" t="str">
        <f>IFERROR(INDEX($Q$6:$Q$290,MATCH(154,$S$6:$S$290,0)),"")</f>
        <v>Doç. Dr. Oğuz Abdullah UYAROĞLU</v>
      </c>
      <c r="D159" s="264">
        <f>IF(C159="","",COUNTIFS(Başvuru!$C:$C,C159,Başvuru!$F:$F,"&lt;&gt;"&amp;""))</f>
        <v>1</v>
      </c>
      <c r="E159" s="262" t="str">
        <f>IF(D159&gt;0,TEXT(D159/COUNTIF(Başvuru!$F:$F,"&lt;&gt;"&amp;"")*100,"0.0")&amp;"%","-")</f>
        <v>00%</v>
      </c>
      <c r="F159" s="265">
        <f>IF(C159="","",COUNTIFS(Başvuru!$C:$C,C159,Başvuru!$G:$G,"Bireysel Araştırma",Başvuru!$F:$F,"&lt;&gt;"&amp;""))</f>
        <v>1</v>
      </c>
      <c r="G159" s="265">
        <f>IF(C159="","",COUNTIFS(Başvuru!$C:$C,C159,Başvuru!$G:$G,"Uzmanlık Tezi",Başvuru!$F:$F,"&lt;&gt;"&amp;""))</f>
        <v>0</v>
      </c>
      <c r="H159" s="265">
        <f>IF(C159="","",COUNTIFS(Başvuru!$C:$C,C159,Başvuru!$G:$G,"Doktora Tezi",Başvuru!$F:$F,"&lt;&gt;"&amp;""))</f>
        <v>0</v>
      </c>
      <c r="I159" s="265">
        <f>IF(C159="","",COUNTIFS(Başvuru!$C:$C,C159,Başvuru!$G:$G,"Yüksek Lisans Tezi",Başvuru!$F:$F,"&lt;&gt;"&amp;""))</f>
        <v>0</v>
      </c>
      <c r="J159" s="266">
        <f>IF(C159="","",COUNTIFS(Başvuru!$C:$C,C159,Başvuru!$L:$L,"ONAY",Başvuru!$F:$F,"&lt;&gt;"&amp;""))</f>
        <v>0</v>
      </c>
      <c r="K159" s="267">
        <f>IF(C159="","",COUNTIFS(Başvuru!$C:$C,C159,Başvuru!$L:$L,"DÜZELTME",Başvuru!$F:$F,"&lt;&gt;"&amp;""))</f>
        <v>1</v>
      </c>
      <c r="L159" s="268">
        <f>IF(C159="","",COUNTIFS(Başvuru!$C:$C,C159,Başvuru!$L:$L,"KAEK",Başvuru!$F:$F,"&lt;&gt;"&amp;""))</f>
        <v>0</v>
      </c>
      <c r="M159" s="269">
        <f>IF(C159="","",COUNTIFS(Başvuru!$C:$C,C159,Başvuru!$L:$L,"GÖRÜŞ",Başvuru!$F:$F,"&lt;&gt;"&amp;""))</f>
        <v>0</v>
      </c>
      <c r="N159" s="270">
        <f>IF(C159="","",COUNTIFS(Başvuru!$C:$C,C159,Başvuru!$L:$L,"RET",Başvuru!$F:$F,"&lt;&gt;"&amp;""))</f>
        <v>0</v>
      </c>
      <c r="O159" s="271">
        <f>IF(C159="","",COUNTIFS(Başvuru!$C:$C,C159,Başvuru!$L:$L,"KAPSAM DIŞI",Başvuru!$F:$F,"&lt;&gt;"&amp;""))</f>
        <v>0</v>
      </c>
      <c r="P159" s="272">
        <f>IF(C159="","",COUNTIFS(Başvuru!$C:$C,C159,Başvuru!$L:$L,"GERİ ÇEKİLDİ",Başvuru!$F:$F,"&lt;&gt;"&amp;""))</f>
        <v>0</v>
      </c>
      <c r="Q159" s="260" t="s">
        <v>2446</v>
      </c>
      <c r="R159" s="261">
        <f>COUNTIFS(Başvuru!$C:$C,Q159,Başvuru!$F:$F,"&lt;&gt;"&amp;"")</f>
        <v>1</v>
      </c>
      <c r="S159" s="261">
        <f>RANK(R159,$R$6:$R$290,0)+COUNTIF($R$6:R159,R159)-1</f>
        <v>210</v>
      </c>
    </row>
    <row r="160" spans="2:19" ht="15" customHeight="1" x14ac:dyDescent="0.25">
      <c r="B160" s="249">
        <v>155</v>
      </c>
      <c r="C160" s="250" t="str">
        <f>IFERROR(INDEX($Q$6:$Q$290,MATCH(155,$S$6:$S$290,0)),"")</f>
        <v>Doç. Dr. Rahşan GÖÇMEN</v>
      </c>
      <c r="D160" s="251">
        <f>IF(C160="","",COUNTIFS(Başvuru!$C:$C,C160,Başvuru!$F:$F,"&lt;&gt;"&amp;""))</f>
        <v>1</v>
      </c>
      <c r="E160" s="249" t="str">
        <f>IF(D160&gt;0,TEXT(D160/COUNTIF(Başvuru!$F:$F,"&lt;&gt;"&amp;"")*100,"0.0")&amp;"%","-")</f>
        <v>00%</v>
      </c>
      <c r="F160" s="252">
        <f>IF(C160="","",COUNTIFS(Başvuru!$C:$C,C160,Başvuru!$G:$G,"Bireysel Araştırma",Başvuru!$F:$F,"&lt;&gt;"&amp;""))</f>
        <v>1</v>
      </c>
      <c r="G160" s="252">
        <f>IF(C160="","",COUNTIFS(Başvuru!$C:$C,C160,Başvuru!$G:$G,"Uzmanlık Tezi",Başvuru!$F:$F,"&lt;&gt;"&amp;""))</f>
        <v>0</v>
      </c>
      <c r="H160" s="252">
        <f>IF(C160="","",COUNTIFS(Başvuru!$C:$C,C160,Başvuru!$G:$G,"Doktora Tezi",Başvuru!$F:$F,"&lt;&gt;"&amp;""))</f>
        <v>0</v>
      </c>
      <c r="I160" s="252">
        <f>IF(C160="","",COUNTIFS(Başvuru!$C:$C,C160,Başvuru!$G:$G,"Yüksek Lisans Tezi",Başvuru!$F:$F,"&lt;&gt;"&amp;""))</f>
        <v>0</v>
      </c>
      <c r="J160" s="253">
        <f>IF(C160="","",COUNTIFS(Başvuru!$C:$C,C160,Başvuru!$L:$L,"ONAY",Başvuru!$F:$F,"&lt;&gt;"&amp;""))</f>
        <v>1</v>
      </c>
      <c r="K160" s="254">
        <f>IF(C160="","",COUNTIFS(Başvuru!$C:$C,C160,Başvuru!$L:$L,"DÜZELTME",Başvuru!$F:$F,"&lt;&gt;"&amp;""))</f>
        <v>0</v>
      </c>
      <c r="L160" s="255">
        <f>IF(C160="","",COUNTIFS(Başvuru!$C:$C,C160,Başvuru!$L:$L,"KAEK",Başvuru!$F:$F,"&lt;&gt;"&amp;""))</f>
        <v>0</v>
      </c>
      <c r="M160" s="256">
        <f>IF(C160="","",COUNTIFS(Başvuru!$C:$C,C160,Başvuru!$L:$L,"GÖRÜŞ",Başvuru!$F:$F,"&lt;&gt;"&amp;""))</f>
        <v>0</v>
      </c>
      <c r="N160" s="257">
        <f>IF(C160="","",COUNTIFS(Başvuru!$C:$C,C160,Başvuru!$L:$L,"RET",Başvuru!$F:$F,"&lt;&gt;"&amp;""))</f>
        <v>0</v>
      </c>
      <c r="O160" s="258">
        <f>IF(C160="","",COUNTIFS(Başvuru!$C:$C,C160,Başvuru!$L:$L,"KAPSAM DIŞI",Başvuru!$F:$F,"&lt;&gt;"&amp;""))</f>
        <v>0</v>
      </c>
      <c r="P160" s="259">
        <f>IF(C160="","",COUNTIFS(Başvuru!$C:$C,C160,Başvuru!$L:$L,"GERİ ÇEKİLDİ",Başvuru!$F:$F,"&lt;&gt;"&amp;""))</f>
        <v>0</v>
      </c>
      <c r="Q160" s="260" t="s">
        <v>87</v>
      </c>
      <c r="R160" s="261">
        <f>COUNTIFS(Başvuru!$C:$C,Q160,Başvuru!$F:$F,"&lt;&gt;"&amp;"")</f>
        <v>2</v>
      </c>
      <c r="S160" s="261">
        <f>RANK(R160,$R$6:$R$290,0)+COUNTIF($R$6:R160,R160)-1</f>
        <v>92</v>
      </c>
    </row>
    <row r="161" spans="2:19" ht="15" customHeight="1" x14ac:dyDescent="0.25">
      <c r="B161" s="262">
        <v>156</v>
      </c>
      <c r="C161" s="263" t="str">
        <f>IFERROR(INDEX($Q$6:$Q$290,MATCH(156,$S$6:$S$290,0)),"")</f>
        <v>Doç. Dr. Seda Hanife OĞUZ BAYKAL</v>
      </c>
      <c r="D161" s="264">
        <f>IF(C161="","",COUNTIFS(Başvuru!$C:$C,C161,Başvuru!$F:$F,"&lt;&gt;"&amp;""))</f>
        <v>1</v>
      </c>
      <c r="E161" s="262" t="str">
        <f>IF(D161&gt;0,TEXT(D161/COUNTIF(Başvuru!$F:$F,"&lt;&gt;"&amp;"")*100,"0.0")&amp;"%","-")</f>
        <v>00%</v>
      </c>
      <c r="F161" s="265">
        <f>IF(C161="","",COUNTIFS(Başvuru!$C:$C,C161,Başvuru!$G:$G,"Bireysel Araştırma",Başvuru!$F:$F,"&lt;&gt;"&amp;""))</f>
        <v>1</v>
      </c>
      <c r="G161" s="265">
        <f>IF(C161="","",COUNTIFS(Başvuru!$C:$C,C161,Başvuru!$G:$G,"Uzmanlık Tezi",Başvuru!$F:$F,"&lt;&gt;"&amp;""))</f>
        <v>0</v>
      </c>
      <c r="H161" s="265">
        <f>IF(C161="","",COUNTIFS(Başvuru!$C:$C,C161,Başvuru!$G:$G,"Doktora Tezi",Başvuru!$F:$F,"&lt;&gt;"&amp;""))</f>
        <v>0</v>
      </c>
      <c r="I161" s="265">
        <f>IF(C161="","",COUNTIFS(Başvuru!$C:$C,C161,Başvuru!$G:$G,"Yüksek Lisans Tezi",Başvuru!$F:$F,"&lt;&gt;"&amp;""))</f>
        <v>0</v>
      </c>
      <c r="J161" s="266">
        <f>IF(C161="","",COUNTIFS(Başvuru!$C:$C,C161,Başvuru!$L:$L,"ONAY",Başvuru!$F:$F,"&lt;&gt;"&amp;""))</f>
        <v>1</v>
      </c>
      <c r="K161" s="267">
        <f>IF(C161="","",COUNTIFS(Başvuru!$C:$C,C161,Başvuru!$L:$L,"DÜZELTME",Başvuru!$F:$F,"&lt;&gt;"&amp;""))</f>
        <v>0</v>
      </c>
      <c r="L161" s="268">
        <f>IF(C161="","",COUNTIFS(Başvuru!$C:$C,C161,Başvuru!$L:$L,"KAEK",Başvuru!$F:$F,"&lt;&gt;"&amp;""))</f>
        <v>0</v>
      </c>
      <c r="M161" s="269">
        <f>IF(C161="","",COUNTIFS(Başvuru!$C:$C,C161,Başvuru!$L:$L,"GÖRÜŞ",Başvuru!$F:$F,"&lt;&gt;"&amp;""))</f>
        <v>0</v>
      </c>
      <c r="N161" s="270">
        <f>IF(C161="","",COUNTIFS(Başvuru!$C:$C,C161,Başvuru!$L:$L,"RET",Başvuru!$F:$F,"&lt;&gt;"&amp;""))</f>
        <v>0</v>
      </c>
      <c r="O161" s="271">
        <f>IF(C161="","",COUNTIFS(Başvuru!$C:$C,C161,Başvuru!$L:$L,"KAPSAM DIŞI",Başvuru!$F:$F,"&lt;&gt;"&amp;""))</f>
        <v>0</v>
      </c>
      <c r="P161" s="272">
        <f>IF(C161="","",COUNTIFS(Başvuru!$C:$C,C161,Başvuru!$L:$L,"GERİ ÇEKİLDİ",Başvuru!$F:$F,"&lt;&gt;"&amp;""))</f>
        <v>0</v>
      </c>
      <c r="Q161" s="260" t="s">
        <v>1189</v>
      </c>
      <c r="R161" s="261">
        <f>COUNTIFS(Başvuru!$C:$C,Q161,Başvuru!$F:$F,"&lt;&gt;"&amp;"")</f>
        <v>2</v>
      </c>
      <c r="S161" s="261">
        <f>RANK(R161,$R$6:$R$290,0)+COUNTIF($R$6:R161,R161)-1</f>
        <v>93</v>
      </c>
    </row>
    <row r="162" spans="2:19" ht="15" customHeight="1" x14ac:dyDescent="0.25">
      <c r="B162" s="249">
        <v>157</v>
      </c>
      <c r="C162" s="250" t="str">
        <f>IFERROR(INDEX($Q$6:$Q$290,MATCH(157,$S$6:$S$290,0)),"")</f>
        <v>Doç. Dr. Serra ÖRSTEN</v>
      </c>
      <c r="D162" s="251">
        <f>IF(C162="","",COUNTIFS(Başvuru!$C:$C,C162,Başvuru!$F:$F,"&lt;&gt;"&amp;""))</f>
        <v>1</v>
      </c>
      <c r="E162" s="249" t="str">
        <f>IF(D162&gt;0,TEXT(D162/COUNTIF(Başvuru!$F:$F,"&lt;&gt;"&amp;"")*100,"0.0")&amp;"%","-")</f>
        <v>00%</v>
      </c>
      <c r="F162" s="252">
        <f>IF(C162="","",COUNTIFS(Başvuru!$C:$C,C162,Başvuru!$G:$G,"Bireysel Araştırma",Başvuru!$F:$F,"&lt;&gt;"&amp;""))</f>
        <v>1</v>
      </c>
      <c r="G162" s="252">
        <f>IF(C162="","",COUNTIFS(Başvuru!$C:$C,C162,Başvuru!$G:$G,"Uzmanlık Tezi",Başvuru!$F:$F,"&lt;&gt;"&amp;""))</f>
        <v>0</v>
      </c>
      <c r="H162" s="252">
        <f>IF(C162="","",COUNTIFS(Başvuru!$C:$C,C162,Başvuru!$G:$G,"Doktora Tezi",Başvuru!$F:$F,"&lt;&gt;"&amp;""))</f>
        <v>0</v>
      </c>
      <c r="I162" s="252">
        <f>IF(C162="","",COUNTIFS(Başvuru!$C:$C,C162,Başvuru!$G:$G,"Yüksek Lisans Tezi",Başvuru!$F:$F,"&lt;&gt;"&amp;""))</f>
        <v>0</v>
      </c>
      <c r="J162" s="253">
        <f>IF(C162="","",COUNTIFS(Başvuru!$C:$C,C162,Başvuru!$L:$L,"ONAY",Başvuru!$F:$F,"&lt;&gt;"&amp;""))</f>
        <v>0</v>
      </c>
      <c r="K162" s="254">
        <f>IF(C162="","",COUNTIFS(Başvuru!$C:$C,C162,Başvuru!$L:$L,"DÜZELTME",Başvuru!$F:$F,"&lt;&gt;"&amp;""))</f>
        <v>1</v>
      </c>
      <c r="L162" s="255">
        <f>IF(C162="","",COUNTIFS(Başvuru!$C:$C,C162,Başvuru!$L:$L,"KAEK",Başvuru!$F:$F,"&lt;&gt;"&amp;""))</f>
        <v>0</v>
      </c>
      <c r="M162" s="256">
        <f>IF(C162="","",COUNTIFS(Başvuru!$C:$C,C162,Başvuru!$L:$L,"GÖRÜŞ",Başvuru!$F:$F,"&lt;&gt;"&amp;""))</f>
        <v>0</v>
      </c>
      <c r="N162" s="257">
        <f>IF(C162="","",COUNTIFS(Başvuru!$C:$C,C162,Başvuru!$L:$L,"RET",Başvuru!$F:$F,"&lt;&gt;"&amp;""))</f>
        <v>0</v>
      </c>
      <c r="O162" s="258">
        <f>IF(C162="","",COUNTIFS(Başvuru!$C:$C,C162,Başvuru!$L:$L,"KAPSAM DIŞI",Başvuru!$F:$F,"&lt;&gt;"&amp;""))</f>
        <v>0</v>
      </c>
      <c r="P162" s="259">
        <f>IF(C162="","",COUNTIFS(Başvuru!$C:$C,C162,Başvuru!$L:$L,"GERİ ÇEKİLDİ",Başvuru!$F:$F,"&lt;&gt;"&amp;""))</f>
        <v>0</v>
      </c>
      <c r="Q162" s="260" t="s">
        <v>1565</v>
      </c>
      <c r="R162" s="261">
        <f>COUNTIFS(Başvuru!$C:$C,Q162,Başvuru!$F:$F,"&lt;&gt;"&amp;"")</f>
        <v>2</v>
      </c>
      <c r="S162" s="261">
        <f>RANK(R162,$R$6:$R$290,0)+COUNTIF($R$6:R162,R162)-1</f>
        <v>94</v>
      </c>
    </row>
    <row r="163" spans="2:19" ht="15" customHeight="1" x14ac:dyDescent="0.25">
      <c r="B163" s="262">
        <v>158</v>
      </c>
      <c r="C163" s="263" t="str">
        <f>IFERROR(INDEX($Q$6:$Q$290,MATCH(158,$S$6:$S$290,0)),"")</f>
        <v>Doç. Dr. Sevtap ARSLAN SARIKAYA</v>
      </c>
      <c r="D163" s="264">
        <f>IF(C163="","",COUNTIFS(Başvuru!$C:$C,C163,Başvuru!$F:$F,"&lt;&gt;"&amp;""))</f>
        <v>1</v>
      </c>
      <c r="E163" s="262" t="str">
        <f>IF(D163&gt;0,TEXT(D163/COUNTIF(Başvuru!$F:$F,"&lt;&gt;"&amp;"")*100,"0.0")&amp;"%","-")</f>
        <v>00%</v>
      </c>
      <c r="F163" s="265">
        <f>IF(C163="","",COUNTIFS(Başvuru!$C:$C,C163,Başvuru!$G:$G,"Bireysel Araştırma",Başvuru!$F:$F,"&lt;&gt;"&amp;""))</f>
        <v>0</v>
      </c>
      <c r="G163" s="265">
        <f>IF(C163="","",COUNTIFS(Başvuru!$C:$C,C163,Başvuru!$G:$G,"Uzmanlık Tezi",Başvuru!$F:$F,"&lt;&gt;"&amp;""))</f>
        <v>1</v>
      </c>
      <c r="H163" s="265">
        <f>IF(C163="","",COUNTIFS(Başvuru!$C:$C,C163,Başvuru!$G:$G,"Doktora Tezi",Başvuru!$F:$F,"&lt;&gt;"&amp;""))</f>
        <v>0</v>
      </c>
      <c r="I163" s="265">
        <f>IF(C163="","",COUNTIFS(Başvuru!$C:$C,C163,Başvuru!$G:$G,"Yüksek Lisans Tezi",Başvuru!$F:$F,"&lt;&gt;"&amp;""))</f>
        <v>0</v>
      </c>
      <c r="J163" s="266">
        <f>IF(C163="","",COUNTIFS(Başvuru!$C:$C,C163,Başvuru!$L:$L,"ONAY",Başvuru!$F:$F,"&lt;&gt;"&amp;""))</f>
        <v>1</v>
      </c>
      <c r="K163" s="267">
        <f>IF(C163="","",COUNTIFS(Başvuru!$C:$C,C163,Başvuru!$L:$L,"DÜZELTME",Başvuru!$F:$F,"&lt;&gt;"&amp;""))</f>
        <v>0</v>
      </c>
      <c r="L163" s="268">
        <f>IF(C163="","",COUNTIFS(Başvuru!$C:$C,C163,Başvuru!$L:$L,"KAEK",Başvuru!$F:$F,"&lt;&gt;"&amp;""))</f>
        <v>0</v>
      </c>
      <c r="M163" s="269">
        <f>IF(C163="","",COUNTIFS(Başvuru!$C:$C,C163,Başvuru!$L:$L,"GÖRÜŞ",Başvuru!$F:$F,"&lt;&gt;"&amp;""))</f>
        <v>0</v>
      </c>
      <c r="N163" s="270">
        <f>IF(C163="","",COUNTIFS(Başvuru!$C:$C,C163,Başvuru!$L:$L,"RET",Başvuru!$F:$F,"&lt;&gt;"&amp;""))</f>
        <v>0</v>
      </c>
      <c r="O163" s="271">
        <f>IF(C163="","",COUNTIFS(Başvuru!$C:$C,C163,Başvuru!$L:$L,"KAPSAM DIŞI",Başvuru!$F:$F,"&lt;&gt;"&amp;""))</f>
        <v>0</v>
      </c>
      <c r="P163" s="272">
        <f>IF(C163="","",COUNTIFS(Başvuru!$C:$C,C163,Başvuru!$L:$L,"GERİ ÇEKİLDİ",Başvuru!$F:$F,"&lt;&gt;"&amp;""))</f>
        <v>0</v>
      </c>
      <c r="Q163" s="260" t="s">
        <v>1205</v>
      </c>
      <c r="R163" s="261">
        <f>COUNTIFS(Başvuru!$C:$C,Q163,Başvuru!$F:$F,"&lt;&gt;"&amp;"")</f>
        <v>1</v>
      </c>
      <c r="S163" s="261">
        <f>RANK(R163,$R$6:$R$290,0)+COUNTIF($R$6:R163,R163)-1</f>
        <v>211</v>
      </c>
    </row>
    <row r="164" spans="2:19" ht="15" customHeight="1" x14ac:dyDescent="0.25">
      <c r="B164" s="249">
        <v>159</v>
      </c>
      <c r="C164" s="250" t="str">
        <f>IFERROR(INDEX($Q$6:$Q$290,MATCH(159,$S$6:$S$290,0)),"")</f>
        <v>Doç. Dr. Songül ÇINAROĞLU</v>
      </c>
      <c r="D164" s="251">
        <f>IF(C164="","",COUNTIFS(Başvuru!$C:$C,C164,Başvuru!$F:$F,"&lt;&gt;"&amp;""))</f>
        <v>1</v>
      </c>
      <c r="E164" s="249" t="str">
        <f>IF(D164&gt;0,TEXT(D164/COUNTIF(Başvuru!$F:$F,"&lt;&gt;"&amp;"")*100,"0.0")&amp;"%","-")</f>
        <v>00%</v>
      </c>
      <c r="F164" s="252">
        <f>IF(C164="","",COUNTIFS(Başvuru!$C:$C,C164,Başvuru!$G:$G,"Bireysel Araştırma",Başvuru!$F:$F,"&lt;&gt;"&amp;""))</f>
        <v>0</v>
      </c>
      <c r="G164" s="252">
        <f>IF(C164="","",COUNTIFS(Başvuru!$C:$C,C164,Başvuru!$G:$G,"Uzmanlık Tezi",Başvuru!$F:$F,"&lt;&gt;"&amp;""))</f>
        <v>0</v>
      </c>
      <c r="H164" s="252">
        <f>IF(C164="","",COUNTIFS(Başvuru!$C:$C,C164,Başvuru!$G:$G,"Doktora Tezi",Başvuru!$F:$F,"&lt;&gt;"&amp;""))</f>
        <v>1</v>
      </c>
      <c r="I164" s="252">
        <f>IF(C164="","",COUNTIFS(Başvuru!$C:$C,C164,Başvuru!$G:$G,"Yüksek Lisans Tezi",Başvuru!$F:$F,"&lt;&gt;"&amp;""))</f>
        <v>0</v>
      </c>
      <c r="J164" s="253">
        <f>IF(C164="","",COUNTIFS(Başvuru!$C:$C,C164,Başvuru!$L:$L,"ONAY",Başvuru!$F:$F,"&lt;&gt;"&amp;""))</f>
        <v>1</v>
      </c>
      <c r="K164" s="254">
        <f>IF(C164="","",COUNTIFS(Başvuru!$C:$C,C164,Başvuru!$L:$L,"DÜZELTME",Başvuru!$F:$F,"&lt;&gt;"&amp;""))</f>
        <v>0</v>
      </c>
      <c r="L164" s="255">
        <f>IF(C164="","",COUNTIFS(Başvuru!$C:$C,C164,Başvuru!$L:$L,"KAEK",Başvuru!$F:$F,"&lt;&gt;"&amp;""))</f>
        <v>0</v>
      </c>
      <c r="M164" s="256">
        <f>IF(C164="","",COUNTIFS(Başvuru!$C:$C,C164,Başvuru!$L:$L,"GÖRÜŞ",Başvuru!$F:$F,"&lt;&gt;"&amp;""))</f>
        <v>0</v>
      </c>
      <c r="N164" s="257">
        <f>IF(C164="","",COUNTIFS(Başvuru!$C:$C,C164,Başvuru!$L:$L,"RET",Başvuru!$F:$F,"&lt;&gt;"&amp;""))</f>
        <v>0</v>
      </c>
      <c r="O164" s="258">
        <f>IF(C164="","",COUNTIFS(Başvuru!$C:$C,C164,Başvuru!$L:$L,"KAPSAM DIŞI",Başvuru!$F:$F,"&lt;&gt;"&amp;""))</f>
        <v>0</v>
      </c>
      <c r="P164" s="259">
        <f>IF(C164="","",COUNTIFS(Başvuru!$C:$C,C164,Başvuru!$L:$L,"GERİ ÇEKİLDİ",Başvuru!$F:$F,"&lt;&gt;"&amp;""))</f>
        <v>0</v>
      </c>
      <c r="Q164" s="260" t="s">
        <v>1380</v>
      </c>
      <c r="R164" s="261">
        <f>COUNTIFS(Başvuru!$C:$C,Q164,Başvuru!$F:$F,"&lt;&gt;"&amp;"")</f>
        <v>7</v>
      </c>
      <c r="S164" s="261">
        <f>RANK(R164,$R$6:$R$290,0)+COUNTIF($R$6:R164,R164)-1</f>
        <v>8</v>
      </c>
    </row>
    <row r="165" spans="2:19" ht="15" customHeight="1" x14ac:dyDescent="0.25">
      <c r="B165" s="262">
        <v>160</v>
      </c>
      <c r="C165" s="263" t="str">
        <f>IFERROR(INDEX($Q$6:$Q$290,MATCH(160,$S$6:$S$290,0)),"")</f>
        <v>Doç. Dr. Tekin AKSU</v>
      </c>
      <c r="D165" s="264">
        <f>IF(C165="","",COUNTIFS(Başvuru!$C:$C,C165,Başvuru!$F:$F,"&lt;&gt;"&amp;""))</f>
        <v>1</v>
      </c>
      <c r="E165" s="262" t="str">
        <f>IF(D165&gt;0,TEXT(D165/COUNTIF(Başvuru!$F:$F,"&lt;&gt;"&amp;"")*100,"0.0")&amp;"%","-")</f>
        <v>00%</v>
      </c>
      <c r="F165" s="265">
        <f>IF(C165="","",COUNTIFS(Başvuru!$C:$C,C165,Başvuru!$G:$G,"Bireysel Araştırma",Başvuru!$F:$F,"&lt;&gt;"&amp;""))</f>
        <v>1</v>
      </c>
      <c r="G165" s="265">
        <f>IF(C165="","",COUNTIFS(Başvuru!$C:$C,C165,Başvuru!$G:$G,"Uzmanlık Tezi",Başvuru!$F:$F,"&lt;&gt;"&amp;""))</f>
        <v>0</v>
      </c>
      <c r="H165" s="265">
        <f>IF(C165="","",COUNTIFS(Başvuru!$C:$C,C165,Başvuru!$G:$G,"Doktora Tezi",Başvuru!$F:$F,"&lt;&gt;"&amp;""))</f>
        <v>0</v>
      </c>
      <c r="I165" s="265">
        <f>IF(C165="","",COUNTIFS(Başvuru!$C:$C,C165,Başvuru!$G:$G,"Yüksek Lisans Tezi",Başvuru!$F:$F,"&lt;&gt;"&amp;""))</f>
        <v>0</v>
      </c>
      <c r="J165" s="266">
        <f>IF(C165="","",COUNTIFS(Başvuru!$C:$C,C165,Başvuru!$L:$L,"ONAY",Başvuru!$F:$F,"&lt;&gt;"&amp;""))</f>
        <v>0</v>
      </c>
      <c r="K165" s="267">
        <f>IF(C165="","",COUNTIFS(Başvuru!$C:$C,C165,Başvuru!$L:$L,"DÜZELTME",Başvuru!$F:$F,"&lt;&gt;"&amp;""))</f>
        <v>1</v>
      </c>
      <c r="L165" s="268">
        <f>IF(C165="","",COUNTIFS(Başvuru!$C:$C,C165,Başvuru!$L:$L,"KAEK",Başvuru!$F:$F,"&lt;&gt;"&amp;""))</f>
        <v>0</v>
      </c>
      <c r="M165" s="269">
        <f>IF(C165="","",COUNTIFS(Başvuru!$C:$C,C165,Başvuru!$L:$L,"GÖRÜŞ",Başvuru!$F:$F,"&lt;&gt;"&amp;""))</f>
        <v>0</v>
      </c>
      <c r="N165" s="270">
        <f>IF(C165="","",COUNTIFS(Başvuru!$C:$C,C165,Başvuru!$L:$L,"RET",Başvuru!$F:$F,"&lt;&gt;"&amp;""))</f>
        <v>0</v>
      </c>
      <c r="O165" s="271">
        <f>IF(C165="","",COUNTIFS(Başvuru!$C:$C,C165,Başvuru!$L:$L,"KAPSAM DIŞI",Başvuru!$F:$F,"&lt;&gt;"&amp;""))</f>
        <v>0</v>
      </c>
      <c r="P165" s="272">
        <f>IF(C165="","",COUNTIFS(Başvuru!$C:$C,C165,Başvuru!$L:$L,"GERİ ÇEKİLDİ",Başvuru!$F:$F,"&lt;&gt;"&amp;""))</f>
        <v>0</v>
      </c>
      <c r="Q165" s="260" t="s">
        <v>347</v>
      </c>
      <c r="R165" s="261">
        <f>COUNTIFS(Başvuru!$C:$C,Q165,Başvuru!$F:$F,"&lt;&gt;"&amp;"")</f>
        <v>1</v>
      </c>
      <c r="S165" s="261">
        <f>RANK(R165,$R$6:$R$290,0)+COUNTIF($R$6:R165,R165)-1</f>
        <v>212</v>
      </c>
    </row>
    <row r="166" spans="2:19" ht="15" customHeight="1" x14ac:dyDescent="0.25">
      <c r="B166" s="249">
        <v>161</v>
      </c>
      <c r="C166" s="250" t="str">
        <f>IFERROR(INDEX($Q$6:$Q$290,MATCH(161,$S$6:$S$290,0)),"")</f>
        <v>Doç. Dr. Ulaş KUMBASAR</v>
      </c>
      <c r="D166" s="251">
        <f>IF(C166="","",COUNTIFS(Başvuru!$C:$C,C166,Başvuru!$F:$F,"&lt;&gt;"&amp;""))</f>
        <v>1</v>
      </c>
      <c r="E166" s="249" t="str">
        <f>IF(D166&gt;0,TEXT(D166/COUNTIF(Başvuru!$F:$F,"&lt;&gt;"&amp;"")*100,"0.0")&amp;"%","-")</f>
        <v>00%</v>
      </c>
      <c r="F166" s="252">
        <f>IF(C166="","",COUNTIFS(Başvuru!$C:$C,C166,Başvuru!$G:$G,"Bireysel Araştırma",Başvuru!$F:$F,"&lt;&gt;"&amp;""))</f>
        <v>1</v>
      </c>
      <c r="G166" s="252">
        <f>IF(C166="","",COUNTIFS(Başvuru!$C:$C,C166,Başvuru!$G:$G,"Uzmanlık Tezi",Başvuru!$F:$F,"&lt;&gt;"&amp;""))</f>
        <v>0</v>
      </c>
      <c r="H166" s="252">
        <f>IF(C166="","",COUNTIFS(Başvuru!$C:$C,C166,Başvuru!$G:$G,"Doktora Tezi",Başvuru!$F:$F,"&lt;&gt;"&amp;""))</f>
        <v>0</v>
      </c>
      <c r="I166" s="252">
        <f>IF(C166="","",COUNTIFS(Başvuru!$C:$C,C166,Başvuru!$G:$G,"Yüksek Lisans Tezi",Başvuru!$F:$F,"&lt;&gt;"&amp;""))</f>
        <v>0</v>
      </c>
      <c r="J166" s="253">
        <f>IF(C166="","",COUNTIFS(Başvuru!$C:$C,C166,Başvuru!$L:$L,"ONAY",Başvuru!$F:$F,"&lt;&gt;"&amp;""))</f>
        <v>1</v>
      </c>
      <c r="K166" s="254">
        <f>IF(C166="","",COUNTIFS(Başvuru!$C:$C,C166,Başvuru!$L:$L,"DÜZELTME",Başvuru!$F:$F,"&lt;&gt;"&amp;""))</f>
        <v>0</v>
      </c>
      <c r="L166" s="255">
        <f>IF(C166="","",COUNTIFS(Başvuru!$C:$C,C166,Başvuru!$L:$L,"KAEK",Başvuru!$F:$F,"&lt;&gt;"&amp;""))</f>
        <v>0</v>
      </c>
      <c r="M166" s="256">
        <f>IF(C166="","",COUNTIFS(Başvuru!$C:$C,C166,Başvuru!$L:$L,"GÖRÜŞ",Başvuru!$F:$F,"&lt;&gt;"&amp;""))</f>
        <v>0</v>
      </c>
      <c r="N166" s="257">
        <f>IF(C166="","",COUNTIFS(Başvuru!$C:$C,C166,Başvuru!$L:$L,"RET",Başvuru!$F:$F,"&lt;&gt;"&amp;""))</f>
        <v>0</v>
      </c>
      <c r="O166" s="258">
        <f>IF(C166="","",COUNTIFS(Başvuru!$C:$C,C166,Başvuru!$L:$L,"KAPSAM DIŞI",Başvuru!$F:$F,"&lt;&gt;"&amp;""))</f>
        <v>0</v>
      </c>
      <c r="P166" s="259">
        <f>IF(C166="","",COUNTIFS(Başvuru!$C:$C,C166,Başvuru!$L:$L,"GERİ ÇEKİLDİ",Başvuru!$F:$F,"&lt;&gt;"&amp;""))</f>
        <v>0</v>
      </c>
      <c r="Q166" s="260" t="s">
        <v>2312</v>
      </c>
      <c r="R166" s="261">
        <f>COUNTIFS(Başvuru!$C:$C,Q166,Başvuru!$F:$F,"&lt;&gt;"&amp;"")</f>
        <v>1</v>
      </c>
      <c r="S166" s="261">
        <f>RANK(R166,$R$6:$R$290,0)+COUNTIF($R$6:R166,R166)-1</f>
        <v>213</v>
      </c>
    </row>
    <row r="167" spans="2:19" ht="15" customHeight="1" x14ac:dyDescent="0.25">
      <c r="B167" s="262">
        <v>162</v>
      </c>
      <c r="C167" s="263" t="str">
        <f>IFERROR(INDEX($Q$6:$Q$290,MATCH(162,$S$6:$S$290,0)),"")</f>
        <v>Doç. Dr. Zeynep TÜZÜN GÜN</v>
      </c>
      <c r="D167" s="264">
        <f>IF(C167="","",COUNTIFS(Başvuru!$C:$C,C167,Başvuru!$F:$F,"&lt;&gt;"&amp;""))</f>
        <v>1</v>
      </c>
      <c r="E167" s="262" t="str">
        <f>IF(D167&gt;0,TEXT(D167/COUNTIF(Başvuru!$F:$F,"&lt;&gt;"&amp;"")*100,"0.0")&amp;"%","-")</f>
        <v>00%</v>
      </c>
      <c r="F167" s="265">
        <f>IF(C167="","",COUNTIFS(Başvuru!$C:$C,C167,Başvuru!$G:$G,"Bireysel Araştırma",Başvuru!$F:$F,"&lt;&gt;"&amp;""))</f>
        <v>1</v>
      </c>
      <c r="G167" s="265">
        <f>IF(C167="","",COUNTIFS(Başvuru!$C:$C,C167,Başvuru!$G:$G,"Uzmanlık Tezi",Başvuru!$F:$F,"&lt;&gt;"&amp;""))</f>
        <v>0</v>
      </c>
      <c r="H167" s="265">
        <f>IF(C167="","",COUNTIFS(Başvuru!$C:$C,C167,Başvuru!$G:$G,"Doktora Tezi",Başvuru!$F:$F,"&lt;&gt;"&amp;""))</f>
        <v>0</v>
      </c>
      <c r="I167" s="265">
        <f>IF(C167="","",COUNTIFS(Başvuru!$C:$C,C167,Başvuru!$G:$G,"Yüksek Lisans Tezi",Başvuru!$F:$F,"&lt;&gt;"&amp;""))</f>
        <v>0</v>
      </c>
      <c r="J167" s="266">
        <f>IF(C167="","",COUNTIFS(Başvuru!$C:$C,C167,Başvuru!$L:$L,"ONAY",Başvuru!$F:$F,"&lt;&gt;"&amp;""))</f>
        <v>0</v>
      </c>
      <c r="K167" s="267">
        <f>IF(C167="","",COUNTIFS(Başvuru!$C:$C,C167,Başvuru!$L:$L,"DÜZELTME",Başvuru!$F:$F,"&lt;&gt;"&amp;""))</f>
        <v>1</v>
      </c>
      <c r="L167" s="268">
        <f>IF(C167="","",COUNTIFS(Başvuru!$C:$C,C167,Başvuru!$L:$L,"KAEK",Başvuru!$F:$F,"&lt;&gt;"&amp;""))</f>
        <v>0</v>
      </c>
      <c r="M167" s="269">
        <f>IF(C167="","",COUNTIFS(Başvuru!$C:$C,C167,Başvuru!$L:$L,"GÖRÜŞ",Başvuru!$F:$F,"&lt;&gt;"&amp;""))</f>
        <v>0</v>
      </c>
      <c r="N167" s="270">
        <f>IF(C167="","",COUNTIFS(Başvuru!$C:$C,C167,Başvuru!$L:$L,"RET",Başvuru!$F:$F,"&lt;&gt;"&amp;""))</f>
        <v>0</v>
      </c>
      <c r="O167" s="271">
        <f>IF(C167="","",COUNTIFS(Başvuru!$C:$C,C167,Başvuru!$L:$L,"KAPSAM DIŞI",Başvuru!$F:$F,"&lt;&gt;"&amp;""))</f>
        <v>0</v>
      </c>
      <c r="P167" s="272">
        <f>IF(C167="","",COUNTIFS(Başvuru!$C:$C,C167,Başvuru!$L:$L,"GERİ ÇEKİLDİ",Başvuru!$F:$F,"&lt;&gt;"&amp;""))</f>
        <v>0</v>
      </c>
      <c r="Q167" s="260" t="s">
        <v>1356</v>
      </c>
      <c r="R167" s="261">
        <f>COUNTIFS(Başvuru!$C:$C,Q167,Başvuru!$F:$F,"&lt;&gt;"&amp;"")</f>
        <v>2</v>
      </c>
      <c r="S167" s="261">
        <f>RANK(R167,$R$6:$R$290,0)+COUNTIF($R$6:R167,R167)-1</f>
        <v>95</v>
      </c>
    </row>
    <row r="168" spans="2:19" ht="15" customHeight="1" x14ac:dyDescent="0.25">
      <c r="B168" s="249">
        <v>163</v>
      </c>
      <c r="C168" s="250" t="str">
        <f>IFERROR(INDEX($Q$6:$Q$290,MATCH(163,$S$6:$S$290,0)),"")</f>
        <v>Doç. Dr. Özlem DİKMETAŞ SANDIKÇI</v>
      </c>
      <c r="D168" s="251">
        <f>IF(C168="","",COUNTIFS(Başvuru!$C:$C,C168,Başvuru!$F:$F,"&lt;&gt;"&amp;""))</f>
        <v>1</v>
      </c>
      <c r="E168" s="249" t="str">
        <f>IF(D168&gt;0,TEXT(D168/COUNTIF(Başvuru!$F:$F,"&lt;&gt;"&amp;"")*100,"0.0")&amp;"%","-")</f>
        <v>00%</v>
      </c>
      <c r="F168" s="252">
        <f>IF(C168="","",COUNTIFS(Başvuru!$C:$C,C168,Başvuru!$G:$G,"Bireysel Araştırma",Başvuru!$F:$F,"&lt;&gt;"&amp;""))</f>
        <v>1</v>
      </c>
      <c r="G168" s="252">
        <f>IF(C168="","",COUNTIFS(Başvuru!$C:$C,C168,Başvuru!$G:$G,"Uzmanlık Tezi",Başvuru!$F:$F,"&lt;&gt;"&amp;""))</f>
        <v>0</v>
      </c>
      <c r="H168" s="252">
        <f>IF(C168="","",COUNTIFS(Başvuru!$C:$C,C168,Başvuru!$G:$G,"Doktora Tezi",Başvuru!$F:$F,"&lt;&gt;"&amp;""))</f>
        <v>0</v>
      </c>
      <c r="I168" s="252">
        <f>IF(C168="","",COUNTIFS(Başvuru!$C:$C,C168,Başvuru!$G:$G,"Yüksek Lisans Tezi",Başvuru!$F:$F,"&lt;&gt;"&amp;""))</f>
        <v>0</v>
      </c>
      <c r="J168" s="253">
        <f>IF(C168="","",COUNTIFS(Başvuru!$C:$C,C168,Başvuru!$L:$L,"ONAY",Başvuru!$F:$F,"&lt;&gt;"&amp;""))</f>
        <v>1</v>
      </c>
      <c r="K168" s="254">
        <f>IF(C168="","",COUNTIFS(Başvuru!$C:$C,C168,Başvuru!$L:$L,"DÜZELTME",Başvuru!$F:$F,"&lt;&gt;"&amp;""))</f>
        <v>0</v>
      </c>
      <c r="L168" s="255">
        <f>IF(C168="","",COUNTIFS(Başvuru!$C:$C,C168,Başvuru!$L:$L,"KAEK",Başvuru!$F:$F,"&lt;&gt;"&amp;""))</f>
        <v>0</v>
      </c>
      <c r="M168" s="256">
        <f>IF(C168="","",COUNTIFS(Başvuru!$C:$C,C168,Başvuru!$L:$L,"GÖRÜŞ",Başvuru!$F:$F,"&lt;&gt;"&amp;""))</f>
        <v>0</v>
      </c>
      <c r="N168" s="257">
        <f>IF(C168="","",COUNTIFS(Başvuru!$C:$C,C168,Başvuru!$L:$L,"RET",Başvuru!$F:$F,"&lt;&gt;"&amp;""))</f>
        <v>0</v>
      </c>
      <c r="O168" s="258">
        <f>IF(C168="","",COUNTIFS(Başvuru!$C:$C,C168,Başvuru!$L:$L,"KAPSAM DIŞI",Başvuru!$F:$F,"&lt;&gt;"&amp;""))</f>
        <v>0</v>
      </c>
      <c r="P168" s="259">
        <f>IF(C168="","",COUNTIFS(Başvuru!$C:$C,C168,Başvuru!$L:$L,"GERİ ÇEKİLDİ",Başvuru!$F:$F,"&lt;&gt;"&amp;""))</f>
        <v>0</v>
      </c>
      <c r="Q168" s="260" t="s">
        <v>1590</v>
      </c>
      <c r="R168" s="261">
        <f>COUNTIFS(Başvuru!$C:$C,Q168,Başvuru!$F:$F,"&lt;&gt;"&amp;"")</f>
        <v>1</v>
      </c>
      <c r="S168" s="261">
        <f>RANK(R168,$R$6:$R$290,0)+COUNTIF($R$6:R168,R168)-1</f>
        <v>214</v>
      </c>
    </row>
    <row r="169" spans="2:19" ht="15" customHeight="1" x14ac:dyDescent="0.25">
      <c r="B169" s="262">
        <v>164</v>
      </c>
      <c r="C169" s="263" t="str">
        <f>IFERROR(INDEX($Q$6:$Q$290,MATCH(164,$S$6:$S$290,0)),"")</f>
        <v>Doç. Dr. İlker ERTUĞRUL</v>
      </c>
      <c r="D169" s="264">
        <f>IF(C169="","",COUNTIFS(Başvuru!$C:$C,C169,Başvuru!$F:$F,"&lt;&gt;"&amp;""))</f>
        <v>1</v>
      </c>
      <c r="E169" s="262" t="str">
        <f>IF(D169&gt;0,TEXT(D169/COUNTIF(Başvuru!$F:$F,"&lt;&gt;"&amp;"")*100,"0.0")&amp;"%","-")</f>
        <v>00%</v>
      </c>
      <c r="F169" s="265">
        <f>IF(C169="","",COUNTIFS(Başvuru!$C:$C,C169,Başvuru!$G:$G,"Bireysel Araştırma",Başvuru!$F:$F,"&lt;&gt;"&amp;""))</f>
        <v>1</v>
      </c>
      <c r="G169" s="265">
        <f>IF(C169="","",COUNTIFS(Başvuru!$C:$C,C169,Başvuru!$G:$G,"Uzmanlık Tezi",Başvuru!$F:$F,"&lt;&gt;"&amp;""))</f>
        <v>0</v>
      </c>
      <c r="H169" s="265">
        <f>IF(C169="","",COUNTIFS(Başvuru!$C:$C,C169,Başvuru!$G:$G,"Doktora Tezi",Başvuru!$F:$F,"&lt;&gt;"&amp;""))</f>
        <v>0</v>
      </c>
      <c r="I169" s="265">
        <f>IF(C169="","",COUNTIFS(Başvuru!$C:$C,C169,Başvuru!$G:$G,"Yüksek Lisans Tezi",Başvuru!$F:$F,"&lt;&gt;"&amp;""))</f>
        <v>0</v>
      </c>
      <c r="J169" s="266">
        <f>IF(C169="","",COUNTIFS(Başvuru!$C:$C,C169,Başvuru!$L:$L,"ONAY",Başvuru!$F:$F,"&lt;&gt;"&amp;""))</f>
        <v>0</v>
      </c>
      <c r="K169" s="267">
        <f>IF(C169="","",COUNTIFS(Başvuru!$C:$C,C169,Başvuru!$L:$L,"DÜZELTME",Başvuru!$F:$F,"&lt;&gt;"&amp;""))</f>
        <v>1</v>
      </c>
      <c r="L169" s="268">
        <f>IF(C169="","",COUNTIFS(Başvuru!$C:$C,C169,Başvuru!$L:$L,"KAEK",Başvuru!$F:$F,"&lt;&gt;"&amp;""))</f>
        <v>0</v>
      </c>
      <c r="M169" s="269">
        <f>IF(C169="","",COUNTIFS(Başvuru!$C:$C,C169,Başvuru!$L:$L,"GÖRÜŞ",Başvuru!$F:$F,"&lt;&gt;"&amp;""))</f>
        <v>0</v>
      </c>
      <c r="N169" s="270">
        <f>IF(C169="","",COUNTIFS(Başvuru!$C:$C,C169,Başvuru!$L:$L,"RET",Başvuru!$F:$F,"&lt;&gt;"&amp;""))</f>
        <v>0</v>
      </c>
      <c r="O169" s="271">
        <f>IF(C169="","",COUNTIFS(Başvuru!$C:$C,C169,Başvuru!$L:$L,"KAPSAM DIŞI",Başvuru!$F:$F,"&lt;&gt;"&amp;""))</f>
        <v>0</v>
      </c>
      <c r="P169" s="272">
        <f>IF(C169="","",COUNTIFS(Başvuru!$C:$C,C169,Başvuru!$L:$L,"GERİ ÇEKİLDİ",Başvuru!$F:$F,"&lt;&gt;"&amp;""))</f>
        <v>0</v>
      </c>
      <c r="Q169" s="260" t="s">
        <v>457</v>
      </c>
      <c r="R169" s="261">
        <f>COUNTIFS(Başvuru!$C:$C,Q169,Başvuru!$F:$F,"&lt;&gt;"&amp;"")</f>
        <v>2</v>
      </c>
      <c r="S169" s="261">
        <f>RANK(R169,$R$6:$R$290,0)+COUNTIF($R$6:R169,R169)-1</f>
        <v>96</v>
      </c>
    </row>
    <row r="170" spans="2:19" ht="15" customHeight="1" x14ac:dyDescent="0.25">
      <c r="B170" s="249">
        <v>165</v>
      </c>
      <c r="C170" s="250" t="str">
        <f>IFERROR(INDEX($Q$6:$Q$290,MATCH(165,$S$6:$S$290,0)),"")</f>
        <v>Doç. Dr. İzzet FİDANCI</v>
      </c>
      <c r="D170" s="251">
        <f>IF(C170="","",COUNTIFS(Başvuru!$C:$C,C170,Başvuru!$F:$F,"&lt;&gt;"&amp;""))</f>
        <v>1</v>
      </c>
      <c r="E170" s="249" t="str">
        <f>IF(D170&gt;0,TEXT(D170/COUNTIF(Başvuru!$F:$F,"&lt;&gt;"&amp;"")*100,"0.0")&amp;"%","-")</f>
        <v>00%</v>
      </c>
      <c r="F170" s="252">
        <f>IF(C170="","",COUNTIFS(Başvuru!$C:$C,C170,Başvuru!$G:$G,"Bireysel Araştırma",Başvuru!$F:$F,"&lt;&gt;"&amp;""))</f>
        <v>1</v>
      </c>
      <c r="G170" s="252">
        <f>IF(C170="","",COUNTIFS(Başvuru!$C:$C,C170,Başvuru!$G:$G,"Uzmanlık Tezi",Başvuru!$F:$F,"&lt;&gt;"&amp;""))</f>
        <v>0</v>
      </c>
      <c r="H170" s="252">
        <f>IF(C170="","",COUNTIFS(Başvuru!$C:$C,C170,Başvuru!$G:$G,"Doktora Tezi",Başvuru!$F:$F,"&lt;&gt;"&amp;""))</f>
        <v>0</v>
      </c>
      <c r="I170" s="252">
        <f>IF(C170="","",COUNTIFS(Başvuru!$C:$C,C170,Başvuru!$G:$G,"Yüksek Lisans Tezi",Başvuru!$F:$F,"&lt;&gt;"&amp;""))</f>
        <v>0</v>
      </c>
      <c r="J170" s="253">
        <f>IF(C170="","",COUNTIFS(Başvuru!$C:$C,C170,Başvuru!$L:$L,"ONAY",Başvuru!$F:$F,"&lt;&gt;"&amp;""))</f>
        <v>0</v>
      </c>
      <c r="K170" s="254">
        <f>IF(C170="","",COUNTIFS(Başvuru!$C:$C,C170,Başvuru!$L:$L,"DÜZELTME",Başvuru!$F:$F,"&lt;&gt;"&amp;""))</f>
        <v>1</v>
      </c>
      <c r="L170" s="255">
        <f>IF(C170="","",COUNTIFS(Başvuru!$C:$C,C170,Başvuru!$L:$L,"KAEK",Başvuru!$F:$F,"&lt;&gt;"&amp;""))</f>
        <v>0</v>
      </c>
      <c r="M170" s="256">
        <f>IF(C170="","",COUNTIFS(Başvuru!$C:$C,C170,Başvuru!$L:$L,"GÖRÜŞ",Başvuru!$F:$F,"&lt;&gt;"&amp;""))</f>
        <v>0</v>
      </c>
      <c r="N170" s="257">
        <f>IF(C170="","",COUNTIFS(Başvuru!$C:$C,C170,Başvuru!$L:$L,"RET",Başvuru!$F:$F,"&lt;&gt;"&amp;""))</f>
        <v>0</v>
      </c>
      <c r="O170" s="258">
        <f>IF(C170="","",COUNTIFS(Başvuru!$C:$C,C170,Başvuru!$L:$L,"KAPSAM DIŞI",Başvuru!$F:$F,"&lt;&gt;"&amp;""))</f>
        <v>0</v>
      </c>
      <c r="P170" s="259">
        <f>IF(C170="","",COUNTIFS(Başvuru!$C:$C,C170,Başvuru!$L:$L,"GERİ ÇEKİLDİ",Başvuru!$F:$F,"&lt;&gt;"&amp;""))</f>
        <v>0</v>
      </c>
      <c r="Q170" s="260" t="s">
        <v>823</v>
      </c>
      <c r="R170" s="261">
        <f>COUNTIFS(Başvuru!$C:$C,Q170,Başvuru!$F:$F,"&lt;&gt;"&amp;"")</f>
        <v>4</v>
      </c>
      <c r="S170" s="261">
        <f>RANK(R170,$R$6:$R$290,0)+COUNTIF($R$6:R170,R170)-1</f>
        <v>32</v>
      </c>
    </row>
    <row r="171" spans="2:19" ht="15" customHeight="1" x14ac:dyDescent="0.25">
      <c r="B171" s="262">
        <v>166</v>
      </c>
      <c r="C171" s="263" t="str">
        <f>IFERROR(INDEX($Q$6:$Q$290,MATCH(166,$S$6:$S$290,0)),"")</f>
        <v>Doç. Dr. Şahin HANALİOĞLU</v>
      </c>
      <c r="D171" s="264">
        <f>IF(C171="","",COUNTIFS(Başvuru!$C:$C,C171,Başvuru!$F:$F,"&lt;&gt;"&amp;""))</f>
        <v>1</v>
      </c>
      <c r="E171" s="262" t="str">
        <f>IF(D171&gt;0,TEXT(D171/COUNTIF(Başvuru!$F:$F,"&lt;&gt;"&amp;"")*100,"0.0")&amp;"%","-")</f>
        <v>00%</v>
      </c>
      <c r="F171" s="265">
        <f>IF(C171="","",COUNTIFS(Başvuru!$C:$C,C171,Başvuru!$G:$G,"Bireysel Araştırma",Başvuru!$F:$F,"&lt;&gt;"&amp;""))</f>
        <v>1</v>
      </c>
      <c r="G171" s="265">
        <f>IF(C171="","",COUNTIFS(Başvuru!$C:$C,C171,Başvuru!$G:$G,"Uzmanlık Tezi",Başvuru!$F:$F,"&lt;&gt;"&amp;""))</f>
        <v>0</v>
      </c>
      <c r="H171" s="265">
        <f>IF(C171="","",COUNTIFS(Başvuru!$C:$C,C171,Başvuru!$G:$G,"Doktora Tezi",Başvuru!$F:$F,"&lt;&gt;"&amp;""))</f>
        <v>0</v>
      </c>
      <c r="I171" s="265">
        <f>IF(C171="","",COUNTIFS(Başvuru!$C:$C,C171,Başvuru!$G:$G,"Yüksek Lisans Tezi",Başvuru!$F:$F,"&lt;&gt;"&amp;""))</f>
        <v>0</v>
      </c>
      <c r="J171" s="266">
        <f>IF(C171="","",COUNTIFS(Başvuru!$C:$C,C171,Başvuru!$L:$L,"ONAY",Başvuru!$F:$F,"&lt;&gt;"&amp;""))</f>
        <v>0</v>
      </c>
      <c r="K171" s="267">
        <f>IF(C171="","",COUNTIFS(Başvuru!$C:$C,C171,Başvuru!$L:$L,"DÜZELTME",Başvuru!$F:$F,"&lt;&gt;"&amp;""))</f>
        <v>0</v>
      </c>
      <c r="L171" s="268">
        <f>IF(C171="","",COUNTIFS(Başvuru!$C:$C,C171,Başvuru!$L:$L,"KAEK",Başvuru!$F:$F,"&lt;&gt;"&amp;""))</f>
        <v>0</v>
      </c>
      <c r="M171" s="269">
        <f>IF(C171="","",COUNTIFS(Başvuru!$C:$C,C171,Başvuru!$L:$L,"GÖRÜŞ",Başvuru!$F:$F,"&lt;&gt;"&amp;""))</f>
        <v>0</v>
      </c>
      <c r="N171" s="270">
        <f>IF(C171="","",COUNTIFS(Başvuru!$C:$C,C171,Başvuru!$L:$L,"RET",Başvuru!$F:$F,"&lt;&gt;"&amp;""))</f>
        <v>0</v>
      </c>
      <c r="O171" s="271">
        <f>IF(C171="","",COUNTIFS(Başvuru!$C:$C,C171,Başvuru!$L:$L,"KAPSAM DIŞI",Başvuru!$F:$F,"&lt;&gt;"&amp;""))</f>
        <v>0</v>
      </c>
      <c r="P171" s="272">
        <f>IF(C171="","",COUNTIFS(Başvuru!$C:$C,C171,Başvuru!$L:$L,"GERİ ÇEKİLDİ",Başvuru!$F:$F,"&lt;&gt;"&amp;""))</f>
        <v>0</v>
      </c>
      <c r="Q171" s="260" t="s">
        <v>407</v>
      </c>
      <c r="R171" s="261">
        <f>COUNTIFS(Başvuru!$C:$C,Q171,Başvuru!$F:$F,"&lt;&gt;"&amp;"")</f>
        <v>7</v>
      </c>
      <c r="S171" s="261">
        <f>RANK(R171,$R$6:$R$290,0)+COUNTIF($R$6:R171,R171)-1</f>
        <v>9</v>
      </c>
    </row>
    <row r="172" spans="2:19" ht="15" customHeight="1" x14ac:dyDescent="0.25">
      <c r="B172" s="249">
        <v>167</v>
      </c>
      <c r="C172" s="250" t="str">
        <f>IFERROR(INDEX($Q$6:$Q$290,MATCH(167,$S$6:$S$290,0)),"")</f>
        <v>Doç. Dr. Şükran Gülin EVİNÇ</v>
      </c>
      <c r="D172" s="251">
        <f>IF(C172="","",COUNTIFS(Başvuru!$C:$C,C172,Başvuru!$F:$F,"&lt;&gt;"&amp;""))</f>
        <v>1</v>
      </c>
      <c r="E172" s="249" t="str">
        <f>IF(D172&gt;0,TEXT(D172/COUNTIF(Başvuru!$F:$F,"&lt;&gt;"&amp;"")*100,"0.0")&amp;"%","-")</f>
        <v>00%</v>
      </c>
      <c r="F172" s="252">
        <f>IF(C172="","",COUNTIFS(Başvuru!$C:$C,C172,Başvuru!$G:$G,"Bireysel Araştırma",Başvuru!$F:$F,"&lt;&gt;"&amp;""))</f>
        <v>1</v>
      </c>
      <c r="G172" s="252">
        <f>IF(C172="","",COUNTIFS(Başvuru!$C:$C,C172,Başvuru!$G:$G,"Uzmanlık Tezi",Başvuru!$F:$F,"&lt;&gt;"&amp;""))</f>
        <v>0</v>
      </c>
      <c r="H172" s="252">
        <f>IF(C172="","",COUNTIFS(Başvuru!$C:$C,C172,Başvuru!$G:$G,"Doktora Tezi",Başvuru!$F:$F,"&lt;&gt;"&amp;""))</f>
        <v>0</v>
      </c>
      <c r="I172" s="252">
        <f>IF(C172="","",COUNTIFS(Başvuru!$C:$C,C172,Başvuru!$G:$G,"Yüksek Lisans Tezi",Başvuru!$F:$F,"&lt;&gt;"&amp;""))</f>
        <v>0</v>
      </c>
      <c r="J172" s="253">
        <f>IF(C172="","",COUNTIFS(Başvuru!$C:$C,C172,Başvuru!$L:$L,"ONAY",Başvuru!$F:$F,"&lt;&gt;"&amp;""))</f>
        <v>1</v>
      </c>
      <c r="K172" s="254">
        <f>IF(C172="","",COUNTIFS(Başvuru!$C:$C,C172,Başvuru!$L:$L,"DÜZELTME",Başvuru!$F:$F,"&lt;&gt;"&amp;""))</f>
        <v>0</v>
      </c>
      <c r="L172" s="255">
        <f>IF(C172="","",COUNTIFS(Başvuru!$C:$C,C172,Başvuru!$L:$L,"KAEK",Başvuru!$F:$F,"&lt;&gt;"&amp;""))</f>
        <v>0</v>
      </c>
      <c r="M172" s="256">
        <f>IF(C172="","",COUNTIFS(Başvuru!$C:$C,C172,Başvuru!$L:$L,"GÖRÜŞ",Başvuru!$F:$F,"&lt;&gt;"&amp;""))</f>
        <v>0</v>
      </c>
      <c r="N172" s="257">
        <f>IF(C172="","",COUNTIFS(Başvuru!$C:$C,C172,Başvuru!$L:$L,"RET",Başvuru!$F:$F,"&lt;&gt;"&amp;""))</f>
        <v>0</v>
      </c>
      <c r="O172" s="258">
        <f>IF(C172="","",COUNTIFS(Başvuru!$C:$C,C172,Başvuru!$L:$L,"KAPSAM DIŞI",Başvuru!$F:$F,"&lt;&gt;"&amp;""))</f>
        <v>0</v>
      </c>
      <c r="P172" s="259">
        <f>IF(C172="","",COUNTIFS(Başvuru!$C:$C,C172,Başvuru!$L:$L,"GERİ ÇEKİLDİ",Başvuru!$F:$F,"&lt;&gt;"&amp;""))</f>
        <v>0</v>
      </c>
      <c r="Q172" s="260" t="s">
        <v>1509</v>
      </c>
      <c r="R172" s="261">
        <f>COUNTIFS(Başvuru!$C:$C,Q172,Başvuru!$F:$F,"&lt;&gt;"&amp;"")</f>
        <v>1</v>
      </c>
      <c r="S172" s="261">
        <f>RANK(R172,$R$6:$R$290,0)+COUNTIF($R$6:R172,R172)-1</f>
        <v>215</v>
      </c>
    </row>
    <row r="173" spans="2:19" ht="15" customHeight="1" x14ac:dyDescent="0.25">
      <c r="B173" s="262">
        <v>168</v>
      </c>
      <c r="C173" s="263" t="str">
        <f>IFERROR(INDEX($Q$6:$Q$290,MATCH(168,$S$6:$S$290,0)),"")</f>
        <v>Doç.Dr. Tekin AKSU</v>
      </c>
      <c r="D173" s="264">
        <f>IF(C173="","",COUNTIFS(Başvuru!$C:$C,C173,Başvuru!$F:$F,"&lt;&gt;"&amp;""))</f>
        <v>1</v>
      </c>
      <c r="E173" s="262" t="str">
        <f>IF(D173&gt;0,TEXT(D173/COUNTIF(Başvuru!$F:$F,"&lt;&gt;"&amp;"")*100,"0.0")&amp;"%","-")</f>
        <v>00%</v>
      </c>
      <c r="F173" s="265">
        <f>IF(C173="","",COUNTIFS(Başvuru!$C:$C,C173,Başvuru!$G:$G,"Bireysel Araştırma",Başvuru!$F:$F,"&lt;&gt;"&amp;""))</f>
        <v>0</v>
      </c>
      <c r="G173" s="265">
        <f>IF(C173="","",COUNTIFS(Başvuru!$C:$C,C173,Başvuru!$G:$G,"Uzmanlık Tezi",Başvuru!$F:$F,"&lt;&gt;"&amp;""))</f>
        <v>1</v>
      </c>
      <c r="H173" s="265">
        <f>IF(C173="","",COUNTIFS(Başvuru!$C:$C,C173,Başvuru!$G:$G,"Doktora Tezi",Başvuru!$F:$F,"&lt;&gt;"&amp;""))</f>
        <v>0</v>
      </c>
      <c r="I173" s="265">
        <f>IF(C173="","",COUNTIFS(Başvuru!$C:$C,C173,Başvuru!$G:$G,"Yüksek Lisans Tezi",Başvuru!$F:$F,"&lt;&gt;"&amp;""))</f>
        <v>0</v>
      </c>
      <c r="J173" s="266">
        <f>IF(C173="","",COUNTIFS(Başvuru!$C:$C,C173,Başvuru!$L:$L,"ONAY",Başvuru!$F:$F,"&lt;&gt;"&amp;""))</f>
        <v>0</v>
      </c>
      <c r="K173" s="267">
        <f>IF(C173="","",COUNTIFS(Başvuru!$C:$C,C173,Başvuru!$L:$L,"DÜZELTME",Başvuru!$F:$F,"&lt;&gt;"&amp;""))</f>
        <v>1</v>
      </c>
      <c r="L173" s="268">
        <f>IF(C173="","",COUNTIFS(Başvuru!$C:$C,C173,Başvuru!$L:$L,"KAEK",Başvuru!$F:$F,"&lt;&gt;"&amp;""))</f>
        <v>0</v>
      </c>
      <c r="M173" s="269">
        <f>IF(C173="","",COUNTIFS(Başvuru!$C:$C,C173,Başvuru!$L:$L,"GÖRÜŞ",Başvuru!$F:$F,"&lt;&gt;"&amp;""))</f>
        <v>0</v>
      </c>
      <c r="N173" s="270">
        <f>IF(C173="","",COUNTIFS(Başvuru!$C:$C,C173,Başvuru!$L:$L,"RET",Başvuru!$F:$F,"&lt;&gt;"&amp;""))</f>
        <v>0</v>
      </c>
      <c r="O173" s="271">
        <f>IF(C173="","",COUNTIFS(Başvuru!$C:$C,C173,Başvuru!$L:$L,"KAPSAM DIŞI",Başvuru!$F:$F,"&lt;&gt;"&amp;""))</f>
        <v>0</v>
      </c>
      <c r="P173" s="272">
        <f>IF(C173="","",COUNTIFS(Başvuru!$C:$C,C173,Başvuru!$L:$L,"GERİ ÇEKİLDİ",Başvuru!$F:$F,"&lt;&gt;"&amp;""))</f>
        <v>0</v>
      </c>
      <c r="Q173" s="260" t="s">
        <v>352</v>
      </c>
      <c r="R173" s="261">
        <f>COUNTIFS(Başvuru!$C:$C,Q173,Başvuru!$F:$F,"&lt;&gt;"&amp;"")</f>
        <v>3</v>
      </c>
      <c r="S173" s="261">
        <f>RANK(R173,$R$6:$R$290,0)+COUNTIF($R$6:R173,R173)-1</f>
        <v>49</v>
      </c>
    </row>
    <row r="174" spans="2:19" ht="15" customHeight="1" x14ac:dyDescent="0.25">
      <c r="B174" s="249">
        <v>169</v>
      </c>
      <c r="C174" s="250" t="str">
        <f>IFERROR(INDEX($Q$6:$Q$290,MATCH(169,$S$6:$S$290,0)),"")</f>
        <v>Dr. Natalia RAKİSLOVA</v>
      </c>
      <c r="D174" s="251">
        <f>IF(C174="","",COUNTIFS(Başvuru!$C:$C,C174,Başvuru!$F:$F,"&lt;&gt;"&amp;""))</f>
        <v>1</v>
      </c>
      <c r="E174" s="249" t="str">
        <f>IF(D174&gt;0,TEXT(D174/COUNTIF(Başvuru!$F:$F,"&lt;&gt;"&amp;"")*100,"0.0")&amp;"%","-")</f>
        <v>00%</v>
      </c>
      <c r="F174" s="252">
        <f>IF(C174="","",COUNTIFS(Başvuru!$C:$C,C174,Başvuru!$G:$G,"Bireysel Araştırma",Başvuru!$F:$F,"&lt;&gt;"&amp;""))</f>
        <v>1</v>
      </c>
      <c r="G174" s="252">
        <f>IF(C174="","",COUNTIFS(Başvuru!$C:$C,C174,Başvuru!$G:$G,"Uzmanlık Tezi",Başvuru!$F:$F,"&lt;&gt;"&amp;""))</f>
        <v>0</v>
      </c>
      <c r="H174" s="252">
        <f>IF(C174="","",COUNTIFS(Başvuru!$C:$C,C174,Başvuru!$G:$G,"Doktora Tezi",Başvuru!$F:$F,"&lt;&gt;"&amp;""))</f>
        <v>0</v>
      </c>
      <c r="I174" s="252">
        <f>IF(C174="","",COUNTIFS(Başvuru!$C:$C,C174,Başvuru!$G:$G,"Yüksek Lisans Tezi",Başvuru!$F:$F,"&lt;&gt;"&amp;""))</f>
        <v>0</v>
      </c>
      <c r="J174" s="253">
        <f>IF(C174="","",COUNTIFS(Başvuru!$C:$C,C174,Başvuru!$L:$L,"ONAY",Başvuru!$F:$F,"&lt;&gt;"&amp;""))</f>
        <v>0</v>
      </c>
      <c r="K174" s="254">
        <f>IF(C174="","",COUNTIFS(Başvuru!$C:$C,C174,Başvuru!$L:$L,"DÜZELTME",Başvuru!$F:$F,"&lt;&gt;"&amp;""))</f>
        <v>1</v>
      </c>
      <c r="L174" s="255">
        <f>IF(C174="","",COUNTIFS(Başvuru!$C:$C,C174,Başvuru!$L:$L,"KAEK",Başvuru!$F:$F,"&lt;&gt;"&amp;""))</f>
        <v>0</v>
      </c>
      <c r="M174" s="256">
        <f>IF(C174="","",COUNTIFS(Başvuru!$C:$C,C174,Başvuru!$L:$L,"GÖRÜŞ",Başvuru!$F:$F,"&lt;&gt;"&amp;""))</f>
        <v>0</v>
      </c>
      <c r="N174" s="257">
        <f>IF(C174="","",COUNTIFS(Başvuru!$C:$C,C174,Başvuru!$L:$L,"RET",Başvuru!$F:$F,"&lt;&gt;"&amp;""))</f>
        <v>0</v>
      </c>
      <c r="O174" s="258">
        <f>IF(C174="","",COUNTIFS(Başvuru!$C:$C,C174,Başvuru!$L:$L,"KAPSAM DIŞI",Başvuru!$F:$F,"&lt;&gt;"&amp;""))</f>
        <v>0</v>
      </c>
      <c r="P174" s="259">
        <f>IF(C174="","",COUNTIFS(Başvuru!$C:$C,C174,Başvuru!$L:$L,"GERİ ÇEKİLDİ",Başvuru!$F:$F,"&lt;&gt;"&amp;""))</f>
        <v>0</v>
      </c>
      <c r="Q174" s="260" t="s">
        <v>767</v>
      </c>
      <c r="R174" s="261">
        <f>COUNTIFS(Başvuru!$C:$C,Q174,Başvuru!$F:$F,"&lt;&gt;"&amp;"")</f>
        <v>1</v>
      </c>
      <c r="S174" s="261">
        <f>RANK(R174,$R$6:$R$290,0)+COUNTIF($R$6:R174,R174)-1</f>
        <v>216</v>
      </c>
    </row>
    <row r="175" spans="2:19" ht="15" customHeight="1" x14ac:dyDescent="0.25">
      <c r="B175" s="262">
        <v>170</v>
      </c>
      <c r="C175" s="263" t="str">
        <f>IFERROR(INDEX($Q$6:$Q$290,MATCH(170,$S$6:$S$290,0)),"")</f>
        <v>Dr. Vet. Hek. Özgür Doğuş EROL DUYAR</v>
      </c>
      <c r="D175" s="264">
        <f>IF(C175="","",COUNTIFS(Başvuru!$C:$C,C175,Başvuru!$F:$F,"&lt;&gt;"&amp;""))</f>
        <v>1</v>
      </c>
      <c r="E175" s="262" t="str">
        <f>IF(D175&gt;0,TEXT(D175/COUNTIF(Başvuru!$F:$F,"&lt;&gt;"&amp;"")*100,"0.0")&amp;"%","-")</f>
        <v>00%</v>
      </c>
      <c r="F175" s="265">
        <f>IF(C175="","",COUNTIFS(Başvuru!$C:$C,C175,Başvuru!$G:$G,"Bireysel Araştırma",Başvuru!$F:$F,"&lt;&gt;"&amp;""))</f>
        <v>1</v>
      </c>
      <c r="G175" s="265">
        <f>IF(C175="","",COUNTIFS(Başvuru!$C:$C,C175,Başvuru!$G:$G,"Uzmanlık Tezi",Başvuru!$F:$F,"&lt;&gt;"&amp;""))</f>
        <v>0</v>
      </c>
      <c r="H175" s="265">
        <f>IF(C175="","",COUNTIFS(Başvuru!$C:$C,C175,Başvuru!$G:$G,"Doktora Tezi",Başvuru!$F:$F,"&lt;&gt;"&amp;""))</f>
        <v>0</v>
      </c>
      <c r="I175" s="265">
        <f>IF(C175="","",COUNTIFS(Başvuru!$C:$C,C175,Başvuru!$G:$G,"Yüksek Lisans Tezi",Başvuru!$F:$F,"&lt;&gt;"&amp;""))</f>
        <v>0</v>
      </c>
      <c r="J175" s="266">
        <f>IF(C175="","",COUNTIFS(Başvuru!$C:$C,C175,Başvuru!$L:$L,"ONAY",Başvuru!$F:$F,"&lt;&gt;"&amp;""))</f>
        <v>1</v>
      </c>
      <c r="K175" s="267">
        <f>IF(C175="","",COUNTIFS(Başvuru!$C:$C,C175,Başvuru!$L:$L,"DÜZELTME",Başvuru!$F:$F,"&lt;&gt;"&amp;""))</f>
        <v>0</v>
      </c>
      <c r="L175" s="268">
        <f>IF(C175="","",COUNTIFS(Başvuru!$C:$C,C175,Başvuru!$L:$L,"KAEK",Başvuru!$F:$F,"&lt;&gt;"&amp;""))</f>
        <v>0</v>
      </c>
      <c r="M175" s="269">
        <f>IF(C175="","",COUNTIFS(Başvuru!$C:$C,C175,Başvuru!$L:$L,"GÖRÜŞ",Başvuru!$F:$F,"&lt;&gt;"&amp;""))</f>
        <v>0</v>
      </c>
      <c r="N175" s="270">
        <f>IF(C175="","",COUNTIFS(Başvuru!$C:$C,C175,Başvuru!$L:$L,"RET",Başvuru!$F:$F,"&lt;&gt;"&amp;""))</f>
        <v>0</v>
      </c>
      <c r="O175" s="271">
        <f>IF(C175="","",COUNTIFS(Başvuru!$C:$C,C175,Başvuru!$L:$L,"KAPSAM DIŞI",Başvuru!$F:$F,"&lt;&gt;"&amp;""))</f>
        <v>0</v>
      </c>
      <c r="P175" s="272">
        <f>IF(C175="","",COUNTIFS(Başvuru!$C:$C,C175,Başvuru!$L:$L,"GERİ ÇEKİLDİ",Başvuru!$F:$F,"&lt;&gt;"&amp;""))</f>
        <v>0</v>
      </c>
      <c r="Q175" s="260" t="s">
        <v>1818</v>
      </c>
      <c r="R175" s="261">
        <f>COUNTIFS(Başvuru!$C:$C,Q175,Başvuru!$F:$F,"&lt;&gt;"&amp;"")</f>
        <v>1</v>
      </c>
      <c r="S175" s="261">
        <f>RANK(R175,$R$6:$R$290,0)+COUNTIF($R$6:R175,R175)-1</f>
        <v>217</v>
      </c>
    </row>
    <row r="176" spans="2:19" ht="15" customHeight="1" x14ac:dyDescent="0.25">
      <c r="B176" s="249">
        <v>171</v>
      </c>
      <c r="C176" s="250" t="str">
        <f>IFERROR(INDEX($Q$6:$Q$290,MATCH(171,$S$6:$S$290,0)),"")</f>
        <v>Dr. Öğr. Gör. Buket KILIÇ</v>
      </c>
      <c r="D176" s="251">
        <f>IF(C176="","",COUNTIFS(Başvuru!$C:$C,C176,Başvuru!$F:$F,"&lt;&gt;"&amp;""))</f>
        <v>1</v>
      </c>
      <c r="E176" s="249" t="str">
        <f>IF(D176&gt;0,TEXT(D176/COUNTIF(Başvuru!$F:$F,"&lt;&gt;"&amp;"")*100,"0.0")&amp;"%","-")</f>
        <v>00%</v>
      </c>
      <c r="F176" s="252">
        <f>IF(C176="","",COUNTIFS(Başvuru!$C:$C,C176,Başvuru!$G:$G,"Bireysel Araştırma",Başvuru!$F:$F,"&lt;&gt;"&amp;""))</f>
        <v>1</v>
      </c>
      <c r="G176" s="252">
        <f>IF(C176="","",COUNTIFS(Başvuru!$C:$C,C176,Başvuru!$G:$G,"Uzmanlık Tezi",Başvuru!$F:$F,"&lt;&gt;"&amp;""))</f>
        <v>0</v>
      </c>
      <c r="H176" s="252">
        <f>IF(C176="","",COUNTIFS(Başvuru!$C:$C,C176,Başvuru!$G:$G,"Doktora Tezi",Başvuru!$F:$F,"&lt;&gt;"&amp;""))</f>
        <v>0</v>
      </c>
      <c r="I176" s="252">
        <f>IF(C176="","",COUNTIFS(Başvuru!$C:$C,C176,Başvuru!$G:$G,"Yüksek Lisans Tezi",Başvuru!$F:$F,"&lt;&gt;"&amp;""))</f>
        <v>0</v>
      </c>
      <c r="J176" s="253">
        <f>IF(C176="","",COUNTIFS(Başvuru!$C:$C,C176,Başvuru!$L:$L,"ONAY",Başvuru!$F:$F,"&lt;&gt;"&amp;""))</f>
        <v>1</v>
      </c>
      <c r="K176" s="254">
        <f>IF(C176="","",COUNTIFS(Başvuru!$C:$C,C176,Başvuru!$L:$L,"DÜZELTME",Başvuru!$F:$F,"&lt;&gt;"&amp;""))</f>
        <v>0</v>
      </c>
      <c r="L176" s="255">
        <f>IF(C176="","",COUNTIFS(Başvuru!$C:$C,C176,Başvuru!$L:$L,"KAEK",Başvuru!$F:$F,"&lt;&gt;"&amp;""))</f>
        <v>0</v>
      </c>
      <c r="M176" s="256">
        <f>IF(C176="","",COUNTIFS(Başvuru!$C:$C,C176,Başvuru!$L:$L,"GÖRÜŞ",Başvuru!$F:$F,"&lt;&gt;"&amp;""))</f>
        <v>0</v>
      </c>
      <c r="N176" s="257">
        <f>IF(C176="","",COUNTIFS(Başvuru!$C:$C,C176,Başvuru!$L:$L,"RET",Başvuru!$F:$F,"&lt;&gt;"&amp;""))</f>
        <v>0</v>
      </c>
      <c r="O176" s="258">
        <f>IF(C176="","",COUNTIFS(Başvuru!$C:$C,C176,Başvuru!$L:$L,"KAPSAM DIŞI",Başvuru!$F:$F,"&lt;&gt;"&amp;""))</f>
        <v>0</v>
      </c>
      <c r="P176" s="259">
        <f>IF(C176="","",COUNTIFS(Başvuru!$C:$C,C176,Başvuru!$L:$L,"GERİ ÇEKİLDİ",Başvuru!$F:$F,"&lt;&gt;"&amp;""))</f>
        <v>0</v>
      </c>
      <c r="Q176" s="260" t="s">
        <v>280</v>
      </c>
      <c r="R176" s="261">
        <f>COUNTIFS(Başvuru!$C:$C,Q176,Başvuru!$F:$F,"&lt;&gt;"&amp;"")</f>
        <v>3</v>
      </c>
      <c r="S176" s="261">
        <f>RANK(R176,$R$6:$R$290,0)+COUNTIF($R$6:R176,R176)-1</f>
        <v>50</v>
      </c>
    </row>
    <row r="177" spans="2:19" ht="15" customHeight="1" x14ac:dyDescent="0.25">
      <c r="B177" s="262">
        <v>172</v>
      </c>
      <c r="C177" s="263" t="str">
        <f>IFERROR(INDEX($Q$6:$Q$290,MATCH(172,$S$6:$S$290,0)),"")</f>
        <v>Dr. Öğr. Gör. Tuğçe TAŞKINDERE ABBASOĞLU</v>
      </c>
      <c r="D177" s="264">
        <f>IF(C177="","",COUNTIFS(Başvuru!$C:$C,C177,Başvuru!$F:$F,"&lt;&gt;"&amp;""))</f>
        <v>1</v>
      </c>
      <c r="E177" s="262" t="str">
        <f>IF(D177&gt;0,TEXT(D177/COUNTIF(Başvuru!$F:$F,"&lt;&gt;"&amp;"")*100,"0.0")&amp;"%","-")</f>
        <v>00%</v>
      </c>
      <c r="F177" s="265">
        <f>IF(C177="","",COUNTIFS(Başvuru!$C:$C,C177,Başvuru!$G:$G,"Bireysel Araştırma",Başvuru!$F:$F,"&lt;&gt;"&amp;""))</f>
        <v>1</v>
      </c>
      <c r="G177" s="265">
        <f>IF(C177="","",COUNTIFS(Başvuru!$C:$C,C177,Başvuru!$G:$G,"Uzmanlık Tezi",Başvuru!$F:$F,"&lt;&gt;"&amp;""))</f>
        <v>0</v>
      </c>
      <c r="H177" s="265">
        <f>IF(C177="","",COUNTIFS(Başvuru!$C:$C,C177,Başvuru!$G:$G,"Doktora Tezi",Başvuru!$F:$F,"&lt;&gt;"&amp;""))</f>
        <v>0</v>
      </c>
      <c r="I177" s="265">
        <f>IF(C177="","",COUNTIFS(Başvuru!$C:$C,C177,Başvuru!$G:$G,"Yüksek Lisans Tezi",Başvuru!$F:$F,"&lt;&gt;"&amp;""))</f>
        <v>0</v>
      </c>
      <c r="J177" s="266">
        <f>IF(C177="","",COUNTIFS(Başvuru!$C:$C,C177,Başvuru!$L:$L,"ONAY",Başvuru!$F:$F,"&lt;&gt;"&amp;""))</f>
        <v>0</v>
      </c>
      <c r="K177" s="267">
        <f>IF(C177="","",COUNTIFS(Başvuru!$C:$C,C177,Başvuru!$L:$L,"DÜZELTME",Başvuru!$F:$F,"&lt;&gt;"&amp;""))</f>
        <v>0</v>
      </c>
      <c r="L177" s="268">
        <f>IF(C177="","",COUNTIFS(Başvuru!$C:$C,C177,Başvuru!$L:$L,"KAEK",Başvuru!$F:$F,"&lt;&gt;"&amp;""))</f>
        <v>0</v>
      </c>
      <c r="M177" s="269">
        <f>IF(C177="","",COUNTIFS(Başvuru!$C:$C,C177,Başvuru!$L:$L,"GÖRÜŞ",Başvuru!$F:$F,"&lt;&gt;"&amp;""))</f>
        <v>0</v>
      </c>
      <c r="N177" s="270">
        <f>IF(C177="","",COUNTIFS(Başvuru!$C:$C,C177,Başvuru!$L:$L,"RET",Başvuru!$F:$F,"&lt;&gt;"&amp;""))</f>
        <v>0</v>
      </c>
      <c r="O177" s="271">
        <f>IF(C177="","",COUNTIFS(Başvuru!$C:$C,C177,Başvuru!$L:$L,"KAPSAM DIŞI",Başvuru!$F:$F,"&lt;&gt;"&amp;""))</f>
        <v>0</v>
      </c>
      <c r="P177" s="272">
        <f>IF(C177="","",COUNTIFS(Başvuru!$C:$C,C177,Başvuru!$L:$L,"GERİ ÇEKİLDİ",Başvuru!$F:$F,"&lt;&gt;"&amp;""))</f>
        <v>0</v>
      </c>
      <c r="Q177" s="260" t="s">
        <v>970</v>
      </c>
      <c r="R177" s="261">
        <f>COUNTIFS(Başvuru!$C:$C,Q177,Başvuru!$F:$F,"&lt;&gt;"&amp;"")</f>
        <v>1</v>
      </c>
      <c r="S177" s="261">
        <f>RANK(R177,$R$6:$R$290,0)+COUNTIF($R$6:R177,R177)-1</f>
        <v>218</v>
      </c>
    </row>
    <row r="178" spans="2:19" ht="15" customHeight="1" x14ac:dyDescent="0.25">
      <c r="B178" s="249">
        <v>173</v>
      </c>
      <c r="C178" s="250" t="str">
        <f>IFERROR(INDEX($Q$6:$Q$290,MATCH(173,$S$6:$S$290,0)),"")</f>
        <v>Dr. Öğr. Üyesi Ahmet Gürkan ERDEMİR</v>
      </c>
      <c r="D178" s="251">
        <f>IF(C178="","",COUNTIFS(Başvuru!$C:$C,C178,Başvuru!$F:$F,"&lt;&gt;"&amp;""))</f>
        <v>1</v>
      </c>
      <c r="E178" s="249" t="str">
        <f>IF(D178&gt;0,TEXT(D178/COUNTIF(Başvuru!$F:$F,"&lt;&gt;"&amp;"")*100,"0.0")&amp;"%","-")</f>
        <v>00%</v>
      </c>
      <c r="F178" s="252">
        <f>IF(C178="","",COUNTIFS(Başvuru!$C:$C,C178,Başvuru!$G:$G,"Bireysel Araştırma",Başvuru!$F:$F,"&lt;&gt;"&amp;""))</f>
        <v>1</v>
      </c>
      <c r="G178" s="252">
        <f>IF(C178="","",COUNTIFS(Başvuru!$C:$C,C178,Başvuru!$G:$G,"Uzmanlık Tezi",Başvuru!$F:$F,"&lt;&gt;"&amp;""))</f>
        <v>0</v>
      </c>
      <c r="H178" s="252">
        <f>IF(C178="","",COUNTIFS(Başvuru!$C:$C,C178,Başvuru!$G:$G,"Doktora Tezi",Başvuru!$F:$F,"&lt;&gt;"&amp;""))</f>
        <v>0</v>
      </c>
      <c r="I178" s="252">
        <f>IF(C178="","",COUNTIFS(Başvuru!$C:$C,C178,Başvuru!$G:$G,"Yüksek Lisans Tezi",Başvuru!$F:$F,"&lt;&gt;"&amp;""))</f>
        <v>0</v>
      </c>
      <c r="J178" s="253">
        <f>IF(C178="","",COUNTIFS(Başvuru!$C:$C,C178,Başvuru!$L:$L,"ONAY",Başvuru!$F:$F,"&lt;&gt;"&amp;""))</f>
        <v>1</v>
      </c>
      <c r="K178" s="254">
        <f>IF(C178="","",COUNTIFS(Başvuru!$C:$C,C178,Başvuru!$L:$L,"DÜZELTME",Başvuru!$F:$F,"&lt;&gt;"&amp;""))</f>
        <v>0</v>
      </c>
      <c r="L178" s="255">
        <f>IF(C178="","",COUNTIFS(Başvuru!$C:$C,C178,Başvuru!$L:$L,"KAEK",Başvuru!$F:$F,"&lt;&gt;"&amp;""))</f>
        <v>0</v>
      </c>
      <c r="M178" s="256">
        <f>IF(C178="","",COUNTIFS(Başvuru!$C:$C,C178,Başvuru!$L:$L,"GÖRÜŞ",Başvuru!$F:$F,"&lt;&gt;"&amp;""))</f>
        <v>0</v>
      </c>
      <c r="N178" s="257">
        <f>IF(C178="","",COUNTIFS(Başvuru!$C:$C,C178,Başvuru!$L:$L,"RET",Başvuru!$F:$F,"&lt;&gt;"&amp;""))</f>
        <v>0</v>
      </c>
      <c r="O178" s="258">
        <f>IF(C178="","",COUNTIFS(Başvuru!$C:$C,C178,Başvuru!$L:$L,"KAPSAM DIŞI",Başvuru!$F:$F,"&lt;&gt;"&amp;""))</f>
        <v>0</v>
      </c>
      <c r="P178" s="259">
        <f>IF(C178="","",COUNTIFS(Başvuru!$C:$C,C178,Başvuru!$L:$L,"GERİ ÇEKİLDİ",Başvuru!$F:$F,"&lt;&gt;"&amp;""))</f>
        <v>0</v>
      </c>
      <c r="Q178" s="260" t="s">
        <v>2066</v>
      </c>
      <c r="R178" s="261">
        <f>COUNTIFS(Başvuru!$C:$C,Q178,Başvuru!$F:$F,"&lt;&gt;"&amp;"")</f>
        <v>1</v>
      </c>
      <c r="S178" s="261">
        <f>RANK(R178,$R$6:$R$290,0)+COUNTIF($R$6:R178,R178)-1</f>
        <v>219</v>
      </c>
    </row>
    <row r="179" spans="2:19" ht="15" customHeight="1" x14ac:dyDescent="0.25">
      <c r="B179" s="262">
        <v>174</v>
      </c>
      <c r="C179" s="263" t="str">
        <f>IFERROR(INDEX($Q$6:$Q$290,MATCH(174,$S$6:$S$290,0)),"")</f>
        <v>Dr. Öğr. Üyesi Aslı ALKAN</v>
      </c>
      <c r="D179" s="264">
        <f>IF(C179="","",COUNTIFS(Başvuru!$C:$C,C179,Başvuru!$F:$F,"&lt;&gt;"&amp;""))</f>
        <v>1</v>
      </c>
      <c r="E179" s="262" t="str">
        <f>IF(D179&gt;0,TEXT(D179/COUNTIF(Başvuru!$F:$F,"&lt;&gt;"&amp;"")*100,"0.0")&amp;"%","-")</f>
        <v>00%</v>
      </c>
      <c r="F179" s="265">
        <f>IF(C179="","",COUNTIFS(Başvuru!$C:$C,C179,Başvuru!$G:$G,"Bireysel Araştırma",Başvuru!$F:$F,"&lt;&gt;"&amp;""))</f>
        <v>0</v>
      </c>
      <c r="G179" s="265">
        <f>IF(C179="","",COUNTIFS(Başvuru!$C:$C,C179,Başvuru!$G:$G,"Uzmanlık Tezi",Başvuru!$F:$F,"&lt;&gt;"&amp;""))</f>
        <v>1</v>
      </c>
      <c r="H179" s="265">
        <f>IF(C179="","",COUNTIFS(Başvuru!$C:$C,C179,Başvuru!$G:$G,"Doktora Tezi",Başvuru!$F:$F,"&lt;&gt;"&amp;""))</f>
        <v>0</v>
      </c>
      <c r="I179" s="265">
        <f>IF(C179="","",COUNTIFS(Başvuru!$C:$C,C179,Başvuru!$G:$G,"Yüksek Lisans Tezi",Başvuru!$F:$F,"&lt;&gt;"&amp;""))</f>
        <v>0</v>
      </c>
      <c r="J179" s="266">
        <f>IF(C179="","",COUNTIFS(Başvuru!$C:$C,C179,Başvuru!$L:$L,"ONAY",Başvuru!$F:$F,"&lt;&gt;"&amp;""))</f>
        <v>1</v>
      </c>
      <c r="K179" s="267">
        <f>IF(C179="","",COUNTIFS(Başvuru!$C:$C,C179,Başvuru!$L:$L,"DÜZELTME",Başvuru!$F:$F,"&lt;&gt;"&amp;""))</f>
        <v>0</v>
      </c>
      <c r="L179" s="268">
        <f>IF(C179="","",COUNTIFS(Başvuru!$C:$C,C179,Başvuru!$L:$L,"KAEK",Başvuru!$F:$F,"&lt;&gt;"&amp;""))</f>
        <v>0</v>
      </c>
      <c r="M179" s="269">
        <f>IF(C179="","",COUNTIFS(Başvuru!$C:$C,C179,Başvuru!$L:$L,"GÖRÜŞ",Başvuru!$F:$F,"&lt;&gt;"&amp;""))</f>
        <v>0</v>
      </c>
      <c r="N179" s="270">
        <f>IF(C179="","",COUNTIFS(Başvuru!$C:$C,C179,Başvuru!$L:$L,"RET",Başvuru!$F:$F,"&lt;&gt;"&amp;""))</f>
        <v>0</v>
      </c>
      <c r="O179" s="271">
        <f>IF(C179="","",COUNTIFS(Başvuru!$C:$C,C179,Başvuru!$L:$L,"KAPSAM DIŞI",Başvuru!$F:$F,"&lt;&gt;"&amp;""))</f>
        <v>0</v>
      </c>
      <c r="P179" s="272">
        <f>IF(C179="","",COUNTIFS(Başvuru!$C:$C,C179,Başvuru!$L:$L,"GERİ ÇEKİLDİ",Başvuru!$F:$F,"&lt;&gt;"&amp;""))</f>
        <v>0</v>
      </c>
      <c r="Q179" s="260" t="s">
        <v>1504</v>
      </c>
      <c r="R179" s="261">
        <f>COUNTIFS(Başvuru!$C:$C,Q179,Başvuru!$F:$F,"&lt;&gt;"&amp;"")</f>
        <v>1</v>
      </c>
      <c r="S179" s="261">
        <f>RANK(R179,$R$6:$R$290,0)+COUNTIF($R$6:R179,R179)-1</f>
        <v>220</v>
      </c>
    </row>
    <row r="180" spans="2:19" ht="15" customHeight="1" x14ac:dyDescent="0.25">
      <c r="B180" s="249">
        <v>175</v>
      </c>
      <c r="C180" s="250" t="str">
        <f>IFERROR(INDEX($Q$6:$Q$290,MATCH(175,$S$6:$S$290,0)),"")</f>
        <v>Dr. Öğr. Üyesi Aybüke USLU TEKCE</v>
      </c>
      <c r="D180" s="251">
        <f>IF(C180="","",COUNTIFS(Başvuru!$C:$C,C180,Başvuru!$F:$F,"&lt;&gt;"&amp;""))</f>
        <v>1</v>
      </c>
      <c r="E180" s="249" t="str">
        <f>IF(D180&gt;0,TEXT(D180/COUNTIF(Başvuru!$F:$F,"&lt;&gt;"&amp;"")*100,"0.0")&amp;"%","-")</f>
        <v>00%</v>
      </c>
      <c r="F180" s="252">
        <f>IF(C180="","",COUNTIFS(Başvuru!$C:$C,C180,Başvuru!$G:$G,"Bireysel Araştırma",Başvuru!$F:$F,"&lt;&gt;"&amp;""))</f>
        <v>1</v>
      </c>
      <c r="G180" s="252">
        <f>IF(C180="","",COUNTIFS(Başvuru!$C:$C,C180,Başvuru!$G:$G,"Uzmanlık Tezi",Başvuru!$F:$F,"&lt;&gt;"&amp;""))</f>
        <v>0</v>
      </c>
      <c r="H180" s="252">
        <f>IF(C180="","",COUNTIFS(Başvuru!$C:$C,C180,Başvuru!$G:$G,"Doktora Tezi",Başvuru!$F:$F,"&lt;&gt;"&amp;""))</f>
        <v>0</v>
      </c>
      <c r="I180" s="252">
        <f>IF(C180="","",COUNTIFS(Başvuru!$C:$C,C180,Başvuru!$G:$G,"Yüksek Lisans Tezi",Başvuru!$F:$F,"&lt;&gt;"&amp;""))</f>
        <v>0</v>
      </c>
      <c r="J180" s="253">
        <f>IF(C180="","",COUNTIFS(Başvuru!$C:$C,C180,Başvuru!$L:$L,"ONAY",Başvuru!$F:$F,"&lt;&gt;"&amp;""))</f>
        <v>1</v>
      </c>
      <c r="K180" s="254">
        <f>IF(C180="","",COUNTIFS(Başvuru!$C:$C,C180,Başvuru!$L:$L,"DÜZELTME",Başvuru!$F:$F,"&lt;&gt;"&amp;""))</f>
        <v>0</v>
      </c>
      <c r="L180" s="255">
        <f>IF(C180="","",COUNTIFS(Başvuru!$C:$C,C180,Başvuru!$L:$L,"KAEK",Başvuru!$F:$F,"&lt;&gt;"&amp;""))</f>
        <v>0</v>
      </c>
      <c r="M180" s="256">
        <f>IF(C180="","",COUNTIFS(Başvuru!$C:$C,C180,Başvuru!$L:$L,"GÖRÜŞ",Başvuru!$F:$F,"&lt;&gt;"&amp;""))</f>
        <v>0</v>
      </c>
      <c r="N180" s="257">
        <f>IF(C180="","",COUNTIFS(Başvuru!$C:$C,C180,Başvuru!$L:$L,"RET",Başvuru!$F:$F,"&lt;&gt;"&amp;""))</f>
        <v>0</v>
      </c>
      <c r="O180" s="258">
        <f>IF(C180="","",COUNTIFS(Başvuru!$C:$C,C180,Başvuru!$L:$L,"KAPSAM DIŞI",Başvuru!$F:$F,"&lt;&gt;"&amp;""))</f>
        <v>0</v>
      </c>
      <c r="P180" s="259">
        <f>IF(C180="","",COUNTIFS(Başvuru!$C:$C,C180,Başvuru!$L:$L,"GERİ ÇEKİLDİ",Başvuru!$F:$F,"&lt;&gt;"&amp;""))</f>
        <v>0</v>
      </c>
      <c r="Q180" s="260" t="s">
        <v>225</v>
      </c>
      <c r="R180" s="261">
        <f>COUNTIFS(Başvuru!$C:$C,Q180,Başvuru!$F:$F,"&lt;&gt;"&amp;"")</f>
        <v>1</v>
      </c>
      <c r="S180" s="261">
        <f>RANK(R180,$R$6:$R$290,0)+COUNTIF($R$6:R180,R180)-1</f>
        <v>221</v>
      </c>
    </row>
    <row r="181" spans="2:19" ht="15" customHeight="1" x14ac:dyDescent="0.25">
      <c r="B181" s="262">
        <v>176</v>
      </c>
      <c r="C181" s="263" t="str">
        <f>IFERROR(INDEX($Q$6:$Q$290,MATCH(176,$S$6:$S$290,0)),"")</f>
        <v>Dr. Öğr. Üyesi Bekir ERDEVE</v>
      </c>
      <c r="D181" s="264">
        <f>IF(C181="","",COUNTIFS(Başvuru!$C:$C,C181,Başvuru!$F:$F,"&lt;&gt;"&amp;""))</f>
        <v>1</v>
      </c>
      <c r="E181" s="262" t="str">
        <f>IF(D181&gt;0,TEXT(D181/COUNTIF(Başvuru!$F:$F,"&lt;&gt;"&amp;"")*100,"0.0")&amp;"%","-")</f>
        <v>00%</v>
      </c>
      <c r="F181" s="265">
        <f>IF(C181="","",COUNTIFS(Başvuru!$C:$C,C181,Başvuru!$G:$G,"Bireysel Araştırma",Başvuru!$F:$F,"&lt;&gt;"&amp;""))</f>
        <v>1</v>
      </c>
      <c r="G181" s="265">
        <f>IF(C181="","",COUNTIFS(Başvuru!$C:$C,C181,Başvuru!$G:$G,"Uzmanlık Tezi",Başvuru!$F:$F,"&lt;&gt;"&amp;""))</f>
        <v>0</v>
      </c>
      <c r="H181" s="265">
        <f>IF(C181="","",COUNTIFS(Başvuru!$C:$C,C181,Başvuru!$G:$G,"Doktora Tezi",Başvuru!$F:$F,"&lt;&gt;"&amp;""))</f>
        <v>0</v>
      </c>
      <c r="I181" s="265">
        <f>IF(C181="","",COUNTIFS(Başvuru!$C:$C,C181,Başvuru!$G:$G,"Yüksek Lisans Tezi",Başvuru!$F:$F,"&lt;&gt;"&amp;""))</f>
        <v>0</v>
      </c>
      <c r="J181" s="266">
        <f>IF(C181="","",COUNTIFS(Başvuru!$C:$C,C181,Başvuru!$L:$L,"ONAY",Başvuru!$F:$F,"&lt;&gt;"&amp;""))</f>
        <v>0</v>
      </c>
      <c r="K181" s="267">
        <f>IF(C181="","",COUNTIFS(Başvuru!$C:$C,C181,Başvuru!$L:$L,"DÜZELTME",Başvuru!$F:$F,"&lt;&gt;"&amp;""))</f>
        <v>0</v>
      </c>
      <c r="L181" s="268">
        <f>IF(C181="","",COUNTIFS(Başvuru!$C:$C,C181,Başvuru!$L:$L,"KAEK",Başvuru!$F:$F,"&lt;&gt;"&amp;""))</f>
        <v>0</v>
      </c>
      <c r="M181" s="269">
        <f>IF(C181="","",COUNTIFS(Başvuru!$C:$C,C181,Başvuru!$L:$L,"GÖRÜŞ",Başvuru!$F:$F,"&lt;&gt;"&amp;""))</f>
        <v>0</v>
      </c>
      <c r="N181" s="270">
        <f>IF(C181="","",COUNTIFS(Başvuru!$C:$C,C181,Başvuru!$L:$L,"RET",Başvuru!$F:$F,"&lt;&gt;"&amp;""))</f>
        <v>0</v>
      </c>
      <c r="O181" s="271">
        <f>IF(C181="","",COUNTIFS(Başvuru!$C:$C,C181,Başvuru!$L:$L,"KAPSAM DIŞI",Başvuru!$F:$F,"&lt;&gt;"&amp;""))</f>
        <v>0</v>
      </c>
      <c r="P181" s="272">
        <f>IF(C181="","",COUNTIFS(Başvuru!$C:$C,C181,Başvuru!$L:$L,"GERİ ÇEKİLDİ",Başvuru!$F:$F,"&lt;&gt;"&amp;""))</f>
        <v>0</v>
      </c>
      <c r="Q181" s="260" t="s">
        <v>1835</v>
      </c>
      <c r="R181" s="261">
        <f>COUNTIFS(Başvuru!$C:$C,Q181,Başvuru!$F:$F,"&lt;&gt;"&amp;"")</f>
        <v>1</v>
      </c>
      <c r="S181" s="261">
        <f>RANK(R181,$R$6:$R$290,0)+COUNTIF($R$6:R181,R181)-1</f>
        <v>222</v>
      </c>
    </row>
    <row r="182" spans="2:19" ht="15" customHeight="1" x14ac:dyDescent="0.25">
      <c r="B182" s="249">
        <v>177</v>
      </c>
      <c r="C182" s="250" t="str">
        <f>IFERROR(INDEX($Q$6:$Q$290,MATCH(177,$S$6:$S$290,0)),"")</f>
        <v>Dr. Öğr. Üyesi Burkay UTKU</v>
      </c>
      <c r="D182" s="251">
        <f>IF(C182="","",COUNTIFS(Başvuru!$C:$C,C182,Başvuru!$F:$F,"&lt;&gt;"&amp;""))</f>
        <v>1</v>
      </c>
      <c r="E182" s="249" t="str">
        <f>IF(D182&gt;0,TEXT(D182/COUNTIF(Başvuru!$F:$F,"&lt;&gt;"&amp;"")*100,"0.0")&amp;"%","-")</f>
        <v>00%</v>
      </c>
      <c r="F182" s="252">
        <f>IF(C182="","",COUNTIFS(Başvuru!$C:$C,C182,Başvuru!$G:$G,"Bireysel Araştırma",Başvuru!$F:$F,"&lt;&gt;"&amp;""))</f>
        <v>1</v>
      </c>
      <c r="G182" s="252">
        <f>IF(C182="","",COUNTIFS(Başvuru!$C:$C,C182,Başvuru!$G:$G,"Uzmanlık Tezi",Başvuru!$F:$F,"&lt;&gt;"&amp;""))</f>
        <v>0</v>
      </c>
      <c r="H182" s="252">
        <f>IF(C182="","",COUNTIFS(Başvuru!$C:$C,C182,Başvuru!$G:$G,"Doktora Tezi",Başvuru!$F:$F,"&lt;&gt;"&amp;""))</f>
        <v>0</v>
      </c>
      <c r="I182" s="252">
        <f>IF(C182="","",COUNTIFS(Başvuru!$C:$C,C182,Başvuru!$G:$G,"Yüksek Lisans Tezi",Başvuru!$F:$F,"&lt;&gt;"&amp;""))</f>
        <v>0</v>
      </c>
      <c r="J182" s="253">
        <f>IF(C182="","",COUNTIFS(Başvuru!$C:$C,C182,Başvuru!$L:$L,"ONAY",Başvuru!$F:$F,"&lt;&gt;"&amp;""))</f>
        <v>0</v>
      </c>
      <c r="K182" s="254">
        <f>IF(C182="","",COUNTIFS(Başvuru!$C:$C,C182,Başvuru!$L:$L,"DÜZELTME",Başvuru!$F:$F,"&lt;&gt;"&amp;""))</f>
        <v>1</v>
      </c>
      <c r="L182" s="255">
        <f>IF(C182="","",COUNTIFS(Başvuru!$C:$C,C182,Başvuru!$L:$L,"KAEK",Başvuru!$F:$F,"&lt;&gt;"&amp;""))</f>
        <v>0</v>
      </c>
      <c r="M182" s="256">
        <f>IF(C182="","",COUNTIFS(Başvuru!$C:$C,C182,Başvuru!$L:$L,"GÖRÜŞ",Başvuru!$F:$F,"&lt;&gt;"&amp;""))</f>
        <v>0</v>
      </c>
      <c r="N182" s="257">
        <f>IF(C182="","",COUNTIFS(Başvuru!$C:$C,C182,Başvuru!$L:$L,"RET",Başvuru!$F:$F,"&lt;&gt;"&amp;""))</f>
        <v>0</v>
      </c>
      <c r="O182" s="258">
        <f>IF(C182="","",COUNTIFS(Başvuru!$C:$C,C182,Başvuru!$L:$L,"KAPSAM DIŞI",Başvuru!$F:$F,"&lt;&gt;"&amp;""))</f>
        <v>0</v>
      </c>
      <c r="P182" s="259">
        <f>IF(C182="","",COUNTIFS(Başvuru!$C:$C,C182,Başvuru!$L:$L,"GERİ ÇEKİLDİ",Başvuru!$F:$F,"&lt;&gt;"&amp;""))</f>
        <v>0</v>
      </c>
      <c r="Q182" s="260" t="s">
        <v>70</v>
      </c>
      <c r="R182" s="261">
        <f>COUNTIFS(Başvuru!$C:$C,Q182,Başvuru!$F:$F,"&lt;&gt;"&amp;"")</f>
        <v>1</v>
      </c>
      <c r="S182" s="261">
        <f>RANK(R182,$R$6:$R$290,0)+COUNTIF($R$6:R182,R182)-1</f>
        <v>223</v>
      </c>
    </row>
    <row r="183" spans="2:19" ht="15" customHeight="1" x14ac:dyDescent="0.25">
      <c r="B183" s="262">
        <v>178</v>
      </c>
      <c r="C183" s="263" t="str">
        <f>IFERROR(INDEX($Q$6:$Q$290,MATCH(178,$S$6:$S$290,0)),"")</f>
        <v>Dr. Öğr. Üyesi Burçe ATAÇ MOGOL</v>
      </c>
      <c r="D183" s="264">
        <f>IF(C183="","",COUNTIFS(Başvuru!$C:$C,C183,Başvuru!$F:$F,"&lt;&gt;"&amp;""))</f>
        <v>1</v>
      </c>
      <c r="E183" s="262" t="str">
        <f>IF(D183&gt;0,TEXT(D183/COUNTIF(Başvuru!$F:$F,"&lt;&gt;"&amp;"")*100,"0.0")&amp;"%","-")</f>
        <v>00%</v>
      </c>
      <c r="F183" s="265">
        <f>IF(C183="","",COUNTIFS(Başvuru!$C:$C,C183,Başvuru!$G:$G,"Bireysel Araştırma",Başvuru!$F:$F,"&lt;&gt;"&amp;""))</f>
        <v>0</v>
      </c>
      <c r="G183" s="265">
        <f>IF(C183="","",COUNTIFS(Başvuru!$C:$C,C183,Başvuru!$G:$G,"Uzmanlık Tezi",Başvuru!$F:$F,"&lt;&gt;"&amp;""))</f>
        <v>0</v>
      </c>
      <c r="H183" s="265">
        <f>IF(C183="","",COUNTIFS(Başvuru!$C:$C,C183,Başvuru!$G:$G,"Doktora Tezi",Başvuru!$F:$F,"&lt;&gt;"&amp;""))</f>
        <v>0</v>
      </c>
      <c r="I183" s="265">
        <f>IF(C183="","",COUNTIFS(Başvuru!$C:$C,C183,Başvuru!$G:$G,"Yüksek Lisans Tezi",Başvuru!$F:$F,"&lt;&gt;"&amp;""))</f>
        <v>1</v>
      </c>
      <c r="J183" s="266">
        <f>IF(C183="","",COUNTIFS(Başvuru!$C:$C,C183,Başvuru!$L:$L,"ONAY",Başvuru!$F:$F,"&lt;&gt;"&amp;""))</f>
        <v>0</v>
      </c>
      <c r="K183" s="267">
        <f>IF(C183="","",COUNTIFS(Başvuru!$C:$C,C183,Başvuru!$L:$L,"DÜZELTME",Başvuru!$F:$F,"&lt;&gt;"&amp;""))</f>
        <v>1</v>
      </c>
      <c r="L183" s="268">
        <f>IF(C183="","",COUNTIFS(Başvuru!$C:$C,C183,Başvuru!$L:$L,"KAEK",Başvuru!$F:$F,"&lt;&gt;"&amp;""))</f>
        <v>0</v>
      </c>
      <c r="M183" s="269">
        <f>IF(C183="","",COUNTIFS(Başvuru!$C:$C,C183,Başvuru!$L:$L,"GÖRÜŞ",Başvuru!$F:$F,"&lt;&gt;"&amp;""))</f>
        <v>0</v>
      </c>
      <c r="N183" s="270">
        <f>IF(C183="","",COUNTIFS(Başvuru!$C:$C,C183,Başvuru!$L:$L,"RET",Başvuru!$F:$F,"&lt;&gt;"&amp;""))</f>
        <v>0</v>
      </c>
      <c r="O183" s="271">
        <f>IF(C183="","",COUNTIFS(Başvuru!$C:$C,C183,Başvuru!$L:$L,"KAPSAM DIŞI",Başvuru!$F:$F,"&lt;&gt;"&amp;""))</f>
        <v>0</v>
      </c>
      <c r="P183" s="272">
        <f>IF(C183="","",COUNTIFS(Başvuru!$C:$C,C183,Başvuru!$L:$L,"GERİ ÇEKİLDİ",Başvuru!$F:$F,"&lt;&gt;"&amp;""))</f>
        <v>0</v>
      </c>
      <c r="Q183" s="260" t="s">
        <v>1225</v>
      </c>
      <c r="R183" s="261">
        <f>COUNTIFS(Başvuru!$C:$C,Q183,Başvuru!$F:$F,"&lt;&gt;"&amp;"")</f>
        <v>3</v>
      </c>
      <c r="S183" s="261">
        <f>RANK(R183,$R$6:$R$290,0)+COUNTIF($R$6:R183,R183)-1</f>
        <v>51</v>
      </c>
    </row>
    <row r="184" spans="2:19" ht="15" customHeight="1" x14ac:dyDescent="0.25">
      <c r="B184" s="249">
        <v>179</v>
      </c>
      <c r="C184" s="250" t="str">
        <f>IFERROR(INDEX($Q$6:$Q$290,MATCH(179,$S$6:$S$290,0)),"")</f>
        <v>Dr. Öğr. Üyesi Cenk Ahmet AKCAN</v>
      </c>
      <c r="D184" s="251">
        <f>IF(C184="","",COUNTIFS(Başvuru!$C:$C,C184,Başvuru!$F:$F,"&lt;&gt;"&amp;""))</f>
        <v>1</v>
      </c>
      <c r="E184" s="249" t="str">
        <f>IF(D184&gt;0,TEXT(D184/COUNTIF(Başvuru!$F:$F,"&lt;&gt;"&amp;"")*100,"0.0")&amp;"%","-")</f>
        <v>00%</v>
      </c>
      <c r="F184" s="252">
        <f>IF(C184="","",COUNTIFS(Başvuru!$C:$C,C184,Başvuru!$G:$G,"Bireysel Araştırma",Başvuru!$F:$F,"&lt;&gt;"&amp;""))</f>
        <v>1</v>
      </c>
      <c r="G184" s="252">
        <f>IF(C184="","",COUNTIFS(Başvuru!$C:$C,C184,Başvuru!$G:$G,"Uzmanlık Tezi",Başvuru!$F:$F,"&lt;&gt;"&amp;""))</f>
        <v>0</v>
      </c>
      <c r="H184" s="252">
        <f>IF(C184="","",COUNTIFS(Başvuru!$C:$C,C184,Başvuru!$G:$G,"Doktora Tezi",Başvuru!$F:$F,"&lt;&gt;"&amp;""))</f>
        <v>0</v>
      </c>
      <c r="I184" s="252">
        <f>IF(C184="","",COUNTIFS(Başvuru!$C:$C,C184,Başvuru!$G:$G,"Yüksek Lisans Tezi",Başvuru!$F:$F,"&lt;&gt;"&amp;""))</f>
        <v>0</v>
      </c>
      <c r="J184" s="253">
        <f>IF(C184="","",COUNTIFS(Başvuru!$C:$C,C184,Başvuru!$L:$L,"ONAY",Başvuru!$F:$F,"&lt;&gt;"&amp;""))</f>
        <v>0</v>
      </c>
      <c r="K184" s="254">
        <f>IF(C184="","",COUNTIFS(Başvuru!$C:$C,C184,Başvuru!$L:$L,"DÜZELTME",Başvuru!$F:$F,"&lt;&gt;"&amp;""))</f>
        <v>0</v>
      </c>
      <c r="L184" s="255">
        <f>IF(C184="","",COUNTIFS(Başvuru!$C:$C,C184,Başvuru!$L:$L,"KAEK",Başvuru!$F:$F,"&lt;&gt;"&amp;""))</f>
        <v>0</v>
      </c>
      <c r="M184" s="256">
        <f>IF(C184="","",COUNTIFS(Başvuru!$C:$C,C184,Başvuru!$L:$L,"GÖRÜŞ",Başvuru!$F:$F,"&lt;&gt;"&amp;""))</f>
        <v>0</v>
      </c>
      <c r="N184" s="257">
        <f>IF(C184="","",COUNTIFS(Başvuru!$C:$C,C184,Başvuru!$L:$L,"RET",Başvuru!$F:$F,"&lt;&gt;"&amp;""))</f>
        <v>0</v>
      </c>
      <c r="O184" s="258">
        <f>IF(C184="","",COUNTIFS(Başvuru!$C:$C,C184,Başvuru!$L:$L,"KAPSAM DIŞI",Başvuru!$F:$F,"&lt;&gt;"&amp;""))</f>
        <v>0</v>
      </c>
      <c r="P184" s="259">
        <f>IF(C184="","",COUNTIFS(Başvuru!$C:$C,C184,Başvuru!$L:$L,"GERİ ÇEKİLDİ",Başvuru!$F:$F,"&lt;&gt;"&amp;""))</f>
        <v>0</v>
      </c>
      <c r="Q184" s="260" t="s">
        <v>452</v>
      </c>
      <c r="R184" s="261">
        <f>COUNTIFS(Başvuru!$C:$C,Q184,Başvuru!$F:$F,"&lt;&gt;"&amp;"")</f>
        <v>4</v>
      </c>
      <c r="S184" s="261">
        <f>RANK(R184,$R$6:$R$290,0)+COUNTIF($R$6:R184,R184)-1</f>
        <v>33</v>
      </c>
    </row>
    <row r="185" spans="2:19" ht="15" customHeight="1" x14ac:dyDescent="0.25">
      <c r="B185" s="262">
        <v>180</v>
      </c>
      <c r="C185" s="263" t="str">
        <f>IFERROR(INDEX($Q$6:$Q$290,MATCH(180,$S$6:$S$290,0)),"")</f>
        <v>Dr. Öğr. Üyesi Emre MUTLU</v>
      </c>
      <c r="D185" s="264">
        <f>IF(C185="","",COUNTIFS(Başvuru!$C:$C,C185,Başvuru!$F:$F,"&lt;&gt;"&amp;""))</f>
        <v>1</v>
      </c>
      <c r="E185" s="262" t="str">
        <f>IF(D185&gt;0,TEXT(D185/COUNTIF(Başvuru!$F:$F,"&lt;&gt;"&amp;"")*100,"0.0")&amp;"%","-")</f>
        <v>00%</v>
      </c>
      <c r="F185" s="265">
        <f>IF(C185="","",COUNTIFS(Başvuru!$C:$C,C185,Başvuru!$G:$G,"Bireysel Araştırma",Başvuru!$F:$F,"&lt;&gt;"&amp;""))</f>
        <v>1</v>
      </c>
      <c r="G185" s="265">
        <f>IF(C185="","",COUNTIFS(Başvuru!$C:$C,C185,Başvuru!$G:$G,"Uzmanlık Tezi",Başvuru!$F:$F,"&lt;&gt;"&amp;""))</f>
        <v>0</v>
      </c>
      <c r="H185" s="265">
        <f>IF(C185="","",COUNTIFS(Başvuru!$C:$C,C185,Başvuru!$G:$G,"Doktora Tezi",Başvuru!$F:$F,"&lt;&gt;"&amp;""))</f>
        <v>0</v>
      </c>
      <c r="I185" s="265">
        <f>IF(C185="","",COUNTIFS(Başvuru!$C:$C,C185,Başvuru!$G:$G,"Yüksek Lisans Tezi",Başvuru!$F:$F,"&lt;&gt;"&amp;""))</f>
        <v>0</v>
      </c>
      <c r="J185" s="266">
        <f>IF(C185="","",COUNTIFS(Başvuru!$C:$C,C185,Başvuru!$L:$L,"ONAY",Başvuru!$F:$F,"&lt;&gt;"&amp;""))</f>
        <v>1</v>
      </c>
      <c r="K185" s="267">
        <f>IF(C185="","",COUNTIFS(Başvuru!$C:$C,C185,Başvuru!$L:$L,"DÜZELTME",Başvuru!$F:$F,"&lt;&gt;"&amp;""))</f>
        <v>0</v>
      </c>
      <c r="L185" s="268">
        <f>IF(C185="","",COUNTIFS(Başvuru!$C:$C,C185,Başvuru!$L:$L,"KAEK",Başvuru!$F:$F,"&lt;&gt;"&amp;""))</f>
        <v>0</v>
      </c>
      <c r="M185" s="269">
        <f>IF(C185="","",COUNTIFS(Başvuru!$C:$C,C185,Başvuru!$L:$L,"GÖRÜŞ",Başvuru!$F:$F,"&lt;&gt;"&amp;""))</f>
        <v>0</v>
      </c>
      <c r="N185" s="270">
        <f>IF(C185="","",COUNTIFS(Başvuru!$C:$C,C185,Başvuru!$L:$L,"RET",Başvuru!$F:$F,"&lt;&gt;"&amp;""))</f>
        <v>0</v>
      </c>
      <c r="O185" s="271">
        <f>IF(C185="","",COUNTIFS(Başvuru!$C:$C,C185,Başvuru!$L:$L,"KAPSAM DIŞI",Başvuru!$F:$F,"&lt;&gt;"&amp;""))</f>
        <v>0</v>
      </c>
      <c r="P185" s="272">
        <f>IF(C185="","",COUNTIFS(Başvuru!$C:$C,C185,Başvuru!$L:$L,"GERİ ÇEKİLDİ",Başvuru!$F:$F,"&lt;&gt;"&amp;""))</f>
        <v>0</v>
      </c>
      <c r="Q185" s="260" t="s">
        <v>1481</v>
      </c>
      <c r="R185" s="261">
        <f>COUNTIFS(Başvuru!$C:$C,Q185,Başvuru!$F:$F,"&lt;&gt;"&amp;"")</f>
        <v>1</v>
      </c>
      <c r="S185" s="261">
        <f>RANK(R185,$R$6:$R$290,0)+COUNTIF($R$6:R185,R185)-1</f>
        <v>224</v>
      </c>
    </row>
    <row r="186" spans="2:19" ht="15" customHeight="1" x14ac:dyDescent="0.25">
      <c r="B186" s="249">
        <v>181</v>
      </c>
      <c r="C186" s="250" t="str">
        <f>IFERROR(INDEX($Q$6:$Q$290,MATCH(181,$S$6:$S$290,0)),"")</f>
        <v>Dr. Öğr. Üyesi Ergin EROĞLU</v>
      </c>
      <c r="D186" s="251">
        <f>IF(C186="","",COUNTIFS(Başvuru!$C:$C,C186,Başvuru!$F:$F,"&lt;&gt;"&amp;""))</f>
        <v>1</v>
      </c>
      <c r="E186" s="249" t="str">
        <f>IF(D186&gt;0,TEXT(D186/COUNTIF(Başvuru!$F:$F,"&lt;&gt;"&amp;"")*100,"0.0")&amp;"%","-")</f>
        <v>00%</v>
      </c>
      <c r="F186" s="252">
        <f>IF(C186="","",COUNTIFS(Başvuru!$C:$C,C186,Başvuru!$G:$G,"Bireysel Araştırma",Başvuru!$F:$F,"&lt;&gt;"&amp;""))</f>
        <v>1</v>
      </c>
      <c r="G186" s="252">
        <f>IF(C186="","",COUNTIFS(Başvuru!$C:$C,C186,Başvuru!$G:$G,"Uzmanlık Tezi",Başvuru!$F:$F,"&lt;&gt;"&amp;""))</f>
        <v>0</v>
      </c>
      <c r="H186" s="252">
        <f>IF(C186="","",COUNTIFS(Başvuru!$C:$C,C186,Başvuru!$G:$G,"Doktora Tezi",Başvuru!$F:$F,"&lt;&gt;"&amp;""))</f>
        <v>0</v>
      </c>
      <c r="I186" s="252">
        <f>IF(C186="","",COUNTIFS(Başvuru!$C:$C,C186,Başvuru!$G:$G,"Yüksek Lisans Tezi",Başvuru!$F:$F,"&lt;&gt;"&amp;""))</f>
        <v>0</v>
      </c>
      <c r="J186" s="253">
        <f>IF(C186="","",COUNTIFS(Başvuru!$C:$C,C186,Başvuru!$L:$L,"ONAY",Başvuru!$F:$F,"&lt;&gt;"&amp;""))</f>
        <v>1</v>
      </c>
      <c r="K186" s="254">
        <f>IF(C186="","",COUNTIFS(Başvuru!$C:$C,C186,Başvuru!$L:$L,"DÜZELTME",Başvuru!$F:$F,"&lt;&gt;"&amp;""))</f>
        <v>0</v>
      </c>
      <c r="L186" s="255">
        <f>IF(C186="","",COUNTIFS(Başvuru!$C:$C,C186,Başvuru!$L:$L,"KAEK",Başvuru!$F:$F,"&lt;&gt;"&amp;""))</f>
        <v>0</v>
      </c>
      <c r="M186" s="256">
        <f>IF(C186="","",COUNTIFS(Başvuru!$C:$C,C186,Başvuru!$L:$L,"GÖRÜŞ",Başvuru!$F:$F,"&lt;&gt;"&amp;""))</f>
        <v>0</v>
      </c>
      <c r="N186" s="257">
        <f>IF(C186="","",COUNTIFS(Başvuru!$C:$C,C186,Başvuru!$L:$L,"RET",Başvuru!$F:$F,"&lt;&gt;"&amp;""))</f>
        <v>0</v>
      </c>
      <c r="O186" s="258">
        <f>IF(C186="","",COUNTIFS(Başvuru!$C:$C,C186,Başvuru!$L:$L,"KAPSAM DIŞI",Başvuru!$F:$F,"&lt;&gt;"&amp;""))</f>
        <v>0</v>
      </c>
      <c r="P186" s="259">
        <f>IF(C186="","",COUNTIFS(Başvuru!$C:$C,C186,Başvuru!$L:$L,"GERİ ÇEKİLDİ",Başvuru!$F:$F,"&lt;&gt;"&amp;""))</f>
        <v>0</v>
      </c>
      <c r="Q186" s="260" t="s">
        <v>1577</v>
      </c>
      <c r="R186" s="261">
        <f>COUNTIFS(Başvuru!$C:$C,Q186,Başvuru!$F:$F,"&lt;&gt;"&amp;"")</f>
        <v>1</v>
      </c>
      <c r="S186" s="261">
        <f>RANK(R186,$R$6:$R$290,0)+COUNTIF($R$6:R186,R186)-1</f>
        <v>225</v>
      </c>
    </row>
    <row r="187" spans="2:19" ht="15" customHeight="1" x14ac:dyDescent="0.25">
      <c r="B187" s="262">
        <v>182</v>
      </c>
      <c r="C187" s="263" t="str">
        <f>IFERROR(INDEX($Q$6:$Q$290,MATCH(182,$S$6:$S$290,0)),"")</f>
        <v>Dr. Öğr. Üyesi Evrim ÜNVER</v>
      </c>
      <c r="D187" s="264">
        <f>IF(C187="","",COUNTIFS(Başvuru!$C:$C,C187,Başvuru!$F:$F,"&lt;&gt;"&amp;""))</f>
        <v>1</v>
      </c>
      <c r="E187" s="262" t="str">
        <f>IF(D187&gt;0,TEXT(D187/COUNTIF(Başvuru!$F:$F,"&lt;&gt;"&amp;"")*100,"0.0")&amp;"%","-")</f>
        <v>00%</v>
      </c>
      <c r="F187" s="265">
        <f>IF(C187="","",COUNTIFS(Başvuru!$C:$C,C187,Başvuru!$G:$G,"Bireysel Araştırma",Başvuru!$F:$F,"&lt;&gt;"&amp;""))</f>
        <v>1</v>
      </c>
      <c r="G187" s="265">
        <f>IF(C187="","",COUNTIFS(Başvuru!$C:$C,C187,Başvuru!$G:$G,"Uzmanlık Tezi",Başvuru!$F:$F,"&lt;&gt;"&amp;""))</f>
        <v>0</v>
      </c>
      <c r="H187" s="265">
        <f>IF(C187="","",COUNTIFS(Başvuru!$C:$C,C187,Başvuru!$G:$G,"Doktora Tezi",Başvuru!$F:$F,"&lt;&gt;"&amp;""))</f>
        <v>0</v>
      </c>
      <c r="I187" s="265">
        <f>IF(C187="","",COUNTIFS(Başvuru!$C:$C,C187,Başvuru!$G:$G,"Yüksek Lisans Tezi",Başvuru!$F:$F,"&lt;&gt;"&amp;""))</f>
        <v>0</v>
      </c>
      <c r="J187" s="266">
        <f>IF(C187="","",COUNTIFS(Başvuru!$C:$C,C187,Başvuru!$L:$L,"ONAY",Başvuru!$F:$F,"&lt;&gt;"&amp;""))</f>
        <v>1</v>
      </c>
      <c r="K187" s="267">
        <f>IF(C187="","",COUNTIFS(Başvuru!$C:$C,C187,Başvuru!$L:$L,"DÜZELTME",Başvuru!$F:$F,"&lt;&gt;"&amp;""))</f>
        <v>0</v>
      </c>
      <c r="L187" s="268">
        <f>IF(C187="","",COUNTIFS(Başvuru!$C:$C,C187,Başvuru!$L:$L,"KAEK",Başvuru!$F:$F,"&lt;&gt;"&amp;""))</f>
        <v>0</v>
      </c>
      <c r="M187" s="269">
        <f>IF(C187="","",COUNTIFS(Başvuru!$C:$C,C187,Başvuru!$L:$L,"GÖRÜŞ",Başvuru!$F:$F,"&lt;&gt;"&amp;""))</f>
        <v>0</v>
      </c>
      <c r="N187" s="270">
        <f>IF(C187="","",COUNTIFS(Başvuru!$C:$C,C187,Başvuru!$L:$L,"RET",Başvuru!$F:$F,"&lt;&gt;"&amp;""))</f>
        <v>0</v>
      </c>
      <c r="O187" s="271">
        <f>IF(C187="","",COUNTIFS(Başvuru!$C:$C,C187,Başvuru!$L:$L,"KAPSAM DIŞI",Başvuru!$F:$F,"&lt;&gt;"&amp;""))</f>
        <v>0</v>
      </c>
      <c r="P187" s="272">
        <f>IF(C187="","",COUNTIFS(Başvuru!$C:$C,C187,Başvuru!$L:$L,"GERİ ÇEKİLDİ",Başvuru!$F:$F,"&lt;&gt;"&amp;""))</f>
        <v>0</v>
      </c>
      <c r="Q187" s="260" t="s">
        <v>2286</v>
      </c>
      <c r="R187" s="261">
        <f>COUNTIFS(Başvuru!$C:$C,Q187,Başvuru!$F:$F,"&lt;&gt;"&amp;"")</f>
        <v>2</v>
      </c>
      <c r="S187" s="261">
        <f>RANK(R187,$R$6:$R$290,0)+COUNTIF($R$6:R187,R187)-1</f>
        <v>97</v>
      </c>
    </row>
    <row r="188" spans="2:19" ht="15" customHeight="1" x14ac:dyDescent="0.25">
      <c r="B188" s="249">
        <v>183</v>
      </c>
      <c r="C188" s="250" t="str">
        <f>IFERROR(INDEX($Q$6:$Q$290,MATCH(183,$S$6:$S$290,0)),"")</f>
        <v>Dr. Öğr. Üyesi Ezgi DOĞAN CÖMERT</v>
      </c>
      <c r="D188" s="251">
        <f>IF(C188="","",COUNTIFS(Başvuru!$C:$C,C188,Başvuru!$F:$F,"&lt;&gt;"&amp;""))</f>
        <v>1</v>
      </c>
      <c r="E188" s="249" t="str">
        <f>IF(D188&gt;0,TEXT(D188/COUNTIF(Başvuru!$F:$F,"&lt;&gt;"&amp;"")*100,"0.0")&amp;"%","-")</f>
        <v>00%</v>
      </c>
      <c r="F188" s="252">
        <f>IF(C188="","",COUNTIFS(Başvuru!$C:$C,C188,Başvuru!$G:$G,"Bireysel Araştırma",Başvuru!$F:$F,"&lt;&gt;"&amp;""))</f>
        <v>1</v>
      </c>
      <c r="G188" s="252">
        <f>IF(C188="","",COUNTIFS(Başvuru!$C:$C,C188,Başvuru!$G:$G,"Uzmanlık Tezi",Başvuru!$F:$F,"&lt;&gt;"&amp;""))</f>
        <v>0</v>
      </c>
      <c r="H188" s="252">
        <f>IF(C188="","",COUNTIFS(Başvuru!$C:$C,C188,Başvuru!$G:$G,"Doktora Tezi",Başvuru!$F:$F,"&lt;&gt;"&amp;""))</f>
        <v>0</v>
      </c>
      <c r="I188" s="252">
        <f>IF(C188="","",COUNTIFS(Başvuru!$C:$C,C188,Başvuru!$G:$G,"Yüksek Lisans Tezi",Başvuru!$F:$F,"&lt;&gt;"&amp;""))</f>
        <v>0</v>
      </c>
      <c r="J188" s="253">
        <f>IF(C188="","",COUNTIFS(Başvuru!$C:$C,C188,Başvuru!$L:$L,"ONAY",Başvuru!$F:$F,"&lt;&gt;"&amp;""))</f>
        <v>1</v>
      </c>
      <c r="K188" s="254">
        <f>IF(C188="","",COUNTIFS(Başvuru!$C:$C,C188,Başvuru!$L:$L,"DÜZELTME",Başvuru!$F:$F,"&lt;&gt;"&amp;""))</f>
        <v>0</v>
      </c>
      <c r="L188" s="255">
        <f>IF(C188="","",COUNTIFS(Başvuru!$C:$C,C188,Başvuru!$L:$L,"KAEK",Başvuru!$F:$F,"&lt;&gt;"&amp;""))</f>
        <v>0</v>
      </c>
      <c r="M188" s="256">
        <f>IF(C188="","",COUNTIFS(Başvuru!$C:$C,C188,Başvuru!$L:$L,"GÖRÜŞ",Başvuru!$F:$F,"&lt;&gt;"&amp;""))</f>
        <v>0</v>
      </c>
      <c r="N188" s="257">
        <f>IF(C188="","",COUNTIFS(Başvuru!$C:$C,C188,Başvuru!$L:$L,"RET",Başvuru!$F:$F,"&lt;&gt;"&amp;""))</f>
        <v>0</v>
      </c>
      <c r="O188" s="258">
        <f>IF(C188="","",COUNTIFS(Başvuru!$C:$C,C188,Başvuru!$L:$L,"KAPSAM DIŞI",Başvuru!$F:$F,"&lt;&gt;"&amp;""))</f>
        <v>0</v>
      </c>
      <c r="P188" s="259">
        <f>IF(C188="","",COUNTIFS(Başvuru!$C:$C,C188,Başvuru!$L:$L,"GERİ ÇEKİLDİ",Başvuru!$F:$F,"&lt;&gt;"&amp;""))</f>
        <v>0</v>
      </c>
      <c r="Q188" s="260" t="s">
        <v>1862</v>
      </c>
      <c r="R188" s="261">
        <f>COUNTIFS(Başvuru!$C:$C,Q188,Başvuru!$F:$F,"&lt;&gt;"&amp;"")</f>
        <v>1</v>
      </c>
      <c r="S188" s="261">
        <f>RANK(R188,$R$6:$R$290,0)+COUNTIF($R$6:R188,R188)-1</f>
        <v>226</v>
      </c>
    </row>
    <row r="189" spans="2:19" ht="15" customHeight="1" x14ac:dyDescent="0.25">
      <c r="B189" s="262">
        <v>184</v>
      </c>
      <c r="C189" s="263" t="str">
        <f>IFERROR(INDEX($Q$6:$Q$290,MATCH(184,$S$6:$S$290,0)),"")</f>
        <v>Dr. Öğr. Üyesi Gökçen AKÇİÇEK</v>
      </c>
      <c r="D189" s="264">
        <f>IF(C189="","",COUNTIFS(Başvuru!$C:$C,C189,Başvuru!$F:$F,"&lt;&gt;"&amp;""))</f>
        <v>1</v>
      </c>
      <c r="E189" s="262" t="str">
        <f>IF(D189&gt;0,TEXT(D189/COUNTIF(Başvuru!$F:$F,"&lt;&gt;"&amp;"")*100,"0.0")&amp;"%","-")</f>
        <v>00%</v>
      </c>
      <c r="F189" s="265">
        <f>IF(C189="","",COUNTIFS(Başvuru!$C:$C,C189,Başvuru!$G:$G,"Bireysel Araştırma",Başvuru!$F:$F,"&lt;&gt;"&amp;""))</f>
        <v>0</v>
      </c>
      <c r="G189" s="265">
        <f>IF(C189="","",COUNTIFS(Başvuru!$C:$C,C189,Başvuru!$G:$G,"Uzmanlık Tezi",Başvuru!$F:$F,"&lt;&gt;"&amp;""))</f>
        <v>1</v>
      </c>
      <c r="H189" s="265">
        <f>IF(C189="","",COUNTIFS(Başvuru!$C:$C,C189,Başvuru!$G:$G,"Doktora Tezi",Başvuru!$F:$F,"&lt;&gt;"&amp;""))</f>
        <v>0</v>
      </c>
      <c r="I189" s="265">
        <f>IF(C189="","",COUNTIFS(Başvuru!$C:$C,C189,Başvuru!$G:$G,"Yüksek Lisans Tezi",Başvuru!$F:$F,"&lt;&gt;"&amp;""))</f>
        <v>0</v>
      </c>
      <c r="J189" s="266">
        <f>IF(C189="","",COUNTIFS(Başvuru!$C:$C,C189,Başvuru!$L:$L,"ONAY",Başvuru!$F:$F,"&lt;&gt;"&amp;""))</f>
        <v>1</v>
      </c>
      <c r="K189" s="267">
        <f>IF(C189="","",COUNTIFS(Başvuru!$C:$C,C189,Başvuru!$L:$L,"DÜZELTME",Başvuru!$F:$F,"&lt;&gt;"&amp;""))</f>
        <v>0</v>
      </c>
      <c r="L189" s="268">
        <f>IF(C189="","",COUNTIFS(Başvuru!$C:$C,C189,Başvuru!$L:$L,"KAEK",Başvuru!$F:$F,"&lt;&gt;"&amp;""))</f>
        <v>0</v>
      </c>
      <c r="M189" s="269">
        <f>IF(C189="","",COUNTIFS(Başvuru!$C:$C,C189,Başvuru!$L:$L,"GÖRÜŞ",Başvuru!$F:$F,"&lt;&gt;"&amp;""))</f>
        <v>0</v>
      </c>
      <c r="N189" s="270">
        <f>IF(C189="","",COUNTIFS(Başvuru!$C:$C,C189,Başvuru!$L:$L,"RET",Başvuru!$F:$F,"&lt;&gt;"&amp;""))</f>
        <v>0</v>
      </c>
      <c r="O189" s="271">
        <f>IF(C189="","",COUNTIFS(Başvuru!$C:$C,C189,Başvuru!$L:$L,"KAPSAM DIŞI",Başvuru!$F:$F,"&lt;&gt;"&amp;""))</f>
        <v>0</v>
      </c>
      <c r="P189" s="272">
        <f>IF(C189="","",COUNTIFS(Başvuru!$C:$C,C189,Başvuru!$L:$L,"GERİ ÇEKİLDİ",Başvuru!$F:$F,"&lt;&gt;"&amp;""))</f>
        <v>0</v>
      </c>
      <c r="Q189" s="260" t="s">
        <v>179</v>
      </c>
      <c r="R189" s="261">
        <f>COUNTIFS(Başvuru!$C:$C,Q189,Başvuru!$F:$F,"&lt;&gt;"&amp;"")</f>
        <v>4</v>
      </c>
      <c r="S189" s="261">
        <f>RANK(R189,$R$6:$R$290,0)+COUNTIF($R$6:R189,R189)-1</f>
        <v>34</v>
      </c>
    </row>
    <row r="190" spans="2:19" ht="15" customHeight="1" x14ac:dyDescent="0.25">
      <c r="B190" s="249">
        <v>185</v>
      </c>
      <c r="C190" s="250" t="str">
        <f>IFERROR(INDEX($Q$6:$Q$290,MATCH(185,$S$6:$S$290,0)),"")</f>
        <v>Dr. Öğr. Üyesi Gözde ÖZER</v>
      </c>
      <c r="D190" s="251">
        <f>IF(C190="","",COUNTIFS(Başvuru!$C:$C,C190,Başvuru!$F:$F,"&lt;&gt;"&amp;""))</f>
        <v>1</v>
      </c>
      <c r="E190" s="249" t="str">
        <f>IF(D190&gt;0,TEXT(D190/COUNTIF(Başvuru!$F:$F,"&lt;&gt;"&amp;"")*100,"0.0")&amp;"%","-")</f>
        <v>00%</v>
      </c>
      <c r="F190" s="252">
        <f>IF(C190="","",COUNTIFS(Başvuru!$C:$C,C190,Başvuru!$G:$G,"Bireysel Araştırma",Başvuru!$F:$F,"&lt;&gt;"&amp;""))</f>
        <v>1</v>
      </c>
      <c r="G190" s="252">
        <f>IF(C190="","",COUNTIFS(Başvuru!$C:$C,C190,Başvuru!$G:$G,"Uzmanlık Tezi",Başvuru!$F:$F,"&lt;&gt;"&amp;""))</f>
        <v>0</v>
      </c>
      <c r="H190" s="252">
        <f>IF(C190="","",COUNTIFS(Başvuru!$C:$C,C190,Başvuru!$G:$G,"Doktora Tezi",Başvuru!$F:$F,"&lt;&gt;"&amp;""))</f>
        <v>0</v>
      </c>
      <c r="I190" s="252">
        <f>IF(C190="","",COUNTIFS(Başvuru!$C:$C,C190,Başvuru!$G:$G,"Yüksek Lisans Tezi",Başvuru!$F:$F,"&lt;&gt;"&amp;""))</f>
        <v>0</v>
      </c>
      <c r="J190" s="253">
        <f>IF(C190="","",COUNTIFS(Başvuru!$C:$C,C190,Başvuru!$L:$L,"ONAY",Başvuru!$F:$F,"&lt;&gt;"&amp;""))</f>
        <v>1</v>
      </c>
      <c r="K190" s="254">
        <f>IF(C190="","",COUNTIFS(Başvuru!$C:$C,C190,Başvuru!$L:$L,"DÜZELTME",Başvuru!$F:$F,"&lt;&gt;"&amp;""))</f>
        <v>0</v>
      </c>
      <c r="L190" s="255">
        <f>IF(C190="","",COUNTIFS(Başvuru!$C:$C,C190,Başvuru!$L:$L,"KAEK",Başvuru!$F:$F,"&lt;&gt;"&amp;""))</f>
        <v>0</v>
      </c>
      <c r="M190" s="256">
        <f>IF(C190="","",COUNTIFS(Başvuru!$C:$C,C190,Başvuru!$L:$L,"GÖRÜŞ",Başvuru!$F:$F,"&lt;&gt;"&amp;""))</f>
        <v>0</v>
      </c>
      <c r="N190" s="257">
        <f>IF(C190="","",COUNTIFS(Başvuru!$C:$C,C190,Başvuru!$L:$L,"RET",Başvuru!$F:$F,"&lt;&gt;"&amp;""))</f>
        <v>0</v>
      </c>
      <c r="O190" s="258">
        <f>IF(C190="","",COUNTIFS(Başvuru!$C:$C,C190,Başvuru!$L:$L,"KAPSAM DIŞI",Başvuru!$F:$F,"&lt;&gt;"&amp;""))</f>
        <v>0</v>
      </c>
      <c r="P190" s="259">
        <f>IF(C190="","",COUNTIFS(Başvuru!$C:$C,C190,Başvuru!$L:$L,"GERİ ÇEKİLDİ",Başvuru!$F:$F,"&lt;&gt;"&amp;""))</f>
        <v>0</v>
      </c>
      <c r="Q190" s="260" t="s">
        <v>2376</v>
      </c>
      <c r="R190" s="261">
        <f>COUNTIFS(Başvuru!$C:$C,Q190,Başvuru!$F:$F,"&lt;&gt;"&amp;"")</f>
        <v>1</v>
      </c>
      <c r="S190" s="261">
        <f>RANK(R190,$R$6:$R$290,0)+COUNTIF($R$6:R190,R190)-1</f>
        <v>227</v>
      </c>
    </row>
    <row r="191" spans="2:19" ht="15" customHeight="1" x14ac:dyDescent="0.25">
      <c r="B191" s="262">
        <v>186</v>
      </c>
      <c r="C191" s="263" t="str">
        <f>IFERROR(INDEX($Q$6:$Q$290,MATCH(186,$S$6:$S$290,0)),"")</f>
        <v>Dr. Öğr. Üyesi Hanife Merva PARLAK</v>
      </c>
      <c r="D191" s="264">
        <f>IF(C191="","",COUNTIFS(Başvuru!$C:$C,C191,Başvuru!$F:$F,"&lt;&gt;"&amp;""))</f>
        <v>1</v>
      </c>
      <c r="E191" s="262" t="str">
        <f>IF(D191&gt;0,TEXT(D191/COUNTIF(Başvuru!$F:$F,"&lt;&gt;"&amp;"")*100,"0.0")&amp;"%","-")</f>
        <v>00%</v>
      </c>
      <c r="F191" s="265">
        <f>IF(C191="","",COUNTIFS(Başvuru!$C:$C,C191,Başvuru!$G:$G,"Bireysel Araştırma",Başvuru!$F:$F,"&lt;&gt;"&amp;""))</f>
        <v>1</v>
      </c>
      <c r="G191" s="265">
        <f>IF(C191="","",COUNTIFS(Başvuru!$C:$C,C191,Başvuru!$G:$G,"Uzmanlık Tezi",Başvuru!$F:$F,"&lt;&gt;"&amp;""))</f>
        <v>0</v>
      </c>
      <c r="H191" s="265">
        <f>IF(C191="","",COUNTIFS(Başvuru!$C:$C,C191,Başvuru!$G:$G,"Doktora Tezi",Başvuru!$F:$F,"&lt;&gt;"&amp;""))</f>
        <v>0</v>
      </c>
      <c r="I191" s="265">
        <f>IF(C191="","",COUNTIFS(Başvuru!$C:$C,C191,Başvuru!$G:$G,"Yüksek Lisans Tezi",Başvuru!$F:$F,"&lt;&gt;"&amp;""))</f>
        <v>0</v>
      </c>
      <c r="J191" s="266">
        <f>IF(C191="","",COUNTIFS(Başvuru!$C:$C,C191,Başvuru!$L:$L,"ONAY",Başvuru!$F:$F,"&lt;&gt;"&amp;""))</f>
        <v>1</v>
      </c>
      <c r="K191" s="267">
        <f>IF(C191="","",COUNTIFS(Başvuru!$C:$C,C191,Başvuru!$L:$L,"DÜZELTME",Başvuru!$F:$F,"&lt;&gt;"&amp;""))</f>
        <v>0</v>
      </c>
      <c r="L191" s="268">
        <f>IF(C191="","",COUNTIFS(Başvuru!$C:$C,C191,Başvuru!$L:$L,"KAEK",Başvuru!$F:$F,"&lt;&gt;"&amp;""))</f>
        <v>0</v>
      </c>
      <c r="M191" s="269">
        <f>IF(C191="","",COUNTIFS(Başvuru!$C:$C,C191,Başvuru!$L:$L,"GÖRÜŞ",Başvuru!$F:$F,"&lt;&gt;"&amp;""))</f>
        <v>0</v>
      </c>
      <c r="N191" s="270">
        <f>IF(C191="","",COUNTIFS(Başvuru!$C:$C,C191,Başvuru!$L:$L,"RET",Başvuru!$F:$F,"&lt;&gt;"&amp;""))</f>
        <v>0</v>
      </c>
      <c r="O191" s="271">
        <f>IF(C191="","",COUNTIFS(Başvuru!$C:$C,C191,Başvuru!$L:$L,"KAPSAM DIŞI",Başvuru!$F:$F,"&lt;&gt;"&amp;""))</f>
        <v>0</v>
      </c>
      <c r="P191" s="272">
        <f>IF(C191="","",COUNTIFS(Başvuru!$C:$C,C191,Başvuru!$L:$L,"GERİ ÇEKİLDİ",Başvuru!$F:$F,"&lt;&gt;"&amp;""))</f>
        <v>0</v>
      </c>
      <c r="Q191" s="260" t="s">
        <v>2342</v>
      </c>
      <c r="R191" s="261">
        <f>COUNTIFS(Başvuru!$C:$C,Q191,Başvuru!$F:$F,"&lt;&gt;"&amp;"")</f>
        <v>1</v>
      </c>
      <c r="S191" s="261">
        <f>RANK(R191,$R$6:$R$290,0)+COUNTIF($R$6:R191,R191)-1</f>
        <v>228</v>
      </c>
    </row>
    <row r="192" spans="2:19" ht="15" customHeight="1" x14ac:dyDescent="0.25">
      <c r="B192" s="249">
        <v>187</v>
      </c>
      <c r="C192" s="250" t="str">
        <f>IFERROR(INDEX($Q$6:$Q$290,MATCH(187,$S$6:$S$290,0)),"")</f>
        <v>Dr. Öğr. Üyesi Hatice BOYACIOĞLU ERDEN</v>
      </c>
      <c r="D192" s="251">
        <f>IF(C192="","",COUNTIFS(Başvuru!$C:$C,C192,Başvuru!$F:$F,"&lt;&gt;"&amp;""))</f>
        <v>1</v>
      </c>
      <c r="E192" s="249" t="str">
        <f>IF(D192&gt;0,TEXT(D192/COUNTIF(Başvuru!$F:$F,"&lt;&gt;"&amp;"")*100,"0.0")&amp;"%","-")</f>
        <v>00%</v>
      </c>
      <c r="F192" s="252">
        <f>IF(C192="","",COUNTIFS(Başvuru!$C:$C,C192,Başvuru!$G:$G,"Bireysel Araştırma",Başvuru!$F:$F,"&lt;&gt;"&amp;""))</f>
        <v>1</v>
      </c>
      <c r="G192" s="252">
        <f>IF(C192="","",COUNTIFS(Başvuru!$C:$C,C192,Başvuru!$G:$G,"Uzmanlık Tezi",Başvuru!$F:$F,"&lt;&gt;"&amp;""))</f>
        <v>0</v>
      </c>
      <c r="H192" s="252">
        <f>IF(C192="","",COUNTIFS(Başvuru!$C:$C,C192,Başvuru!$G:$G,"Doktora Tezi",Başvuru!$F:$F,"&lt;&gt;"&amp;""))</f>
        <v>0</v>
      </c>
      <c r="I192" s="252">
        <f>IF(C192="","",COUNTIFS(Başvuru!$C:$C,C192,Başvuru!$G:$G,"Yüksek Lisans Tezi",Başvuru!$F:$F,"&lt;&gt;"&amp;""))</f>
        <v>0</v>
      </c>
      <c r="J192" s="253">
        <f>IF(C192="","",COUNTIFS(Başvuru!$C:$C,C192,Başvuru!$L:$L,"ONAY",Başvuru!$F:$F,"&lt;&gt;"&amp;""))</f>
        <v>1</v>
      </c>
      <c r="K192" s="254">
        <f>IF(C192="","",COUNTIFS(Başvuru!$C:$C,C192,Başvuru!$L:$L,"DÜZELTME",Başvuru!$F:$F,"&lt;&gt;"&amp;""))</f>
        <v>0</v>
      </c>
      <c r="L192" s="255">
        <f>IF(C192="","",COUNTIFS(Başvuru!$C:$C,C192,Başvuru!$L:$L,"KAEK",Başvuru!$F:$F,"&lt;&gt;"&amp;""))</f>
        <v>0</v>
      </c>
      <c r="M192" s="256">
        <f>IF(C192="","",COUNTIFS(Başvuru!$C:$C,C192,Başvuru!$L:$L,"GÖRÜŞ",Başvuru!$F:$F,"&lt;&gt;"&amp;""))</f>
        <v>0</v>
      </c>
      <c r="N192" s="257">
        <f>IF(C192="","",COUNTIFS(Başvuru!$C:$C,C192,Başvuru!$L:$L,"RET",Başvuru!$F:$F,"&lt;&gt;"&amp;""))</f>
        <v>0</v>
      </c>
      <c r="O192" s="258">
        <f>IF(C192="","",COUNTIFS(Başvuru!$C:$C,C192,Başvuru!$L:$L,"KAPSAM DIŞI",Başvuru!$F:$F,"&lt;&gt;"&amp;""))</f>
        <v>0</v>
      </c>
      <c r="P192" s="259">
        <f>IF(C192="","",COUNTIFS(Başvuru!$C:$C,C192,Başvuru!$L:$L,"GERİ ÇEKİLDİ",Başvuru!$F:$F,"&lt;&gt;"&amp;""))</f>
        <v>0</v>
      </c>
      <c r="Q192" s="260" t="s">
        <v>1266</v>
      </c>
      <c r="R192" s="261">
        <f>COUNTIFS(Başvuru!$C:$C,Q192,Başvuru!$F:$F,"&lt;&gt;"&amp;"")</f>
        <v>2</v>
      </c>
      <c r="S192" s="261">
        <f>RANK(R192,$R$6:$R$290,0)+COUNTIF($R$6:R192,R192)-1</f>
        <v>98</v>
      </c>
    </row>
    <row r="193" spans="2:19" ht="15" customHeight="1" x14ac:dyDescent="0.25">
      <c r="B193" s="262">
        <v>188</v>
      </c>
      <c r="C193" s="263" t="str">
        <f>IFERROR(INDEX($Q$6:$Q$290,MATCH(188,$S$6:$S$290,0)),"")</f>
        <v>Dr. Öğr. Üyesi Hilal AKDEMİR AKTAŞ</v>
      </c>
      <c r="D193" s="264">
        <f>IF(C193="","",COUNTIFS(Başvuru!$C:$C,C193,Başvuru!$F:$F,"&lt;&gt;"&amp;""))</f>
        <v>1</v>
      </c>
      <c r="E193" s="262" t="str">
        <f>IF(D193&gt;0,TEXT(D193/COUNTIF(Başvuru!$F:$F,"&lt;&gt;"&amp;"")*100,"0.0")&amp;"%","-")</f>
        <v>00%</v>
      </c>
      <c r="F193" s="265">
        <f>IF(C193="","",COUNTIFS(Başvuru!$C:$C,C193,Başvuru!$G:$G,"Bireysel Araştırma",Başvuru!$F:$F,"&lt;&gt;"&amp;""))</f>
        <v>1</v>
      </c>
      <c r="G193" s="265">
        <f>IF(C193="","",COUNTIFS(Başvuru!$C:$C,C193,Başvuru!$G:$G,"Uzmanlık Tezi",Başvuru!$F:$F,"&lt;&gt;"&amp;""))</f>
        <v>0</v>
      </c>
      <c r="H193" s="265">
        <f>IF(C193="","",COUNTIFS(Başvuru!$C:$C,C193,Başvuru!$G:$G,"Doktora Tezi",Başvuru!$F:$F,"&lt;&gt;"&amp;""))</f>
        <v>0</v>
      </c>
      <c r="I193" s="265">
        <f>IF(C193="","",COUNTIFS(Başvuru!$C:$C,C193,Başvuru!$G:$G,"Yüksek Lisans Tezi",Başvuru!$F:$F,"&lt;&gt;"&amp;""))</f>
        <v>0</v>
      </c>
      <c r="J193" s="266">
        <f>IF(C193="","",COUNTIFS(Başvuru!$C:$C,C193,Başvuru!$L:$L,"ONAY",Başvuru!$F:$F,"&lt;&gt;"&amp;""))</f>
        <v>0</v>
      </c>
      <c r="K193" s="267">
        <f>IF(C193="","",COUNTIFS(Başvuru!$C:$C,C193,Başvuru!$L:$L,"DÜZELTME",Başvuru!$F:$F,"&lt;&gt;"&amp;""))</f>
        <v>1</v>
      </c>
      <c r="L193" s="268">
        <f>IF(C193="","",COUNTIFS(Başvuru!$C:$C,C193,Başvuru!$L:$L,"KAEK",Başvuru!$F:$F,"&lt;&gt;"&amp;""))</f>
        <v>0</v>
      </c>
      <c r="M193" s="269">
        <f>IF(C193="","",COUNTIFS(Başvuru!$C:$C,C193,Başvuru!$L:$L,"GÖRÜŞ",Başvuru!$F:$F,"&lt;&gt;"&amp;""))</f>
        <v>0</v>
      </c>
      <c r="N193" s="270">
        <f>IF(C193="","",COUNTIFS(Başvuru!$C:$C,C193,Başvuru!$L:$L,"RET",Başvuru!$F:$F,"&lt;&gt;"&amp;""))</f>
        <v>0</v>
      </c>
      <c r="O193" s="271">
        <f>IF(C193="","",COUNTIFS(Başvuru!$C:$C,C193,Başvuru!$L:$L,"KAPSAM DIŞI",Başvuru!$F:$F,"&lt;&gt;"&amp;""))</f>
        <v>0</v>
      </c>
      <c r="P193" s="272">
        <f>IF(C193="","",COUNTIFS(Başvuru!$C:$C,C193,Başvuru!$L:$L,"GERİ ÇEKİLDİ",Başvuru!$F:$F,"&lt;&gt;"&amp;""))</f>
        <v>0</v>
      </c>
      <c r="Q193" s="260" t="s">
        <v>566</v>
      </c>
      <c r="R193" s="261">
        <f>COUNTIFS(Başvuru!$C:$C,Q193,Başvuru!$F:$F,"&lt;&gt;"&amp;"")</f>
        <v>1</v>
      </c>
      <c r="S193" s="261">
        <f>RANK(R193,$R$6:$R$290,0)+COUNTIF($R$6:R193,R193)-1</f>
        <v>229</v>
      </c>
    </row>
    <row r="194" spans="2:19" ht="15" customHeight="1" x14ac:dyDescent="0.25">
      <c r="B194" s="249">
        <v>189</v>
      </c>
      <c r="C194" s="250" t="str">
        <f>IFERROR(INDEX($Q$6:$Q$290,MATCH(189,$S$6:$S$290,0)),"")</f>
        <v>Dr. Öğr. Üyesi Irmak OCAK</v>
      </c>
      <c r="D194" s="251">
        <f>IF(C194="","",COUNTIFS(Başvuru!$C:$C,C194,Başvuru!$F:$F,"&lt;&gt;"&amp;""))</f>
        <v>1</v>
      </c>
      <c r="E194" s="249" t="str">
        <f>IF(D194&gt;0,TEXT(D194/COUNTIF(Başvuru!$F:$F,"&lt;&gt;"&amp;"")*100,"0.0")&amp;"%","-")</f>
        <v>00%</v>
      </c>
      <c r="F194" s="252">
        <f>IF(C194="","",COUNTIFS(Başvuru!$C:$C,C194,Başvuru!$G:$G,"Bireysel Araştırma",Başvuru!$F:$F,"&lt;&gt;"&amp;""))</f>
        <v>1</v>
      </c>
      <c r="G194" s="252">
        <f>IF(C194="","",COUNTIFS(Başvuru!$C:$C,C194,Başvuru!$G:$G,"Uzmanlık Tezi",Başvuru!$F:$F,"&lt;&gt;"&amp;""))</f>
        <v>0</v>
      </c>
      <c r="H194" s="252">
        <f>IF(C194="","",COUNTIFS(Başvuru!$C:$C,C194,Başvuru!$G:$G,"Doktora Tezi",Başvuru!$F:$F,"&lt;&gt;"&amp;""))</f>
        <v>0</v>
      </c>
      <c r="I194" s="252">
        <f>IF(C194="","",COUNTIFS(Başvuru!$C:$C,C194,Başvuru!$G:$G,"Yüksek Lisans Tezi",Başvuru!$F:$F,"&lt;&gt;"&amp;""))</f>
        <v>0</v>
      </c>
      <c r="J194" s="253">
        <f>IF(C194="","",COUNTIFS(Başvuru!$C:$C,C194,Başvuru!$L:$L,"ONAY",Başvuru!$F:$F,"&lt;&gt;"&amp;""))</f>
        <v>1</v>
      </c>
      <c r="K194" s="254">
        <f>IF(C194="","",COUNTIFS(Başvuru!$C:$C,C194,Başvuru!$L:$L,"DÜZELTME",Başvuru!$F:$F,"&lt;&gt;"&amp;""))</f>
        <v>0</v>
      </c>
      <c r="L194" s="255">
        <f>IF(C194="","",COUNTIFS(Başvuru!$C:$C,C194,Başvuru!$L:$L,"KAEK",Başvuru!$F:$F,"&lt;&gt;"&amp;""))</f>
        <v>0</v>
      </c>
      <c r="M194" s="256">
        <f>IF(C194="","",COUNTIFS(Başvuru!$C:$C,C194,Başvuru!$L:$L,"GÖRÜŞ",Başvuru!$F:$F,"&lt;&gt;"&amp;""))</f>
        <v>0</v>
      </c>
      <c r="N194" s="257">
        <f>IF(C194="","",COUNTIFS(Başvuru!$C:$C,C194,Başvuru!$L:$L,"RET",Başvuru!$F:$F,"&lt;&gt;"&amp;""))</f>
        <v>0</v>
      </c>
      <c r="O194" s="258">
        <f>IF(C194="","",COUNTIFS(Başvuru!$C:$C,C194,Başvuru!$L:$L,"KAPSAM DIŞI",Başvuru!$F:$F,"&lt;&gt;"&amp;""))</f>
        <v>0</v>
      </c>
      <c r="P194" s="259">
        <f>IF(C194="","",COUNTIFS(Başvuru!$C:$C,C194,Başvuru!$L:$L,"GERİ ÇEKİLDİ",Başvuru!$F:$F,"&lt;&gt;"&amp;""))</f>
        <v>0</v>
      </c>
      <c r="Q194" s="260" t="s">
        <v>1789</v>
      </c>
      <c r="R194" s="261">
        <f>COUNTIFS(Başvuru!$C:$C,Q194,Başvuru!$F:$F,"&lt;&gt;"&amp;"")</f>
        <v>1</v>
      </c>
      <c r="S194" s="261">
        <f>RANK(R194,$R$6:$R$290,0)+COUNTIF($R$6:R194,R194)-1</f>
        <v>230</v>
      </c>
    </row>
    <row r="195" spans="2:19" ht="15" customHeight="1" x14ac:dyDescent="0.25">
      <c r="B195" s="262">
        <v>190</v>
      </c>
      <c r="C195" s="263" t="str">
        <f>IFERROR(INDEX($Q$6:$Q$290,MATCH(190,$S$6:$S$290,0)),"")</f>
        <v>Dr. Öğr. Üyesi Leyla HUSEYNOVA TERZİ</v>
      </c>
      <c r="D195" s="264">
        <f>IF(C195="","",COUNTIFS(Başvuru!$C:$C,C195,Başvuru!$F:$F,"&lt;&gt;"&amp;""))</f>
        <v>1</v>
      </c>
      <c r="E195" s="262" t="str">
        <f>IF(D195&gt;0,TEXT(D195/COUNTIF(Başvuru!$F:$F,"&lt;&gt;"&amp;"")*100,"0.0")&amp;"%","-")</f>
        <v>00%</v>
      </c>
      <c r="F195" s="265">
        <f>IF(C195="","",COUNTIFS(Başvuru!$C:$C,C195,Başvuru!$G:$G,"Bireysel Araştırma",Başvuru!$F:$F,"&lt;&gt;"&amp;""))</f>
        <v>1</v>
      </c>
      <c r="G195" s="265">
        <f>IF(C195="","",COUNTIFS(Başvuru!$C:$C,C195,Başvuru!$G:$G,"Uzmanlık Tezi",Başvuru!$F:$F,"&lt;&gt;"&amp;""))</f>
        <v>0</v>
      </c>
      <c r="H195" s="265">
        <f>IF(C195="","",COUNTIFS(Başvuru!$C:$C,C195,Başvuru!$G:$G,"Doktora Tezi",Başvuru!$F:$F,"&lt;&gt;"&amp;""))</f>
        <v>0</v>
      </c>
      <c r="I195" s="265">
        <f>IF(C195="","",COUNTIFS(Başvuru!$C:$C,C195,Başvuru!$G:$G,"Yüksek Lisans Tezi",Başvuru!$F:$F,"&lt;&gt;"&amp;""))</f>
        <v>0</v>
      </c>
      <c r="J195" s="266">
        <f>IF(C195="","",COUNTIFS(Başvuru!$C:$C,C195,Başvuru!$L:$L,"ONAY",Başvuru!$F:$F,"&lt;&gt;"&amp;""))</f>
        <v>1</v>
      </c>
      <c r="K195" s="267">
        <f>IF(C195="","",COUNTIFS(Başvuru!$C:$C,C195,Başvuru!$L:$L,"DÜZELTME",Başvuru!$F:$F,"&lt;&gt;"&amp;""))</f>
        <v>0</v>
      </c>
      <c r="L195" s="268">
        <f>IF(C195="","",COUNTIFS(Başvuru!$C:$C,C195,Başvuru!$L:$L,"KAEK",Başvuru!$F:$F,"&lt;&gt;"&amp;""))</f>
        <v>0</v>
      </c>
      <c r="M195" s="269">
        <f>IF(C195="","",COUNTIFS(Başvuru!$C:$C,C195,Başvuru!$L:$L,"GÖRÜŞ",Başvuru!$F:$F,"&lt;&gt;"&amp;""))</f>
        <v>0</v>
      </c>
      <c r="N195" s="270">
        <f>IF(C195="","",COUNTIFS(Başvuru!$C:$C,C195,Başvuru!$L:$L,"RET",Başvuru!$F:$F,"&lt;&gt;"&amp;""))</f>
        <v>0</v>
      </c>
      <c r="O195" s="271">
        <f>IF(C195="","",COUNTIFS(Başvuru!$C:$C,C195,Başvuru!$L:$L,"KAPSAM DIŞI",Başvuru!$F:$F,"&lt;&gt;"&amp;""))</f>
        <v>0</v>
      </c>
      <c r="P195" s="272">
        <f>IF(C195="","",COUNTIFS(Başvuru!$C:$C,C195,Başvuru!$L:$L,"GERİ ÇEKİLDİ",Başvuru!$F:$F,"&lt;&gt;"&amp;""))</f>
        <v>0</v>
      </c>
      <c r="Q195" s="260" t="s">
        <v>1525</v>
      </c>
      <c r="R195" s="261">
        <f>COUNTIFS(Başvuru!$C:$C,Q195,Başvuru!$F:$F,"&lt;&gt;"&amp;"")</f>
        <v>2</v>
      </c>
      <c r="S195" s="261">
        <f>RANK(R195,$R$6:$R$290,0)+COUNTIF($R$6:R195,R195)-1</f>
        <v>99</v>
      </c>
    </row>
    <row r="196" spans="2:19" ht="15" customHeight="1" x14ac:dyDescent="0.25">
      <c r="B196" s="249">
        <v>191</v>
      </c>
      <c r="C196" s="250" t="str">
        <f>IFERROR(INDEX($Q$6:$Q$290,MATCH(191,$S$6:$S$290,0)),"")</f>
        <v>Dr. Öğr. Üyesi Merva PARLAK</v>
      </c>
      <c r="D196" s="251">
        <f>IF(C196="","",COUNTIFS(Başvuru!$C:$C,C196,Başvuru!$F:$F,"&lt;&gt;"&amp;""))</f>
        <v>1</v>
      </c>
      <c r="E196" s="249" t="str">
        <f>IF(D196&gt;0,TEXT(D196/COUNTIF(Başvuru!$F:$F,"&lt;&gt;"&amp;"")*100,"0.0")&amp;"%","-")</f>
        <v>00%</v>
      </c>
      <c r="F196" s="252">
        <f>IF(C196="","",COUNTIFS(Başvuru!$C:$C,C196,Başvuru!$G:$G,"Bireysel Araştırma",Başvuru!$F:$F,"&lt;&gt;"&amp;""))</f>
        <v>1</v>
      </c>
      <c r="G196" s="252">
        <f>IF(C196="","",COUNTIFS(Başvuru!$C:$C,C196,Başvuru!$G:$G,"Uzmanlık Tezi",Başvuru!$F:$F,"&lt;&gt;"&amp;""))</f>
        <v>0</v>
      </c>
      <c r="H196" s="252">
        <f>IF(C196="","",COUNTIFS(Başvuru!$C:$C,C196,Başvuru!$G:$G,"Doktora Tezi",Başvuru!$F:$F,"&lt;&gt;"&amp;""))</f>
        <v>0</v>
      </c>
      <c r="I196" s="252">
        <f>IF(C196="","",COUNTIFS(Başvuru!$C:$C,C196,Başvuru!$G:$G,"Yüksek Lisans Tezi",Başvuru!$F:$F,"&lt;&gt;"&amp;""))</f>
        <v>0</v>
      </c>
      <c r="J196" s="253">
        <f>IF(C196="","",COUNTIFS(Başvuru!$C:$C,C196,Başvuru!$L:$L,"ONAY",Başvuru!$F:$F,"&lt;&gt;"&amp;""))</f>
        <v>1</v>
      </c>
      <c r="K196" s="254">
        <f>IF(C196="","",COUNTIFS(Başvuru!$C:$C,C196,Başvuru!$L:$L,"DÜZELTME",Başvuru!$F:$F,"&lt;&gt;"&amp;""))</f>
        <v>0</v>
      </c>
      <c r="L196" s="255">
        <f>IF(C196="","",COUNTIFS(Başvuru!$C:$C,C196,Başvuru!$L:$L,"KAEK",Başvuru!$F:$F,"&lt;&gt;"&amp;""))</f>
        <v>0</v>
      </c>
      <c r="M196" s="256">
        <f>IF(C196="","",COUNTIFS(Başvuru!$C:$C,C196,Başvuru!$L:$L,"GÖRÜŞ",Başvuru!$F:$F,"&lt;&gt;"&amp;""))</f>
        <v>0</v>
      </c>
      <c r="N196" s="257">
        <f>IF(C196="","",COUNTIFS(Başvuru!$C:$C,C196,Başvuru!$L:$L,"RET",Başvuru!$F:$F,"&lt;&gt;"&amp;""))</f>
        <v>0</v>
      </c>
      <c r="O196" s="258">
        <f>IF(C196="","",COUNTIFS(Başvuru!$C:$C,C196,Başvuru!$L:$L,"KAPSAM DIŞI",Başvuru!$F:$F,"&lt;&gt;"&amp;""))</f>
        <v>0</v>
      </c>
      <c r="P196" s="259">
        <f>IF(C196="","",COUNTIFS(Başvuru!$C:$C,C196,Başvuru!$L:$L,"GERİ ÇEKİLDİ",Başvuru!$F:$F,"&lt;&gt;"&amp;""))</f>
        <v>0</v>
      </c>
      <c r="Q196" s="260" t="s">
        <v>632</v>
      </c>
      <c r="R196" s="261">
        <f>COUNTIFS(Başvuru!$C:$C,Q196,Başvuru!$F:$F,"&lt;&gt;"&amp;"")</f>
        <v>1</v>
      </c>
      <c r="S196" s="261">
        <f>RANK(R196,$R$6:$R$290,0)+COUNTIF($R$6:R196,R196)-1</f>
        <v>231</v>
      </c>
    </row>
    <row r="197" spans="2:19" ht="15" customHeight="1" x14ac:dyDescent="0.25">
      <c r="B197" s="262">
        <v>192</v>
      </c>
      <c r="C197" s="263" t="str">
        <f>IFERROR(INDEX($Q$6:$Q$290,MATCH(192,$S$6:$S$290,0)),"")</f>
        <v>Dr. Öğr. Üyesi Neslihan TAŞ</v>
      </c>
      <c r="D197" s="264">
        <f>IF(C197="","",COUNTIFS(Başvuru!$C:$C,C197,Başvuru!$F:$F,"&lt;&gt;"&amp;""))</f>
        <v>1</v>
      </c>
      <c r="E197" s="262" t="str">
        <f>IF(D197&gt;0,TEXT(D197/COUNTIF(Başvuru!$F:$F,"&lt;&gt;"&amp;"")*100,"0.0")&amp;"%","-")</f>
        <v>00%</v>
      </c>
      <c r="F197" s="265">
        <f>IF(C197="","",COUNTIFS(Başvuru!$C:$C,C197,Başvuru!$G:$G,"Bireysel Araştırma",Başvuru!$F:$F,"&lt;&gt;"&amp;""))</f>
        <v>0</v>
      </c>
      <c r="G197" s="265">
        <f>IF(C197="","",COUNTIFS(Başvuru!$C:$C,C197,Başvuru!$G:$G,"Uzmanlık Tezi",Başvuru!$F:$F,"&lt;&gt;"&amp;""))</f>
        <v>0</v>
      </c>
      <c r="H197" s="265">
        <f>IF(C197="","",COUNTIFS(Başvuru!$C:$C,C197,Başvuru!$G:$G,"Doktora Tezi",Başvuru!$F:$F,"&lt;&gt;"&amp;""))</f>
        <v>0</v>
      </c>
      <c r="I197" s="265">
        <f>IF(C197="","",COUNTIFS(Başvuru!$C:$C,C197,Başvuru!$G:$G,"Yüksek Lisans Tezi",Başvuru!$F:$F,"&lt;&gt;"&amp;""))</f>
        <v>1</v>
      </c>
      <c r="J197" s="266">
        <f>IF(C197="","",COUNTIFS(Başvuru!$C:$C,C197,Başvuru!$L:$L,"ONAY",Başvuru!$F:$F,"&lt;&gt;"&amp;""))</f>
        <v>0</v>
      </c>
      <c r="K197" s="267">
        <f>IF(C197="","",COUNTIFS(Başvuru!$C:$C,C197,Başvuru!$L:$L,"DÜZELTME",Başvuru!$F:$F,"&lt;&gt;"&amp;""))</f>
        <v>1</v>
      </c>
      <c r="L197" s="268">
        <f>IF(C197="","",COUNTIFS(Başvuru!$C:$C,C197,Başvuru!$L:$L,"KAEK",Başvuru!$F:$F,"&lt;&gt;"&amp;""))</f>
        <v>0</v>
      </c>
      <c r="M197" s="269">
        <f>IF(C197="","",COUNTIFS(Başvuru!$C:$C,C197,Başvuru!$L:$L,"GÖRÜŞ",Başvuru!$F:$F,"&lt;&gt;"&amp;""))</f>
        <v>0</v>
      </c>
      <c r="N197" s="270">
        <f>IF(C197="","",COUNTIFS(Başvuru!$C:$C,C197,Başvuru!$L:$L,"RET",Başvuru!$F:$F,"&lt;&gt;"&amp;""))</f>
        <v>0</v>
      </c>
      <c r="O197" s="271">
        <f>IF(C197="","",COUNTIFS(Başvuru!$C:$C,C197,Başvuru!$L:$L,"KAPSAM DIŞI",Başvuru!$F:$F,"&lt;&gt;"&amp;""))</f>
        <v>0</v>
      </c>
      <c r="P197" s="272">
        <f>IF(C197="","",COUNTIFS(Başvuru!$C:$C,C197,Başvuru!$L:$L,"GERİ ÇEKİLDİ",Başvuru!$F:$F,"&lt;&gt;"&amp;""))</f>
        <v>0</v>
      </c>
      <c r="Q197" s="260" t="s">
        <v>1784</v>
      </c>
      <c r="R197" s="261">
        <f>COUNTIFS(Başvuru!$C:$C,Q197,Başvuru!$F:$F,"&lt;&gt;"&amp;"")</f>
        <v>2</v>
      </c>
      <c r="S197" s="261">
        <f>RANK(R197,$R$6:$R$290,0)+COUNTIF($R$6:R197,R197)-1</f>
        <v>100</v>
      </c>
    </row>
    <row r="198" spans="2:19" ht="15" customHeight="1" x14ac:dyDescent="0.25">
      <c r="B198" s="249">
        <v>193</v>
      </c>
      <c r="C198" s="250" t="str">
        <f>IFERROR(INDEX($Q$6:$Q$290,MATCH(193,$S$6:$S$290,0)),"")</f>
        <v>Dr. Öğr. Üyesi Nur Berna ÇELİK ERTAŞ</v>
      </c>
      <c r="D198" s="251">
        <f>IF(C198="","",COUNTIFS(Başvuru!$C:$C,C198,Başvuru!$F:$F,"&lt;&gt;"&amp;""))</f>
        <v>1</v>
      </c>
      <c r="E198" s="249" t="str">
        <f>IF(D198&gt;0,TEXT(D198/COUNTIF(Başvuru!$F:$F,"&lt;&gt;"&amp;"")*100,"0.0")&amp;"%","-")</f>
        <v>00%</v>
      </c>
      <c r="F198" s="252">
        <f>IF(C198="","",COUNTIFS(Başvuru!$C:$C,C198,Başvuru!$G:$G,"Bireysel Araştırma",Başvuru!$F:$F,"&lt;&gt;"&amp;""))</f>
        <v>1</v>
      </c>
      <c r="G198" s="252">
        <f>IF(C198="","",COUNTIFS(Başvuru!$C:$C,C198,Başvuru!$G:$G,"Uzmanlık Tezi",Başvuru!$F:$F,"&lt;&gt;"&amp;""))</f>
        <v>0</v>
      </c>
      <c r="H198" s="252">
        <f>IF(C198="","",COUNTIFS(Başvuru!$C:$C,C198,Başvuru!$G:$G,"Doktora Tezi",Başvuru!$F:$F,"&lt;&gt;"&amp;""))</f>
        <v>0</v>
      </c>
      <c r="I198" s="252">
        <f>IF(C198="","",COUNTIFS(Başvuru!$C:$C,C198,Başvuru!$G:$G,"Yüksek Lisans Tezi",Başvuru!$F:$F,"&lt;&gt;"&amp;""))</f>
        <v>0</v>
      </c>
      <c r="J198" s="253">
        <f>IF(C198="","",COUNTIFS(Başvuru!$C:$C,C198,Başvuru!$L:$L,"ONAY",Başvuru!$F:$F,"&lt;&gt;"&amp;""))</f>
        <v>1</v>
      </c>
      <c r="K198" s="254">
        <f>IF(C198="","",COUNTIFS(Başvuru!$C:$C,C198,Başvuru!$L:$L,"DÜZELTME",Başvuru!$F:$F,"&lt;&gt;"&amp;""))</f>
        <v>0</v>
      </c>
      <c r="L198" s="255">
        <f>IF(C198="","",COUNTIFS(Başvuru!$C:$C,C198,Başvuru!$L:$L,"KAEK",Başvuru!$F:$F,"&lt;&gt;"&amp;""))</f>
        <v>0</v>
      </c>
      <c r="M198" s="256">
        <f>IF(C198="","",COUNTIFS(Başvuru!$C:$C,C198,Başvuru!$L:$L,"GÖRÜŞ",Başvuru!$F:$F,"&lt;&gt;"&amp;""))</f>
        <v>0</v>
      </c>
      <c r="N198" s="257">
        <f>IF(C198="","",COUNTIFS(Başvuru!$C:$C,C198,Başvuru!$L:$L,"RET",Başvuru!$F:$F,"&lt;&gt;"&amp;""))</f>
        <v>0</v>
      </c>
      <c r="O198" s="258">
        <f>IF(C198="","",COUNTIFS(Başvuru!$C:$C,C198,Başvuru!$L:$L,"KAPSAM DIŞI",Başvuru!$F:$F,"&lt;&gt;"&amp;""))</f>
        <v>0</v>
      </c>
      <c r="P198" s="259">
        <f>IF(C198="","",COUNTIFS(Başvuru!$C:$C,C198,Başvuru!$L:$L,"GERİ ÇEKİLDİ",Başvuru!$F:$F,"&lt;&gt;"&amp;""))</f>
        <v>0</v>
      </c>
      <c r="Q198" s="260" t="s">
        <v>2480</v>
      </c>
      <c r="R198" s="261">
        <f>COUNTIFS(Başvuru!$C:$C,Q198,Başvuru!$F:$F,"&lt;&gt;"&amp;"")</f>
        <v>1</v>
      </c>
      <c r="S198" s="261">
        <f>RANK(R198,$R$6:$R$290,0)+COUNTIF($R$6:R198,R198)-1</f>
        <v>232</v>
      </c>
    </row>
    <row r="199" spans="2:19" ht="15" customHeight="1" x14ac:dyDescent="0.25">
      <c r="B199" s="262">
        <v>194</v>
      </c>
      <c r="C199" s="263" t="str">
        <f>IFERROR(INDEX($Q$6:$Q$290,MATCH(194,$S$6:$S$290,0)),"")</f>
        <v>Dr. Öğr. Üyesi Onur İNCE</v>
      </c>
      <c r="D199" s="264">
        <f>IF(C199="","",COUNTIFS(Başvuru!$C:$C,C199,Başvuru!$F:$F,"&lt;&gt;"&amp;""))</f>
        <v>1</v>
      </c>
      <c r="E199" s="262" t="str">
        <f>IF(D199&gt;0,TEXT(D199/COUNTIF(Başvuru!$F:$F,"&lt;&gt;"&amp;"")*100,"0.0")&amp;"%","-")</f>
        <v>00%</v>
      </c>
      <c r="F199" s="265">
        <f>IF(C199="","",COUNTIFS(Başvuru!$C:$C,C199,Başvuru!$G:$G,"Bireysel Araştırma",Başvuru!$F:$F,"&lt;&gt;"&amp;""))</f>
        <v>0</v>
      </c>
      <c r="G199" s="265">
        <f>IF(C199="","",COUNTIFS(Başvuru!$C:$C,C199,Başvuru!$G:$G,"Uzmanlık Tezi",Başvuru!$F:$F,"&lt;&gt;"&amp;""))</f>
        <v>1</v>
      </c>
      <c r="H199" s="265">
        <f>IF(C199="","",COUNTIFS(Başvuru!$C:$C,C199,Başvuru!$G:$G,"Doktora Tezi",Başvuru!$F:$F,"&lt;&gt;"&amp;""))</f>
        <v>0</v>
      </c>
      <c r="I199" s="265">
        <f>IF(C199="","",COUNTIFS(Başvuru!$C:$C,C199,Başvuru!$G:$G,"Yüksek Lisans Tezi",Başvuru!$F:$F,"&lt;&gt;"&amp;""))</f>
        <v>0</v>
      </c>
      <c r="J199" s="266">
        <f>IF(C199="","",COUNTIFS(Başvuru!$C:$C,C199,Başvuru!$L:$L,"ONAY",Başvuru!$F:$F,"&lt;&gt;"&amp;""))</f>
        <v>1</v>
      </c>
      <c r="K199" s="267">
        <f>IF(C199="","",COUNTIFS(Başvuru!$C:$C,C199,Başvuru!$L:$L,"DÜZELTME",Başvuru!$F:$F,"&lt;&gt;"&amp;""))</f>
        <v>0</v>
      </c>
      <c r="L199" s="268">
        <f>IF(C199="","",COUNTIFS(Başvuru!$C:$C,C199,Başvuru!$L:$L,"KAEK",Başvuru!$F:$F,"&lt;&gt;"&amp;""))</f>
        <v>0</v>
      </c>
      <c r="M199" s="269">
        <f>IF(C199="","",COUNTIFS(Başvuru!$C:$C,C199,Başvuru!$L:$L,"GÖRÜŞ",Başvuru!$F:$F,"&lt;&gt;"&amp;""))</f>
        <v>0</v>
      </c>
      <c r="N199" s="270">
        <f>IF(C199="","",COUNTIFS(Başvuru!$C:$C,C199,Başvuru!$L:$L,"RET",Başvuru!$F:$F,"&lt;&gt;"&amp;""))</f>
        <v>0</v>
      </c>
      <c r="O199" s="271">
        <f>IF(C199="","",COUNTIFS(Başvuru!$C:$C,C199,Başvuru!$L:$L,"KAPSAM DIŞI",Başvuru!$F:$F,"&lt;&gt;"&amp;""))</f>
        <v>0</v>
      </c>
      <c r="P199" s="272">
        <f>IF(C199="","",COUNTIFS(Başvuru!$C:$C,C199,Başvuru!$L:$L,"GERİ ÇEKİLDİ",Başvuru!$F:$F,"&lt;&gt;"&amp;""))</f>
        <v>0</v>
      </c>
      <c r="Q199" s="260" t="s">
        <v>431</v>
      </c>
      <c r="R199" s="261">
        <f>COUNTIFS(Başvuru!$C:$C,Q199,Başvuru!$F:$F,"&lt;&gt;"&amp;"")</f>
        <v>2</v>
      </c>
      <c r="S199" s="261">
        <f>RANK(R199,$R$6:$R$290,0)+COUNTIF($R$6:R199,R199)-1</f>
        <v>101</v>
      </c>
    </row>
    <row r="200" spans="2:19" ht="15" customHeight="1" x14ac:dyDescent="0.25">
      <c r="B200" s="249">
        <v>195</v>
      </c>
      <c r="C200" s="250" t="str">
        <f>IFERROR(INDEX($Q$6:$Q$290,MATCH(195,$S$6:$S$290,0)),"")</f>
        <v>Dr. Öğr. Üyesi Oğuzhan KATAR</v>
      </c>
      <c r="D200" s="251">
        <f>IF(C200="","",COUNTIFS(Başvuru!$C:$C,C200,Başvuru!$F:$F,"&lt;&gt;"&amp;""))</f>
        <v>1</v>
      </c>
      <c r="E200" s="249" t="str">
        <f>IF(D200&gt;0,TEXT(D200/COUNTIF(Başvuru!$F:$F,"&lt;&gt;"&amp;"")*100,"0.0")&amp;"%","-")</f>
        <v>00%</v>
      </c>
      <c r="F200" s="252">
        <f>IF(C200="","",COUNTIFS(Başvuru!$C:$C,C200,Başvuru!$G:$G,"Bireysel Araştırma",Başvuru!$F:$F,"&lt;&gt;"&amp;""))</f>
        <v>1</v>
      </c>
      <c r="G200" s="252">
        <f>IF(C200="","",COUNTIFS(Başvuru!$C:$C,C200,Başvuru!$G:$G,"Uzmanlık Tezi",Başvuru!$F:$F,"&lt;&gt;"&amp;""))</f>
        <v>0</v>
      </c>
      <c r="H200" s="252">
        <f>IF(C200="","",COUNTIFS(Başvuru!$C:$C,C200,Başvuru!$G:$G,"Doktora Tezi",Başvuru!$F:$F,"&lt;&gt;"&amp;""))</f>
        <v>0</v>
      </c>
      <c r="I200" s="252">
        <f>IF(C200="","",COUNTIFS(Başvuru!$C:$C,C200,Başvuru!$G:$G,"Yüksek Lisans Tezi",Başvuru!$F:$F,"&lt;&gt;"&amp;""))</f>
        <v>0</v>
      </c>
      <c r="J200" s="253">
        <f>IF(C200="","",COUNTIFS(Başvuru!$C:$C,C200,Başvuru!$L:$L,"ONAY",Başvuru!$F:$F,"&lt;&gt;"&amp;""))</f>
        <v>1</v>
      </c>
      <c r="K200" s="254">
        <f>IF(C200="","",COUNTIFS(Başvuru!$C:$C,C200,Başvuru!$L:$L,"DÜZELTME",Başvuru!$F:$F,"&lt;&gt;"&amp;""))</f>
        <v>0</v>
      </c>
      <c r="L200" s="255">
        <f>IF(C200="","",COUNTIFS(Başvuru!$C:$C,C200,Başvuru!$L:$L,"KAEK",Başvuru!$F:$F,"&lt;&gt;"&amp;""))</f>
        <v>0</v>
      </c>
      <c r="M200" s="256">
        <f>IF(C200="","",COUNTIFS(Başvuru!$C:$C,C200,Başvuru!$L:$L,"GÖRÜŞ",Başvuru!$F:$F,"&lt;&gt;"&amp;""))</f>
        <v>0</v>
      </c>
      <c r="N200" s="257">
        <f>IF(C200="","",COUNTIFS(Başvuru!$C:$C,C200,Başvuru!$L:$L,"RET",Başvuru!$F:$F,"&lt;&gt;"&amp;""))</f>
        <v>0</v>
      </c>
      <c r="O200" s="258">
        <f>IF(C200="","",COUNTIFS(Başvuru!$C:$C,C200,Başvuru!$L:$L,"KAPSAM DIŞI",Başvuru!$F:$F,"&lt;&gt;"&amp;""))</f>
        <v>0</v>
      </c>
      <c r="P200" s="259">
        <f>IF(C200="","",COUNTIFS(Başvuru!$C:$C,C200,Başvuru!$L:$L,"GERİ ÇEKİLDİ",Başvuru!$F:$F,"&lt;&gt;"&amp;""))</f>
        <v>0</v>
      </c>
      <c r="Q200" s="260" t="s">
        <v>895</v>
      </c>
      <c r="R200" s="261">
        <f>COUNTIFS(Başvuru!$C:$C,Q200,Başvuru!$F:$F,"&lt;&gt;"&amp;"")</f>
        <v>1</v>
      </c>
      <c r="S200" s="261">
        <f>RANK(R200,$R$6:$R$290,0)+COUNTIF($R$6:R200,R200)-1</f>
        <v>233</v>
      </c>
    </row>
    <row r="201" spans="2:19" ht="15" customHeight="1" x14ac:dyDescent="0.25">
      <c r="B201" s="262">
        <v>196</v>
      </c>
      <c r="C201" s="263" t="str">
        <f>IFERROR(INDEX($Q$6:$Q$290,MATCH(196,$S$6:$S$290,0)),"")</f>
        <v>Dr. Öğr. Üyesi Salih Eren MERAL</v>
      </c>
      <c r="D201" s="264">
        <f>IF(C201="","",COUNTIFS(Başvuru!$C:$C,C201,Başvuru!$F:$F,"&lt;&gt;"&amp;""))</f>
        <v>1</v>
      </c>
      <c r="E201" s="262" t="str">
        <f>IF(D201&gt;0,TEXT(D201/COUNTIF(Başvuru!$F:$F,"&lt;&gt;"&amp;"")*100,"0.0")&amp;"%","-")</f>
        <v>00%</v>
      </c>
      <c r="F201" s="265">
        <f>IF(C201="","",COUNTIFS(Başvuru!$C:$C,C201,Başvuru!$G:$G,"Bireysel Araştırma",Başvuru!$F:$F,"&lt;&gt;"&amp;""))</f>
        <v>1</v>
      </c>
      <c r="G201" s="265">
        <f>IF(C201="","",COUNTIFS(Başvuru!$C:$C,C201,Başvuru!$G:$G,"Uzmanlık Tezi",Başvuru!$F:$F,"&lt;&gt;"&amp;""))</f>
        <v>0</v>
      </c>
      <c r="H201" s="265">
        <f>IF(C201="","",COUNTIFS(Başvuru!$C:$C,C201,Başvuru!$G:$G,"Doktora Tezi",Başvuru!$F:$F,"&lt;&gt;"&amp;""))</f>
        <v>0</v>
      </c>
      <c r="I201" s="265">
        <f>IF(C201="","",COUNTIFS(Başvuru!$C:$C,C201,Başvuru!$G:$G,"Yüksek Lisans Tezi",Başvuru!$F:$F,"&lt;&gt;"&amp;""))</f>
        <v>0</v>
      </c>
      <c r="J201" s="266">
        <f>IF(C201="","",COUNTIFS(Başvuru!$C:$C,C201,Başvuru!$L:$L,"ONAY",Başvuru!$F:$F,"&lt;&gt;"&amp;""))</f>
        <v>1</v>
      </c>
      <c r="K201" s="267">
        <f>IF(C201="","",COUNTIFS(Başvuru!$C:$C,C201,Başvuru!$L:$L,"DÜZELTME",Başvuru!$F:$F,"&lt;&gt;"&amp;""))</f>
        <v>0</v>
      </c>
      <c r="L201" s="268">
        <f>IF(C201="","",COUNTIFS(Başvuru!$C:$C,C201,Başvuru!$L:$L,"KAEK",Başvuru!$F:$F,"&lt;&gt;"&amp;""))</f>
        <v>0</v>
      </c>
      <c r="M201" s="269">
        <f>IF(C201="","",COUNTIFS(Başvuru!$C:$C,C201,Başvuru!$L:$L,"GÖRÜŞ",Başvuru!$F:$F,"&lt;&gt;"&amp;""))</f>
        <v>0</v>
      </c>
      <c r="N201" s="270">
        <f>IF(C201="","",COUNTIFS(Başvuru!$C:$C,C201,Başvuru!$L:$L,"RET",Başvuru!$F:$F,"&lt;&gt;"&amp;""))</f>
        <v>0</v>
      </c>
      <c r="O201" s="271">
        <f>IF(C201="","",COUNTIFS(Başvuru!$C:$C,C201,Başvuru!$L:$L,"KAPSAM DIŞI",Başvuru!$F:$F,"&lt;&gt;"&amp;""))</f>
        <v>0</v>
      </c>
      <c r="P201" s="272">
        <f>IF(C201="","",COUNTIFS(Başvuru!$C:$C,C201,Başvuru!$L:$L,"GERİ ÇEKİLDİ",Başvuru!$F:$F,"&lt;&gt;"&amp;""))</f>
        <v>0</v>
      </c>
      <c r="Q201" s="260" t="s">
        <v>709</v>
      </c>
      <c r="R201" s="261">
        <f>COUNTIFS(Başvuru!$C:$C,Q201,Başvuru!$F:$F,"&lt;&gt;"&amp;"")</f>
        <v>2</v>
      </c>
      <c r="S201" s="261">
        <f>RANK(R201,$R$6:$R$290,0)+COUNTIF($R$6:R201,R201)-1</f>
        <v>102</v>
      </c>
    </row>
    <row r="202" spans="2:19" ht="15" customHeight="1" x14ac:dyDescent="0.25">
      <c r="B202" s="249">
        <v>197</v>
      </c>
      <c r="C202" s="250" t="str">
        <f>IFERROR(INDEX($Q$6:$Q$290,MATCH(197,$S$6:$S$290,0)),"")</f>
        <v>Dr. Öğr. Üyesi Sefa Burak ÇAM</v>
      </c>
      <c r="D202" s="251">
        <f>IF(C202="","",COUNTIFS(Başvuru!$C:$C,C202,Başvuru!$F:$F,"&lt;&gt;"&amp;""))</f>
        <v>1</v>
      </c>
      <c r="E202" s="249" t="str">
        <f>IF(D202&gt;0,TEXT(D202/COUNTIF(Başvuru!$F:$F,"&lt;&gt;"&amp;"")*100,"0.0")&amp;"%","-")</f>
        <v>00%</v>
      </c>
      <c r="F202" s="252">
        <f>IF(C202="","",COUNTIFS(Başvuru!$C:$C,C202,Başvuru!$G:$G,"Bireysel Araştırma",Başvuru!$F:$F,"&lt;&gt;"&amp;""))</f>
        <v>0</v>
      </c>
      <c r="G202" s="252">
        <f>IF(C202="","",COUNTIFS(Başvuru!$C:$C,C202,Başvuru!$G:$G,"Uzmanlık Tezi",Başvuru!$F:$F,"&lt;&gt;"&amp;""))</f>
        <v>1</v>
      </c>
      <c r="H202" s="252">
        <f>IF(C202="","",COUNTIFS(Başvuru!$C:$C,C202,Başvuru!$G:$G,"Doktora Tezi",Başvuru!$F:$F,"&lt;&gt;"&amp;""))</f>
        <v>0</v>
      </c>
      <c r="I202" s="252">
        <f>IF(C202="","",COUNTIFS(Başvuru!$C:$C,C202,Başvuru!$G:$G,"Yüksek Lisans Tezi",Başvuru!$F:$F,"&lt;&gt;"&amp;""))</f>
        <v>0</v>
      </c>
      <c r="J202" s="253">
        <f>IF(C202="","",COUNTIFS(Başvuru!$C:$C,C202,Başvuru!$L:$L,"ONAY",Başvuru!$F:$F,"&lt;&gt;"&amp;""))</f>
        <v>0</v>
      </c>
      <c r="K202" s="254">
        <f>IF(C202="","",COUNTIFS(Başvuru!$C:$C,C202,Başvuru!$L:$L,"DÜZELTME",Başvuru!$F:$F,"&lt;&gt;"&amp;""))</f>
        <v>0</v>
      </c>
      <c r="L202" s="255">
        <f>IF(C202="","",COUNTIFS(Başvuru!$C:$C,C202,Başvuru!$L:$L,"KAEK",Başvuru!$F:$F,"&lt;&gt;"&amp;""))</f>
        <v>0</v>
      </c>
      <c r="M202" s="256">
        <f>IF(C202="","",COUNTIFS(Başvuru!$C:$C,C202,Başvuru!$L:$L,"GÖRÜŞ",Başvuru!$F:$F,"&lt;&gt;"&amp;""))</f>
        <v>0</v>
      </c>
      <c r="N202" s="257">
        <f>IF(C202="","",COUNTIFS(Başvuru!$C:$C,C202,Başvuru!$L:$L,"RET",Başvuru!$F:$F,"&lt;&gt;"&amp;""))</f>
        <v>0</v>
      </c>
      <c r="O202" s="258">
        <f>IF(C202="","",COUNTIFS(Başvuru!$C:$C,C202,Başvuru!$L:$L,"KAPSAM DIŞI",Başvuru!$F:$F,"&lt;&gt;"&amp;""))</f>
        <v>1</v>
      </c>
      <c r="P202" s="259">
        <f>IF(C202="","",COUNTIFS(Başvuru!$C:$C,C202,Başvuru!$L:$L,"GERİ ÇEKİLDİ",Başvuru!$F:$F,"&lt;&gt;"&amp;""))</f>
        <v>0</v>
      </c>
      <c r="Q202" s="260" t="s">
        <v>247</v>
      </c>
      <c r="R202" s="261">
        <f>COUNTIFS(Başvuru!$C:$C,Q202,Başvuru!$F:$F,"&lt;&gt;"&amp;"")</f>
        <v>2</v>
      </c>
      <c r="S202" s="261">
        <f>RANK(R202,$R$6:$R$290,0)+COUNTIF($R$6:R202,R202)-1</f>
        <v>103</v>
      </c>
    </row>
    <row r="203" spans="2:19" ht="15" customHeight="1" x14ac:dyDescent="0.25">
      <c r="B203" s="262">
        <v>198</v>
      </c>
      <c r="C203" s="263" t="str">
        <f>IFERROR(INDEX($Q$6:$Q$290,MATCH(198,$S$6:$S$290,0)),"")</f>
        <v>Dr. Öğr. Üyesi Selin ARDALI DÜZGÜN</v>
      </c>
      <c r="D203" s="264">
        <f>IF(C203="","",COUNTIFS(Başvuru!$C:$C,C203,Başvuru!$F:$F,"&lt;&gt;"&amp;""))</f>
        <v>1</v>
      </c>
      <c r="E203" s="262" t="str">
        <f>IF(D203&gt;0,TEXT(D203/COUNTIF(Başvuru!$F:$F,"&lt;&gt;"&amp;"")*100,"0.0")&amp;"%","-")</f>
        <v>00%</v>
      </c>
      <c r="F203" s="265">
        <f>IF(C203="","",COUNTIFS(Başvuru!$C:$C,C203,Başvuru!$G:$G,"Bireysel Araştırma",Başvuru!$F:$F,"&lt;&gt;"&amp;""))</f>
        <v>1</v>
      </c>
      <c r="G203" s="265">
        <f>IF(C203="","",COUNTIFS(Başvuru!$C:$C,C203,Başvuru!$G:$G,"Uzmanlık Tezi",Başvuru!$F:$F,"&lt;&gt;"&amp;""))</f>
        <v>0</v>
      </c>
      <c r="H203" s="265">
        <f>IF(C203="","",COUNTIFS(Başvuru!$C:$C,C203,Başvuru!$G:$G,"Doktora Tezi",Başvuru!$F:$F,"&lt;&gt;"&amp;""))</f>
        <v>0</v>
      </c>
      <c r="I203" s="265">
        <f>IF(C203="","",COUNTIFS(Başvuru!$C:$C,C203,Başvuru!$G:$G,"Yüksek Lisans Tezi",Başvuru!$F:$F,"&lt;&gt;"&amp;""))</f>
        <v>0</v>
      </c>
      <c r="J203" s="266">
        <f>IF(C203="","",COUNTIFS(Başvuru!$C:$C,C203,Başvuru!$L:$L,"ONAY",Başvuru!$F:$F,"&lt;&gt;"&amp;""))</f>
        <v>1</v>
      </c>
      <c r="K203" s="267">
        <f>IF(C203="","",COUNTIFS(Başvuru!$C:$C,C203,Başvuru!$L:$L,"DÜZELTME",Başvuru!$F:$F,"&lt;&gt;"&amp;""))</f>
        <v>0</v>
      </c>
      <c r="L203" s="268">
        <f>IF(C203="","",COUNTIFS(Başvuru!$C:$C,C203,Başvuru!$L:$L,"KAEK",Başvuru!$F:$F,"&lt;&gt;"&amp;""))</f>
        <v>0</v>
      </c>
      <c r="M203" s="269">
        <f>IF(C203="","",COUNTIFS(Başvuru!$C:$C,C203,Başvuru!$L:$L,"GÖRÜŞ",Başvuru!$F:$F,"&lt;&gt;"&amp;""))</f>
        <v>0</v>
      </c>
      <c r="N203" s="270">
        <f>IF(C203="","",COUNTIFS(Başvuru!$C:$C,C203,Başvuru!$L:$L,"RET",Başvuru!$F:$F,"&lt;&gt;"&amp;""))</f>
        <v>0</v>
      </c>
      <c r="O203" s="271">
        <f>IF(C203="","",COUNTIFS(Başvuru!$C:$C,C203,Başvuru!$L:$L,"KAPSAM DIŞI",Başvuru!$F:$F,"&lt;&gt;"&amp;""))</f>
        <v>0</v>
      </c>
      <c r="P203" s="272">
        <f>IF(C203="","",COUNTIFS(Başvuru!$C:$C,C203,Başvuru!$L:$L,"GERİ ÇEKİLDİ",Başvuru!$F:$F,"&lt;&gt;"&amp;""))</f>
        <v>0</v>
      </c>
      <c r="Q203" s="260" t="s">
        <v>809</v>
      </c>
      <c r="R203" s="261">
        <f>COUNTIFS(Başvuru!$C:$C,Q203,Başvuru!$F:$F,"&lt;&gt;"&amp;"")</f>
        <v>1</v>
      </c>
      <c r="S203" s="261">
        <f>RANK(R203,$R$6:$R$290,0)+COUNTIF($R$6:R203,R203)-1</f>
        <v>234</v>
      </c>
    </row>
    <row r="204" spans="2:19" ht="15" customHeight="1" x14ac:dyDescent="0.25">
      <c r="B204" s="249">
        <v>199</v>
      </c>
      <c r="C204" s="250" t="str">
        <f>IFERROR(INDEX($Q$6:$Q$290,MATCH(199,$S$6:$S$290,0)),"")</f>
        <v>Dr. Öğr. Üyesi Süleyman BULUT</v>
      </c>
      <c r="D204" s="251">
        <f>IF(C204="","",COUNTIFS(Başvuru!$C:$C,C204,Başvuru!$F:$F,"&lt;&gt;"&amp;""))</f>
        <v>1</v>
      </c>
      <c r="E204" s="249" t="str">
        <f>IF(D204&gt;0,TEXT(D204/COUNTIF(Başvuru!$F:$F,"&lt;&gt;"&amp;"")*100,"0.0")&amp;"%","-")</f>
        <v>00%</v>
      </c>
      <c r="F204" s="252">
        <f>IF(C204="","",COUNTIFS(Başvuru!$C:$C,C204,Başvuru!$G:$G,"Bireysel Araştırma",Başvuru!$F:$F,"&lt;&gt;"&amp;""))</f>
        <v>0</v>
      </c>
      <c r="G204" s="252">
        <f>IF(C204="","",COUNTIFS(Başvuru!$C:$C,C204,Başvuru!$G:$G,"Uzmanlık Tezi",Başvuru!$F:$F,"&lt;&gt;"&amp;""))</f>
        <v>0</v>
      </c>
      <c r="H204" s="252">
        <f>IF(C204="","",COUNTIFS(Başvuru!$C:$C,C204,Başvuru!$G:$G,"Doktora Tezi",Başvuru!$F:$F,"&lt;&gt;"&amp;""))</f>
        <v>0</v>
      </c>
      <c r="I204" s="252">
        <f>IF(C204="","",COUNTIFS(Başvuru!$C:$C,C204,Başvuru!$G:$G,"Yüksek Lisans Tezi",Başvuru!$F:$F,"&lt;&gt;"&amp;""))</f>
        <v>1</v>
      </c>
      <c r="J204" s="253">
        <f>IF(C204="","",COUNTIFS(Başvuru!$C:$C,C204,Başvuru!$L:$L,"ONAY",Başvuru!$F:$F,"&lt;&gt;"&amp;""))</f>
        <v>0</v>
      </c>
      <c r="K204" s="254">
        <f>IF(C204="","",COUNTIFS(Başvuru!$C:$C,C204,Başvuru!$L:$L,"DÜZELTME",Başvuru!$F:$F,"&lt;&gt;"&amp;""))</f>
        <v>1</v>
      </c>
      <c r="L204" s="255">
        <f>IF(C204="","",COUNTIFS(Başvuru!$C:$C,C204,Başvuru!$L:$L,"KAEK",Başvuru!$F:$F,"&lt;&gt;"&amp;""))</f>
        <v>0</v>
      </c>
      <c r="M204" s="256">
        <f>IF(C204="","",COUNTIFS(Başvuru!$C:$C,C204,Başvuru!$L:$L,"GÖRÜŞ",Başvuru!$F:$F,"&lt;&gt;"&amp;""))</f>
        <v>0</v>
      </c>
      <c r="N204" s="257">
        <f>IF(C204="","",COUNTIFS(Başvuru!$C:$C,C204,Başvuru!$L:$L,"RET",Başvuru!$F:$F,"&lt;&gt;"&amp;""))</f>
        <v>0</v>
      </c>
      <c r="O204" s="258">
        <f>IF(C204="","",COUNTIFS(Başvuru!$C:$C,C204,Başvuru!$L:$L,"KAPSAM DIŞI",Başvuru!$F:$F,"&lt;&gt;"&amp;""))</f>
        <v>0</v>
      </c>
      <c r="P204" s="259">
        <f>IF(C204="","",COUNTIFS(Başvuru!$C:$C,C204,Başvuru!$L:$L,"GERİ ÇEKİLDİ",Başvuru!$F:$F,"&lt;&gt;"&amp;""))</f>
        <v>0</v>
      </c>
      <c r="Q204" s="260" t="s">
        <v>1701</v>
      </c>
      <c r="R204" s="261">
        <f>COUNTIFS(Başvuru!$C:$C,Q204,Başvuru!$F:$F,"&lt;&gt;"&amp;"")</f>
        <v>2</v>
      </c>
      <c r="S204" s="261">
        <f>RANK(R204,$R$6:$R$290,0)+COUNTIF($R$6:R204,R204)-1</f>
        <v>104</v>
      </c>
    </row>
    <row r="205" spans="2:19" ht="15" customHeight="1" x14ac:dyDescent="0.25">
      <c r="B205" s="262">
        <v>200</v>
      </c>
      <c r="C205" s="263" t="str">
        <f>IFERROR(INDEX($Q$6:$Q$290,MATCH(200,$S$6:$S$290,0)),"")</f>
        <v>Dr. Öğr. Üyesi Yağmur Deniz YILDIRIM</v>
      </c>
      <c r="D205" s="264">
        <f>IF(C205="","",COUNTIFS(Başvuru!$C:$C,C205,Başvuru!$F:$F,"&lt;&gt;"&amp;""))</f>
        <v>1</v>
      </c>
      <c r="E205" s="262" t="str">
        <f>IF(D205&gt;0,TEXT(D205/COUNTIF(Başvuru!$F:$F,"&lt;&gt;"&amp;"")*100,"0.0")&amp;"%","-")</f>
        <v>00%</v>
      </c>
      <c r="F205" s="265">
        <f>IF(C205="","",COUNTIFS(Başvuru!$C:$C,C205,Başvuru!$G:$G,"Bireysel Araştırma",Başvuru!$F:$F,"&lt;&gt;"&amp;""))</f>
        <v>0</v>
      </c>
      <c r="G205" s="265">
        <f>IF(C205="","",COUNTIFS(Başvuru!$C:$C,C205,Başvuru!$G:$G,"Uzmanlık Tezi",Başvuru!$F:$F,"&lt;&gt;"&amp;""))</f>
        <v>1</v>
      </c>
      <c r="H205" s="265">
        <f>IF(C205="","",COUNTIFS(Başvuru!$C:$C,C205,Başvuru!$G:$G,"Doktora Tezi",Başvuru!$F:$F,"&lt;&gt;"&amp;""))</f>
        <v>0</v>
      </c>
      <c r="I205" s="265">
        <f>IF(C205="","",COUNTIFS(Başvuru!$C:$C,C205,Başvuru!$G:$G,"Yüksek Lisans Tezi",Başvuru!$F:$F,"&lt;&gt;"&amp;""))</f>
        <v>0</v>
      </c>
      <c r="J205" s="266">
        <f>IF(C205="","",COUNTIFS(Başvuru!$C:$C,C205,Başvuru!$L:$L,"ONAY",Başvuru!$F:$F,"&lt;&gt;"&amp;""))</f>
        <v>0</v>
      </c>
      <c r="K205" s="267">
        <f>IF(C205="","",COUNTIFS(Başvuru!$C:$C,C205,Başvuru!$L:$L,"DÜZELTME",Başvuru!$F:$F,"&lt;&gt;"&amp;""))</f>
        <v>1</v>
      </c>
      <c r="L205" s="268">
        <f>IF(C205="","",COUNTIFS(Başvuru!$C:$C,C205,Başvuru!$L:$L,"KAEK",Başvuru!$F:$F,"&lt;&gt;"&amp;""))</f>
        <v>0</v>
      </c>
      <c r="M205" s="269">
        <f>IF(C205="","",COUNTIFS(Başvuru!$C:$C,C205,Başvuru!$L:$L,"GÖRÜŞ",Başvuru!$F:$F,"&lt;&gt;"&amp;""))</f>
        <v>0</v>
      </c>
      <c r="N205" s="270">
        <f>IF(C205="","",COUNTIFS(Başvuru!$C:$C,C205,Başvuru!$L:$L,"RET",Başvuru!$F:$F,"&lt;&gt;"&amp;""))</f>
        <v>0</v>
      </c>
      <c r="O205" s="271">
        <f>IF(C205="","",COUNTIFS(Başvuru!$C:$C,C205,Başvuru!$L:$L,"KAPSAM DIŞI",Başvuru!$F:$F,"&lt;&gt;"&amp;""))</f>
        <v>0</v>
      </c>
      <c r="P205" s="272">
        <f>IF(C205="","",COUNTIFS(Başvuru!$C:$C,C205,Başvuru!$L:$L,"GERİ ÇEKİLDİ",Başvuru!$F:$F,"&lt;&gt;"&amp;""))</f>
        <v>0</v>
      </c>
      <c r="Q205" s="260" t="s">
        <v>1065</v>
      </c>
      <c r="R205" s="261">
        <f>COUNTIFS(Başvuru!$C:$C,Q205,Başvuru!$F:$F,"&lt;&gt;"&amp;"")</f>
        <v>1</v>
      </c>
      <c r="S205" s="261">
        <f>RANK(R205,$R$6:$R$290,0)+COUNTIF($R$6:R205,R205)-1</f>
        <v>235</v>
      </c>
    </row>
    <row r="206" spans="2:19" ht="15" customHeight="1" x14ac:dyDescent="0.25">
      <c r="B206" s="249">
        <v>201</v>
      </c>
      <c r="C206" s="250" t="str">
        <f>IFERROR(INDEX($Q$6:$Q$290,MATCH(201,$S$6:$S$290,0)),"")</f>
        <v>Dr. Öğr. Üyesi Özge YAVUZ SARI</v>
      </c>
      <c r="D206" s="251">
        <f>IF(C206="","",COUNTIFS(Başvuru!$C:$C,C206,Başvuru!$F:$F,"&lt;&gt;"&amp;""))</f>
        <v>1</v>
      </c>
      <c r="E206" s="249" t="str">
        <f>IF(D206&gt;0,TEXT(D206/COUNTIF(Başvuru!$F:$F,"&lt;&gt;"&amp;"")*100,"0.0")&amp;"%","-")</f>
        <v>00%</v>
      </c>
      <c r="F206" s="252">
        <f>IF(C206="","",COUNTIFS(Başvuru!$C:$C,C206,Başvuru!$G:$G,"Bireysel Araştırma",Başvuru!$F:$F,"&lt;&gt;"&amp;""))</f>
        <v>1</v>
      </c>
      <c r="G206" s="252">
        <f>IF(C206="","",COUNTIFS(Başvuru!$C:$C,C206,Başvuru!$G:$G,"Uzmanlık Tezi",Başvuru!$F:$F,"&lt;&gt;"&amp;""))</f>
        <v>0</v>
      </c>
      <c r="H206" s="252">
        <f>IF(C206="","",COUNTIFS(Başvuru!$C:$C,C206,Başvuru!$G:$G,"Doktora Tezi",Başvuru!$F:$F,"&lt;&gt;"&amp;""))</f>
        <v>0</v>
      </c>
      <c r="I206" s="252">
        <f>IF(C206="","",COUNTIFS(Başvuru!$C:$C,C206,Başvuru!$G:$G,"Yüksek Lisans Tezi",Başvuru!$F:$F,"&lt;&gt;"&amp;""))</f>
        <v>0</v>
      </c>
      <c r="J206" s="253">
        <f>IF(C206="","",COUNTIFS(Başvuru!$C:$C,C206,Başvuru!$L:$L,"ONAY",Başvuru!$F:$F,"&lt;&gt;"&amp;""))</f>
        <v>1</v>
      </c>
      <c r="K206" s="254">
        <f>IF(C206="","",COUNTIFS(Başvuru!$C:$C,C206,Başvuru!$L:$L,"DÜZELTME",Başvuru!$F:$F,"&lt;&gt;"&amp;""))</f>
        <v>0</v>
      </c>
      <c r="L206" s="255">
        <f>IF(C206="","",COUNTIFS(Başvuru!$C:$C,C206,Başvuru!$L:$L,"KAEK",Başvuru!$F:$F,"&lt;&gt;"&amp;""))</f>
        <v>0</v>
      </c>
      <c r="M206" s="256">
        <f>IF(C206="","",COUNTIFS(Başvuru!$C:$C,C206,Başvuru!$L:$L,"GÖRÜŞ",Başvuru!$F:$F,"&lt;&gt;"&amp;""))</f>
        <v>0</v>
      </c>
      <c r="N206" s="257">
        <f>IF(C206="","",COUNTIFS(Başvuru!$C:$C,C206,Başvuru!$L:$L,"RET",Başvuru!$F:$F,"&lt;&gt;"&amp;""))</f>
        <v>0</v>
      </c>
      <c r="O206" s="258">
        <f>IF(C206="","",COUNTIFS(Başvuru!$C:$C,C206,Başvuru!$L:$L,"KAPSAM DIŞI",Başvuru!$F:$F,"&lt;&gt;"&amp;""))</f>
        <v>0</v>
      </c>
      <c r="P206" s="259">
        <f>IF(C206="","",COUNTIFS(Başvuru!$C:$C,C206,Başvuru!$L:$L,"GERİ ÇEKİLDİ",Başvuru!$F:$F,"&lt;&gt;"&amp;""))</f>
        <v>0</v>
      </c>
      <c r="Q206" s="260" t="s">
        <v>1706</v>
      </c>
      <c r="R206" s="261">
        <f>COUNTIFS(Başvuru!$C:$C,Q206,Başvuru!$F:$F,"&lt;&gt;"&amp;"")</f>
        <v>1</v>
      </c>
      <c r="S206" s="261">
        <f>RANK(R206,$R$6:$R$290,0)+COUNTIF($R$6:R206,R206)-1</f>
        <v>236</v>
      </c>
    </row>
    <row r="207" spans="2:19" ht="15" customHeight="1" x14ac:dyDescent="0.25">
      <c r="B207" s="262">
        <v>202</v>
      </c>
      <c r="C207" s="263" t="str">
        <f>IFERROR(INDEX($Q$6:$Q$290,MATCH(202,$S$6:$S$290,0)),"")</f>
        <v>Prof. Dr. Abdullah Ruhi SOYLU</v>
      </c>
      <c r="D207" s="264">
        <f>IF(C207="","",COUNTIFS(Başvuru!$C:$C,C207,Başvuru!$F:$F,"&lt;&gt;"&amp;""))</f>
        <v>1</v>
      </c>
      <c r="E207" s="262" t="str">
        <f>IF(D207&gt;0,TEXT(D207/COUNTIF(Başvuru!$F:$F,"&lt;&gt;"&amp;"")*100,"0.0")&amp;"%","-")</f>
        <v>00%</v>
      </c>
      <c r="F207" s="265">
        <f>IF(C207="","",COUNTIFS(Başvuru!$C:$C,C207,Başvuru!$G:$G,"Bireysel Araştırma",Başvuru!$F:$F,"&lt;&gt;"&amp;""))</f>
        <v>0</v>
      </c>
      <c r="G207" s="265">
        <f>IF(C207="","",COUNTIFS(Başvuru!$C:$C,C207,Başvuru!$G:$G,"Uzmanlık Tezi",Başvuru!$F:$F,"&lt;&gt;"&amp;""))</f>
        <v>0</v>
      </c>
      <c r="H207" s="265">
        <f>IF(C207="","",COUNTIFS(Başvuru!$C:$C,C207,Başvuru!$G:$G,"Doktora Tezi",Başvuru!$F:$F,"&lt;&gt;"&amp;""))</f>
        <v>1</v>
      </c>
      <c r="I207" s="265">
        <f>IF(C207="","",COUNTIFS(Başvuru!$C:$C,C207,Başvuru!$G:$G,"Yüksek Lisans Tezi",Başvuru!$F:$F,"&lt;&gt;"&amp;""))</f>
        <v>0</v>
      </c>
      <c r="J207" s="266">
        <f>IF(C207="","",COUNTIFS(Başvuru!$C:$C,C207,Başvuru!$L:$L,"ONAY",Başvuru!$F:$F,"&lt;&gt;"&amp;""))</f>
        <v>1</v>
      </c>
      <c r="K207" s="267">
        <f>IF(C207="","",COUNTIFS(Başvuru!$C:$C,C207,Başvuru!$L:$L,"DÜZELTME",Başvuru!$F:$F,"&lt;&gt;"&amp;""))</f>
        <v>0</v>
      </c>
      <c r="L207" s="268">
        <f>IF(C207="","",COUNTIFS(Başvuru!$C:$C,C207,Başvuru!$L:$L,"KAEK",Başvuru!$F:$F,"&lt;&gt;"&amp;""))</f>
        <v>0</v>
      </c>
      <c r="M207" s="269">
        <f>IF(C207="","",COUNTIFS(Başvuru!$C:$C,C207,Başvuru!$L:$L,"GÖRÜŞ",Başvuru!$F:$F,"&lt;&gt;"&amp;""))</f>
        <v>0</v>
      </c>
      <c r="N207" s="270">
        <f>IF(C207="","",COUNTIFS(Başvuru!$C:$C,C207,Başvuru!$L:$L,"RET",Başvuru!$F:$F,"&lt;&gt;"&amp;""))</f>
        <v>0</v>
      </c>
      <c r="O207" s="271">
        <f>IF(C207="","",COUNTIFS(Başvuru!$C:$C,C207,Başvuru!$L:$L,"KAPSAM DIŞI",Başvuru!$F:$F,"&lt;&gt;"&amp;""))</f>
        <v>0</v>
      </c>
      <c r="P207" s="272">
        <f>IF(C207="","",COUNTIFS(Başvuru!$C:$C,C207,Başvuru!$L:$L,"GERİ ÇEKİLDİ",Başvuru!$F:$F,"&lt;&gt;"&amp;""))</f>
        <v>0</v>
      </c>
      <c r="Q207" s="260" t="s">
        <v>265</v>
      </c>
      <c r="R207" s="261">
        <f>COUNTIFS(Başvuru!$C:$C,Q207,Başvuru!$F:$F,"&lt;&gt;"&amp;"")</f>
        <v>3</v>
      </c>
      <c r="S207" s="261">
        <f>RANK(R207,$R$6:$R$290,0)+COUNTIF($R$6:R207,R207)-1</f>
        <v>52</v>
      </c>
    </row>
    <row r="208" spans="2:19" ht="15" customHeight="1" x14ac:dyDescent="0.25">
      <c r="B208" s="249">
        <v>203</v>
      </c>
      <c r="C208" s="250" t="str">
        <f>IFERROR(INDEX($Q$6:$Q$290,MATCH(203,$S$6:$S$290,0)),"")</f>
        <v>Prof. Dr. Ali DURSUN</v>
      </c>
      <c r="D208" s="251">
        <f>IF(C208="","",COUNTIFS(Başvuru!$C:$C,C208,Başvuru!$F:$F,"&lt;&gt;"&amp;""))</f>
        <v>1</v>
      </c>
      <c r="E208" s="249" t="str">
        <f>IF(D208&gt;0,TEXT(D208/COUNTIF(Başvuru!$F:$F,"&lt;&gt;"&amp;"")*100,"0.0")&amp;"%","-")</f>
        <v>00%</v>
      </c>
      <c r="F208" s="252">
        <f>IF(C208="","",COUNTIFS(Başvuru!$C:$C,C208,Başvuru!$G:$G,"Bireysel Araştırma",Başvuru!$F:$F,"&lt;&gt;"&amp;""))</f>
        <v>1</v>
      </c>
      <c r="G208" s="252">
        <f>IF(C208="","",COUNTIFS(Başvuru!$C:$C,C208,Başvuru!$G:$G,"Uzmanlık Tezi",Başvuru!$F:$F,"&lt;&gt;"&amp;""))</f>
        <v>0</v>
      </c>
      <c r="H208" s="252">
        <f>IF(C208="","",COUNTIFS(Başvuru!$C:$C,C208,Başvuru!$G:$G,"Doktora Tezi",Başvuru!$F:$F,"&lt;&gt;"&amp;""))</f>
        <v>0</v>
      </c>
      <c r="I208" s="252">
        <f>IF(C208="","",COUNTIFS(Başvuru!$C:$C,C208,Başvuru!$G:$G,"Yüksek Lisans Tezi",Başvuru!$F:$F,"&lt;&gt;"&amp;""))</f>
        <v>0</v>
      </c>
      <c r="J208" s="253">
        <f>IF(C208="","",COUNTIFS(Başvuru!$C:$C,C208,Başvuru!$L:$L,"ONAY",Başvuru!$F:$F,"&lt;&gt;"&amp;""))</f>
        <v>0</v>
      </c>
      <c r="K208" s="254">
        <f>IF(C208="","",COUNTIFS(Başvuru!$C:$C,C208,Başvuru!$L:$L,"DÜZELTME",Başvuru!$F:$F,"&lt;&gt;"&amp;""))</f>
        <v>1</v>
      </c>
      <c r="L208" s="255">
        <f>IF(C208="","",COUNTIFS(Başvuru!$C:$C,C208,Başvuru!$L:$L,"KAEK",Başvuru!$F:$F,"&lt;&gt;"&amp;""))</f>
        <v>0</v>
      </c>
      <c r="M208" s="256">
        <f>IF(C208="","",COUNTIFS(Başvuru!$C:$C,C208,Başvuru!$L:$L,"GÖRÜŞ",Başvuru!$F:$F,"&lt;&gt;"&amp;""))</f>
        <v>0</v>
      </c>
      <c r="N208" s="257">
        <f>IF(C208="","",COUNTIFS(Başvuru!$C:$C,C208,Başvuru!$L:$L,"RET",Başvuru!$F:$F,"&lt;&gt;"&amp;""))</f>
        <v>0</v>
      </c>
      <c r="O208" s="258">
        <f>IF(C208="","",COUNTIFS(Başvuru!$C:$C,C208,Başvuru!$L:$L,"KAPSAM DIŞI",Başvuru!$F:$F,"&lt;&gt;"&amp;""))</f>
        <v>0</v>
      </c>
      <c r="P208" s="259">
        <f>IF(C208="","",COUNTIFS(Başvuru!$C:$C,C208,Başvuru!$L:$L,"GERİ ÇEKİLDİ",Başvuru!$F:$F,"&lt;&gt;"&amp;""))</f>
        <v>0</v>
      </c>
      <c r="Q208" s="260" t="s">
        <v>441</v>
      </c>
      <c r="R208" s="261">
        <f>COUNTIFS(Başvuru!$C:$C,Q208,Başvuru!$F:$F,"&lt;&gt;"&amp;"")</f>
        <v>1</v>
      </c>
      <c r="S208" s="261">
        <f>RANK(R208,$R$6:$R$290,0)+COUNTIF($R$6:R208,R208)-1</f>
        <v>237</v>
      </c>
    </row>
    <row r="209" spans="2:19" ht="15" customHeight="1" x14ac:dyDescent="0.25">
      <c r="B209" s="262">
        <v>204</v>
      </c>
      <c r="C209" s="263" t="str">
        <f>IFERROR(INDEX($Q$6:$Q$290,MATCH(204,$S$6:$S$290,0)),"")</f>
        <v>Prof. Dr. Ali DÜZOVA</v>
      </c>
      <c r="D209" s="264">
        <f>IF(C209="","",COUNTIFS(Başvuru!$C:$C,C209,Başvuru!$F:$F,"&lt;&gt;"&amp;""))</f>
        <v>1</v>
      </c>
      <c r="E209" s="262" t="str">
        <f>IF(D209&gt;0,TEXT(D209/COUNTIF(Başvuru!$F:$F,"&lt;&gt;"&amp;"")*100,"0.0")&amp;"%","-")</f>
        <v>00%</v>
      </c>
      <c r="F209" s="265">
        <f>IF(C209="","",COUNTIFS(Başvuru!$C:$C,C209,Başvuru!$G:$G,"Bireysel Araştırma",Başvuru!$F:$F,"&lt;&gt;"&amp;""))</f>
        <v>1</v>
      </c>
      <c r="G209" s="265">
        <f>IF(C209="","",COUNTIFS(Başvuru!$C:$C,C209,Başvuru!$G:$G,"Uzmanlık Tezi",Başvuru!$F:$F,"&lt;&gt;"&amp;""))</f>
        <v>0</v>
      </c>
      <c r="H209" s="265">
        <f>IF(C209="","",COUNTIFS(Başvuru!$C:$C,C209,Başvuru!$G:$G,"Doktora Tezi",Başvuru!$F:$F,"&lt;&gt;"&amp;""))</f>
        <v>0</v>
      </c>
      <c r="I209" s="265">
        <f>IF(C209="","",COUNTIFS(Başvuru!$C:$C,C209,Başvuru!$G:$G,"Yüksek Lisans Tezi",Başvuru!$F:$F,"&lt;&gt;"&amp;""))</f>
        <v>0</v>
      </c>
      <c r="J209" s="266">
        <f>IF(C209="","",COUNTIFS(Başvuru!$C:$C,C209,Başvuru!$L:$L,"ONAY",Başvuru!$F:$F,"&lt;&gt;"&amp;""))</f>
        <v>1</v>
      </c>
      <c r="K209" s="267">
        <f>IF(C209="","",COUNTIFS(Başvuru!$C:$C,C209,Başvuru!$L:$L,"DÜZELTME",Başvuru!$F:$F,"&lt;&gt;"&amp;""))</f>
        <v>0</v>
      </c>
      <c r="L209" s="268">
        <f>IF(C209="","",COUNTIFS(Başvuru!$C:$C,C209,Başvuru!$L:$L,"KAEK",Başvuru!$F:$F,"&lt;&gt;"&amp;""))</f>
        <v>0</v>
      </c>
      <c r="M209" s="269">
        <f>IF(C209="","",COUNTIFS(Başvuru!$C:$C,C209,Başvuru!$L:$L,"GÖRÜŞ",Başvuru!$F:$F,"&lt;&gt;"&amp;""))</f>
        <v>0</v>
      </c>
      <c r="N209" s="270">
        <f>IF(C209="","",COUNTIFS(Başvuru!$C:$C,C209,Başvuru!$L:$L,"RET",Başvuru!$F:$F,"&lt;&gt;"&amp;""))</f>
        <v>0</v>
      </c>
      <c r="O209" s="271">
        <f>IF(C209="","",COUNTIFS(Başvuru!$C:$C,C209,Başvuru!$L:$L,"KAPSAM DIŞI",Başvuru!$F:$F,"&lt;&gt;"&amp;""))</f>
        <v>0</v>
      </c>
      <c r="P209" s="272">
        <f>IF(C209="","",COUNTIFS(Başvuru!$C:$C,C209,Başvuru!$L:$L,"GERİ ÇEKİLDİ",Başvuru!$F:$F,"&lt;&gt;"&amp;""))</f>
        <v>0</v>
      </c>
      <c r="Q209" s="260" t="s">
        <v>2254</v>
      </c>
      <c r="R209" s="261">
        <f>COUNTIFS(Başvuru!$C:$C,Q209,Başvuru!$F:$F,"&lt;&gt;"&amp;"")</f>
        <v>1</v>
      </c>
      <c r="S209" s="261">
        <f>RANK(R209,$R$6:$R$290,0)+COUNTIF($R$6:R209,R209)-1</f>
        <v>238</v>
      </c>
    </row>
    <row r="210" spans="2:19" ht="15" customHeight="1" x14ac:dyDescent="0.25">
      <c r="B210" s="249">
        <v>205</v>
      </c>
      <c r="C210" s="250" t="str">
        <f>IFERROR(INDEX($Q$6:$Q$290,MATCH(205,$S$6:$S$290,0)),"")</f>
        <v>Prof. Dr. Alp USUBÜTÜN</v>
      </c>
      <c r="D210" s="251">
        <f>IF(C210="","",COUNTIFS(Başvuru!$C:$C,C210,Başvuru!$F:$F,"&lt;&gt;"&amp;""))</f>
        <v>1</v>
      </c>
      <c r="E210" s="249" t="str">
        <f>IF(D210&gt;0,TEXT(D210/COUNTIF(Başvuru!$F:$F,"&lt;&gt;"&amp;"")*100,"0.0")&amp;"%","-")</f>
        <v>00%</v>
      </c>
      <c r="F210" s="252">
        <f>IF(C210="","",COUNTIFS(Başvuru!$C:$C,C210,Başvuru!$G:$G,"Bireysel Araştırma",Başvuru!$F:$F,"&lt;&gt;"&amp;""))</f>
        <v>1</v>
      </c>
      <c r="G210" s="252">
        <f>IF(C210="","",COUNTIFS(Başvuru!$C:$C,C210,Başvuru!$G:$G,"Uzmanlık Tezi",Başvuru!$F:$F,"&lt;&gt;"&amp;""))</f>
        <v>0</v>
      </c>
      <c r="H210" s="252">
        <f>IF(C210="","",COUNTIFS(Başvuru!$C:$C,C210,Başvuru!$G:$G,"Doktora Tezi",Başvuru!$F:$F,"&lt;&gt;"&amp;""))</f>
        <v>0</v>
      </c>
      <c r="I210" s="252">
        <f>IF(C210="","",COUNTIFS(Başvuru!$C:$C,C210,Başvuru!$G:$G,"Yüksek Lisans Tezi",Başvuru!$F:$F,"&lt;&gt;"&amp;""))</f>
        <v>0</v>
      </c>
      <c r="J210" s="253">
        <f>IF(C210="","",COUNTIFS(Başvuru!$C:$C,C210,Başvuru!$L:$L,"ONAY",Başvuru!$F:$F,"&lt;&gt;"&amp;""))</f>
        <v>1</v>
      </c>
      <c r="K210" s="254">
        <f>IF(C210="","",COUNTIFS(Başvuru!$C:$C,C210,Başvuru!$L:$L,"DÜZELTME",Başvuru!$F:$F,"&lt;&gt;"&amp;""))</f>
        <v>0</v>
      </c>
      <c r="L210" s="255">
        <f>IF(C210="","",COUNTIFS(Başvuru!$C:$C,C210,Başvuru!$L:$L,"KAEK",Başvuru!$F:$F,"&lt;&gt;"&amp;""))</f>
        <v>0</v>
      </c>
      <c r="M210" s="256">
        <f>IF(C210="","",COUNTIFS(Başvuru!$C:$C,C210,Başvuru!$L:$L,"GÖRÜŞ",Başvuru!$F:$F,"&lt;&gt;"&amp;""))</f>
        <v>0</v>
      </c>
      <c r="N210" s="257">
        <f>IF(C210="","",COUNTIFS(Başvuru!$C:$C,C210,Başvuru!$L:$L,"RET",Başvuru!$F:$F,"&lt;&gt;"&amp;""))</f>
        <v>0</v>
      </c>
      <c r="O210" s="258">
        <f>IF(C210="","",COUNTIFS(Başvuru!$C:$C,C210,Başvuru!$L:$L,"KAPSAM DIŞI",Başvuru!$F:$F,"&lt;&gt;"&amp;""))</f>
        <v>0</v>
      </c>
      <c r="P210" s="259">
        <f>IF(C210="","",COUNTIFS(Başvuru!$C:$C,C210,Başvuru!$L:$L,"GERİ ÇEKİLDİ",Başvuru!$F:$F,"&lt;&gt;"&amp;""))</f>
        <v>0</v>
      </c>
      <c r="Q210" s="260" t="s">
        <v>2397</v>
      </c>
      <c r="R210" s="261">
        <f>COUNTIFS(Başvuru!$C:$C,Q210,Başvuru!$F:$F,"&lt;&gt;"&amp;"")</f>
        <v>1</v>
      </c>
      <c r="S210" s="261">
        <f>RANK(R210,$R$6:$R$290,0)+COUNTIF($R$6:R210,R210)-1</f>
        <v>239</v>
      </c>
    </row>
    <row r="211" spans="2:19" ht="15" customHeight="1" x14ac:dyDescent="0.25">
      <c r="B211" s="262">
        <v>206</v>
      </c>
      <c r="C211" s="263" t="str">
        <f>IFERROR(INDEX($Q$6:$Q$290,MATCH(206,$S$6:$S$290,0)),"")</f>
        <v>Prof. Dr. Alper AKTAŞ</v>
      </c>
      <c r="D211" s="264">
        <f>IF(C211="","",COUNTIFS(Başvuru!$C:$C,C211,Başvuru!$F:$F,"&lt;&gt;"&amp;""))</f>
        <v>1</v>
      </c>
      <c r="E211" s="262" t="str">
        <f>IF(D211&gt;0,TEXT(D211/COUNTIF(Başvuru!$F:$F,"&lt;&gt;"&amp;"")*100,"0.0")&amp;"%","-")</f>
        <v>00%</v>
      </c>
      <c r="F211" s="265">
        <f>IF(C211="","",COUNTIFS(Başvuru!$C:$C,C211,Başvuru!$G:$G,"Bireysel Araştırma",Başvuru!$F:$F,"&lt;&gt;"&amp;""))</f>
        <v>1</v>
      </c>
      <c r="G211" s="265">
        <f>IF(C211="","",COUNTIFS(Başvuru!$C:$C,C211,Başvuru!$G:$G,"Uzmanlık Tezi",Başvuru!$F:$F,"&lt;&gt;"&amp;""))</f>
        <v>0</v>
      </c>
      <c r="H211" s="265">
        <f>IF(C211="","",COUNTIFS(Başvuru!$C:$C,C211,Başvuru!$G:$G,"Doktora Tezi",Başvuru!$F:$F,"&lt;&gt;"&amp;""))</f>
        <v>0</v>
      </c>
      <c r="I211" s="265">
        <f>IF(C211="","",COUNTIFS(Başvuru!$C:$C,C211,Başvuru!$G:$G,"Yüksek Lisans Tezi",Başvuru!$F:$F,"&lt;&gt;"&amp;""))</f>
        <v>0</v>
      </c>
      <c r="J211" s="266">
        <f>IF(C211="","",COUNTIFS(Başvuru!$C:$C,C211,Başvuru!$L:$L,"ONAY",Başvuru!$F:$F,"&lt;&gt;"&amp;""))</f>
        <v>1</v>
      </c>
      <c r="K211" s="267">
        <f>IF(C211="","",COUNTIFS(Başvuru!$C:$C,C211,Başvuru!$L:$L,"DÜZELTME",Başvuru!$F:$F,"&lt;&gt;"&amp;""))</f>
        <v>0</v>
      </c>
      <c r="L211" s="268">
        <f>IF(C211="","",COUNTIFS(Başvuru!$C:$C,C211,Başvuru!$L:$L,"KAEK",Başvuru!$F:$F,"&lt;&gt;"&amp;""))</f>
        <v>0</v>
      </c>
      <c r="M211" s="269">
        <f>IF(C211="","",COUNTIFS(Başvuru!$C:$C,C211,Başvuru!$L:$L,"GÖRÜŞ",Başvuru!$F:$F,"&lt;&gt;"&amp;""))</f>
        <v>0</v>
      </c>
      <c r="N211" s="270">
        <f>IF(C211="","",COUNTIFS(Başvuru!$C:$C,C211,Başvuru!$L:$L,"RET",Başvuru!$F:$F,"&lt;&gt;"&amp;""))</f>
        <v>0</v>
      </c>
      <c r="O211" s="271">
        <f>IF(C211="","",COUNTIFS(Başvuru!$C:$C,C211,Başvuru!$L:$L,"KAPSAM DIŞI",Başvuru!$F:$F,"&lt;&gt;"&amp;""))</f>
        <v>0</v>
      </c>
      <c r="P211" s="272">
        <f>IF(C211="","",COUNTIFS(Başvuru!$C:$C,C211,Başvuru!$L:$L,"GERİ ÇEKİLDİ",Başvuru!$F:$F,"&lt;&gt;"&amp;""))</f>
        <v>0</v>
      </c>
      <c r="Q211" s="260" t="s">
        <v>118</v>
      </c>
      <c r="R211" s="261">
        <f>COUNTIFS(Başvuru!$C:$C,Q211,Başvuru!$F:$F,"&lt;&gt;"&amp;"")</f>
        <v>1</v>
      </c>
      <c r="S211" s="261">
        <f>RANK(R211,$R$6:$R$290,0)+COUNTIF($R$6:R211,R211)-1</f>
        <v>240</v>
      </c>
    </row>
    <row r="212" spans="2:19" ht="15" customHeight="1" x14ac:dyDescent="0.25">
      <c r="B212" s="249">
        <v>207</v>
      </c>
      <c r="C212" s="250" t="str">
        <f>IFERROR(INDEX($Q$6:$Q$290,MATCH(207,$S$6:$S$290,0)),"")</f>
        <v>Prof. Dr. Aygin EKİNCİOĞLU</v>
      </c>
      <c r="D212" s="251">
        <f>IF(C212="","",COUNTIFS(Başvuru!$C:$C,C212,Başvuru!$F:$F,"&lt;&gt;"&amp;""))</f>
        <v>1</v>
      </c>
      <c r="E212" s="249" t="str">
        <f>IF(D212&gt;0,TEXT(D212/COUNTIF(Başvuru!$F:$F,"&lt;&gt;"&amp;"")*100,"0.0")&amp;"%","-")</f>
        <v>00%</v>
      </c>
      <c r="F212" s="252">
        <f>IF(C212="","",COUNTIFS(Başvuru!$C:$C,C212,Başvuru!$G:$G,"Bireysel Araştırma",Başvuru!$F:$F,"&lt;&gt;"&amp;""))</f>
        <v>1</v>
      </c>
      <c r="G212" s="252">
        <f>IF(C212="","",COUNTIFS(Başvuru!$C:$C,C212,Başvuru!$G:$G,"Uzmanlık Tezi",Başvuru!$F:$F,"&lt;&gt;"&amp;""))</f>
        <v>0</v>
      </c>
      <c r="H212" s="252">
        <f>IF(C212="","",COUNTIFS(Başvuru!$C:$C,C212,Başvuru!$G:$G,"Doktora Tezi",Başvuru!$F:$F,"&lt;&gt;"&amp;""))</f>
        <v>0</v>
      </c>
      <c r="I212" s="252">
        <f>IF(C212="","",COUNTIFS(Başvuru!$C:$C,C212,Başvuru!$G:$G,"Yüksek Lisans Tezi",Başvuru!$F:$F,"&lt;&gt;"&amp;""))</f>
        <v>0</v>
      </c>
      <c r="J212" s="253">
        <f>IF(C212="","",COUNTIFS(Başvuru!$C:$C,C212,Başvuru!$L:$L,"ONAY",Başvuru!$F:$F,"&lt;&gt;"&amp;""))</f>
        <v>0</v>
      </c>
      <c r="K212" s="254">
        <f>IF(C212="","",COUNTIFS(Başvuru!$C:$C,C212,Başvuru!$L:$L,"DÜZELTME",Başvuru!$F:$F,"&lt;&gt;"&amp;""))</f>
        <v>1</v>
      </c>
      <c r="L212" s="255">
        <f>IF(C212="","",COUNTIFS(Başvuru!$C:$C,C212,Başvuru!$L:$L,"KAEK",Başvuru!$F:$F,"&lt;&gt;"&amp;""))</f>
        <v>0</v>
      </c>
      <c r="M212" s="256">
        <f>IF(C212="","",COUNTIFS(Başvuru!$C:$C,C212,Başvuru!$L:$L,"GÖRÜŞ",Başvuru!$F:$F,"&lt;&gt;"&amp;""))</f>
        <v>0</v>
      </c>
      <c r="N212" s="257">
        <f>IF(C212="","",COUNTIFS(Başvuru!$C:$C,C212,Başvuru!$L:$L,"RET",Başvuru!$F:$F,"&lt;&gt;"&amp;""))</f>
        <v>0</v>
      </c>
      <c r="O212" s="258">
        <f>IF(C212="","",COUNTIFS(Başvuru!$C:$C,C212,Başvuru!$L:$L,"KAPSAM DIŞI",Başvuru!$F:$F,"&lt;&gt;"&amp;""))</f>
        <v>0</v>
      </c>
      <c r="P212" s="259">
        <f>IF(C212="","",COUNTIFS(Başvuru!$C:$C,C212,Başvuru!$L:$L,"GERİ ÇEKİLDİ",Başvuru!$F:$F,"&lt;&gt;"&amp;""))</f>
        <v>0</v>
      </c>
      <c r="Q212" s="260" t="s">
        <v>418</v>
      </c>
      <c r="R212" s="261">
        <f>COUNTIFS(Başvuru!$C:$C,Q212,Başvuru!$F:$F,"&lt;&gt;"&amp;"")</f>
        <v>8</v>
      </c>
      <c r="S212" s="261">
        <f>RANK(R212,$R$6:$R$290,0)+COUNTIF($R$6:R212,R212)-1</f>
        <v>6</v>
      </c>
    </row>
    <row r="213" spans="2:19" ht="15" customHeight="1" x14ac:dyDescent="0.25">
      <c r="B213" s="262">
        <v>208</v>
      </c>
      <c r="C213" s="263" t="str">
        <f>IFERROR(INDEX($Q$6:$Q$290,MATCH(208,$S$6:$S$290,0)),"")</f>
        <v>Prof. Dr. Bahar GÜÇİZ DOĞAN</v>
      </c>
      <c r="D213" s="264">
        <f>IF(C213="","",COUNTIFS(Başvuru!$C:$C,C213,Başvuru!$F:$F,"&lt;&gt;"&amp;""))</f>
        <v>1</v>
      </c>
      <c r="E213" s="262" t="str">
        <f>IF(D213&gt;0,TEXT(D213/COUNTIF(Başvuru!$F:$F,"&lt;&gt;"&amp;"")*100,"0.0")&amp;"%","-")</f>
        <v>00%</v>
      </c>
      <c r="F213" s="265">
        <f>IF(C213="","",COUNTIFS(Başvuru!$C:$C,C213,Başvuru!$G:$G,"Bireysel Araştırma",Başvuru!$F:$F,"&lt;&gt;"&amp;""))</f>
        <v>1</v>
      </c>
      <c r="G213" s="265">
        <f>IF(C213="","",COUNTIFS(Başvuru!$C:$C,C213,Başvuru!$G:$G,"Uzmanlık Tezi",Başvuru!$F:$F,"&lt;&gt;"&amp;""))</f>
        <v>0</v>
      </c>
      <c r="H213" s="265">
        <f>IF(C213="","",COUNTIFS(Başvuru!$C:$C,C213,Başvuru!$G:$G,"Doktora Tezi",Başvuru!$F:$F,"&lt;&gt;"&amp;""))</f>
        <v>0</v>
      </c>
      <c r="I213" s="265">
        <f>IF(C213="","",COUNTIFS(Başvuru!$C:$C,C213,Başvuru!$G:$G,"Yüksek Lisans Tezi",Başvuru!$F:$F,"&lt;&gt;"&amp;""))</f>
        <v>0</v>
      </c>
      <c r="J213" s="266">
        <f>IF(C213="","",COUNTIFS(Başvuru!$C:$C,C213,Başvuru!$L:$L,"ONAY",Başvuru!$F:$F,"&lt;&gt;"&amp;""))</f>
        <v>0</v>
      </c>
      <c r="K213" s="267">
        <f>IF(C213="","",COUNTIFS(Başvuru!$C:$C,C213,Başvuru!$L:$L,"DÜZELTME",Başvuru!$F:$F,"&lt;&gt;"&amp;""))</f>
        <v>1</v>
      </c>
      <c r="L213" s="268">
        <f>IF(C213="","",COUNTIFS(Başvuru!$C:$C,C213,Başvuru!$L:$L,"KAEK",Başvuru!$F:$F,"&lt;&gt;"&amp;""))</f>
        <v>0</v>
      </c>
      <c r="M213" s="269">
        <f>IF(C213="","",COUNTIFS(Başvuru!$C:$C,C213,Başvuru!$L:$L,"GÖRÜŞ",Başvuru!$F:$F,"&lt;&gt;"&amp;""))</f>
        <v>0</v>
      </c>
      <c r="N213" s="270">
        <f>IF(C213="","",COUNTIFS(Başvuru!$C:$C,C213,Başvuru!$L:$L,"RET",Başvuru!$F:$F,"&lt;&gt;"&amp;""))</f>
        <v>0</v>
      </c>
      <c r="O213" s="271">
        <f>IF(C213="","",COUNTIFS(Başvuru!$C:$C,C213,Başvuru!$L:$L,"KAPSAM DIŞI",Başvuru!$F:$F,"&lt;&gt;"&amp;""))</f>
        <v>0</v>
      </c>
      <c r="P213" s="272">
        <f>IF(C213="","",COUNTIFS(Başvuru!$C:$C,C213,Başvuru!$L:$L,"GERİ ÇEKİLDİ",Başvuru!$F:$F,"&lt;&gt;"&amp;""))</f>
        <v>0</v>
      </c>
      <c r="Q213" s="260" t="s">
        <v>391</v>
      </c>
      <c r="R213" s="261">
        <f>COUNTIFS(Başvuru!$C:$C,Q213,Başvuru!$F:$F,"&lt;&gt;"&amp;"")</f>
        <v>1</v>
      </c>
      <c r="S213" s="261">
        <f>RANK(R213,$R$6:$R$290,0)+COUNTIF($R$6:R213,R213)-1</f>
        <v>241</v>
      </c>
    </row>
    <row r="214" spans="2:19" ht="15" customHeight="1" x14ac:dyDescent="0.25">
      <c r="B214" s="249">
        <v>209</v>
      </c>
      <c r="C214" s="250" t="str">
        <f>IFERROR(INDEX($Q$6:$Q$290,MATCH(209,$S$6:$S$290,0)),"")</f>
        <v>Prof. Dr. Banu KILIÇASLAN</v>
      </c>
      <c r="D214" s="251">
        <f>IF(C214="","",COUNTIFS(Başvuru!$C:$C,C214,Başvuru!$F:$F,"&lt;&gt;"&amp;""))</f>
        <v>1</v>
      </c>
      <c r="E214" s="249" t="str">
        <f>IF(D214&gt;0,TEXT(D214/COUNTIF(Başvuru!$F:$F,"&lt;&gt;"&amp;"")*100,"0.0")&amp;"%","-")</f>
        <v>00%</v>
      </c>
      <c r="F214" s="252">
        <f>IF(C214="","",COUNTIFS(Başvuru!$C:$C,C214,Başvuru!$G:$G,"Bireysel Araştırma",Başvuru!$F:$F,"&lt;&gt;"&amp;""))</f>
        <v>0</v>
      </c>
      <c r="G214" s="252">
        <f>IF(C214="","",COUNTIFS(Başvuru!$C:$C,C214,Başvuru!$G:$G,"Uzmanlık Tezi",Başvuru!$F:$F,"&lt;&gt;"&amp;""))</f>
        <v>1</v>
      </c>
      <c r="H214" s="252">
        <f>IF(C214="","",COUNTIFS(Başvuru!$C:$C,C214,Başvuru!$G:$G,"Doktora Tezi",Başvuru!$F:$F,"&lt;&gt;"&amp;""))</f>
        <v>0</v>
      </c>
      <c r="I214" s="252">
        <f>IF(C214="","",COUNTIFS(Başvuru!$C:$C,C214,Başvuru!$G:$G,"Yüksek Lisans Tezi",Başvuru!$F:$F,"&lt;&gt;"&amp;""))</f>
        <v>0</v>
      </c>
      <c r="J214" s="253">
        <f>IF(C214="","",COUNTIFS(Başvuru!$C:$C,C214,Başvuru!$L:$L,"ONAY",Başvuru!$F:$F,"&lt;&gt;"&amp;""))</f>
        <v>0</v>
      </c>
      <c r="K214" s="254">
        <f>IF(C214="","",COUNTIFS(Başvuru!$C:$C,C214,Başvuru!$L:$L,"DÜZELTME",Başvuru!$F:$F,"&lt;&gt;"&amp;""))</f>
        <v>1</v>
      </c>
      <c r="L214" s="255">
        <f>IF(C214="","",COUNTIFS(Başvuru!$C:$C,C214,Başvuru!$L:$L,"KAEK",Başvuru!$F:$F,"&lt;&gt;"&amp;""))</f>
        <v>0</v>
      </c>
      <c r="M214" s="256">
        <f>IF(C214="","",COUNTIFS(Başvuru!$C:$C,C214,Başvuru!$L:$L,"GÖRÜŞ",Başvuru!$F:$F,"&lt;&gt;"&amp;""))</f>
        <v>0</v>
      </c>
      <c r="N214" s="257">
        <f>IF(C214="","",COUNTIFS(Başvuru!$C:$C,C214,Başvuru!$L:$L,"RET",Başvuru!$F:$F,"&lt;&gt;"&amp;""))</f>
        <v>0</v>
      </c>
      <c r="O214" s="258">
        <f>IF(C214="","",COUNTIFS(Başvuru!$C:$C,C214,Başvuru!$L:$L,"KAPSAM DIŞI",Başvuru!$F:$F,"&lt;&gt;"&amp;""))</f>
        <v>0</v>
      </c>
      <c r="P214" s="259">
        <f>IF(C214="","",COUNTIFS(Başvuru!$C:$C,C214,Başvuru!$L:$L,"GERİ ÇEKİLDİ",Başvuru!$F:$F,"&lt;&gt;"&amp;""))</f>
        <v>0</v>
      </c>
      <c r="Q214" s="260" t="s">
        <v>1306</v>
      </c>
      <c r="R214" s="261">
        <f>COUNTIFS(Başvuru!$C:$C,Q214,Başvuru!$F:$F,"&lt;&gt;"&amp;"")</f>
        <v>1</v>
      </c>
      <c r="S214" s="261">
        <f>RANK(R214,$R$6:$R$290,0)+COUNTIF($R$6:R214,R214)-1</f>
        <v>242</v>
      </c>
    </row>
    <row r="215" spans="2:19" ht="15" customHeight="1" x14ac:dyDescent="0.25">
      <c r="B215" s="262">
        <v>210</v>
      </c>
      <c r="C215" s="263" t="str">
        <f>IFERROR(INDEX($Q$6:$Q$290,MATCH(210,$S$6:$S$290,0)),"")</f>
        <v>Prof. Dr. Banu SANCAK</v>
      </c>
      <c r="D215" s="264">
        <f>IF(C215="","",COUNTIFS(Başvuru!$C:$C,C215,Başvuru!$F:$F,"&lt;&gt;"&amp;""))</f>
        <v>1</v>
      </c>
      <c r="E215" s="262" t="str">
        <f>IF(D215&gt;0,TEXT(D215/COUNTIF(Başvuru!$F:$F,"&lt;&gt;"&amp;"")*100,"0.0")&amp;"%","-")</f>
        <v>00%</v>
      </c>
      <c r="F215" s="265">
        <f>IF(C215="","",COUNTIFS(Başvuru!$C:$C,C215,Başvuru!$G:$G,"Bireysel Araştırma",Başvuru!$F:$F,"&lt;&gt;"&amp;""))</f>
        <v>1</v>
      </c>
      <c r="G215" s="265">
        <f>IF(C215="","",COUNTIFS(Başvuru!$C:$C,C215,Başvuru!$G:$G,"Uzmanlık Tezi",Başvuru!$F:$F,"&lt;&gt;"&amp;""))</f>
        <v>0</v>
      </c>
      <c r="H215" s="265">
        <f>IF(C215="","",COUNTIFS(Başvuru!$C:$C,C215,Başvuru!$G:$G,"Doktora Tezi",Başvuru!$F:$F,"&lt;&gt;"&amp;""))</f>
        <v>0</v>
      </c>
      <c r="I215" s="265">
        <f>IF(C215="","",COUNTIFS(Başvuru!$C:$C,C215,Başvuru!$G:$G,"Yüksek Lisans Tezi",Başvuru!$F:$F,"&lt;&gt;"&amp;""))</f>
        <v>0</v>
      </c>
      <c r="J215" s="266">
        <f>IF(C215="","",COUNTIFS(Başvuru!$C:$C,C215,Başvuru!$L:$L,"ONAY",Başvuru!$F:$F,"&lt;&gt;"&amp;""))</f>
        <v>0</v>
      </c>
      <c r="K215" s="267">
        <f>IF(C215="","",COUNTIFS(Başvuru!$C:$C,C215,Başvuru!$L:$L,"DÜZELTME",Başvuru!$F:$F,"&lt;&gt;"&amp;""))</f>
        <v>0</v>
      </c>
      <c r="L215" s="268">
        <f>IF(C215="","",COUNTIFS(Başvuru!$C:$C,C215,Başvuru!$L:$L,"KAEK",Başvuru!$F:$F,"&lt;&gt;"&amp;""))</f>
        <v>0</v>
      </c>
      <c r="M215" s="269">
        <f>IF(C215="","",COUNTIFS(Başvuru!$C:$C,C215,Başvuru!$L:$L,"GÖRÜŞ",Başvuru!$F:$F,"&lt;&gt;"&amp;""))</f>
        <v>0</v>
      </c>
      <c r="N215" s="270">
        <f>IF(C215="","",COUNTIFS(Başvuru!$C:$C,C215,Başvuru!$L:$L,"RET",Başvuru!$F:$F,"&lt;&gt;"&amp;""))</f>
        <v>0</v>
      </c>
      <c r="O215" s="271">
        <f>IF(C215="","",COUNTIFS(Başvuru!$C:$C,C215,Başvuru!$L:$L,"KAPSAM DIŞI",Başvuru!$F:$F,"&lt;&gt;"&amp;""))</f>
        <v>0</v>
      </c>
      <c r="P215" s="272">
        <f>IF(C215="","",COUNTIFS(Başvuru!$C:$C,C215,Başvuru!$L:$L,"GERİ ÇEKİLDİ",Başvuru!$F:$F,"&lt;&gt;"&amp;""))</f>
        <v>0</v>
      </c>
      <c r="Q215" s="260" t="s">
        <v>2027</v>
      </c>
      <c r="R215" s="261">
        <f>COUNTIFS(Başvuru!$C:$C,Q215,Başvuru!$F:$F,"&lt;&gt;"&amp;"")</f>
        <v>1</v>
      </c>
      <c r="S215" s="261">
        <f>RANK(R215,$R$6:$R$290,0)+COUNTIF($R$6:R215,R215)-1</f>
        <v>243</v>
      </c>
    </row>
    <row r="216" spans="2:19" ht="15" customHeight="1" x14ac:dyDescent="0.25">
      <c r="B216" s="249">
        <v>211</v>
      </c>
      <c r="C216" s="250" t="str">
        <f>IFERROR(INDEX($Q$6:$Q$290,MATCH(211,$S$6:$S$290,0)),"")</f>
        <v>Prof. Dr. Bora GÜLHAN</v>
      </c>
      <c r="D216" s="251">
        <f>IF(C216="","",COUNTIFS(Başvuru!$C:$C,C216,Başvuru!$F:$F,"&lt;&gt;"&amp;""))</f>
        <v>1</v>
      </c>
      <c r="E216" s="249" t="str">
        <f>IF(D216&gt;0,TEXT(D216/COUNTIF(Başvuru!$F:$F,"&lt;&gt;"&amp;"")*100,"0.0")&amp;"%","-")</f>
        <v>00%</v>
      </c>
      <c r="F216" s="252">
        <f>IF(C216="","",COUNTIFS(Başvuru!$C:$C,C216,Başvuru!$G:$G,"Bireysel Araştırma",Başvuru!$F:$F,"&lt;&gt;"&amp;""))</f>
        <v>0</v>
      </c>
      <c r="G216" s="252">
        <f>IF(C216="","",COUNTIFS(Başvuru!$C:$C,C216,Başvuru!$G:$G,"Uzmanlık Tezi",Başvuru!$F:$F,"&lt;&gt;"&amp;""))</f>
        <v>1</v>
      </c>
      <c r="H216" s="252">
        <f>IF(C216="","",COUNTIFS(Başvuru!$C:$C,C216,Başvuru!$G:$G,"Doktora Tezi",Başvuru!$F:$F,"&lt;&gt;"&amp;""))</f>
        <v>0</v>
      </c>
      <c r="I216" s="252">
        <f>IF(C216="","",COUNTIFS(Başvuru!$C:$C,C216,Başvuru!$G:$G,"Yüksek Lisans Tezi",Başvuru!$F:$F,"&lt;&gt;"&amp;""))</f>
        <v>0</v>
      </c>
      <c r="J216" s="253">
        <f>IF(C216="","",COUNTIFS(Başvuru!$C:$C,C216,Başvuru!$L:$L,"ONAY",Başvuru!$F:$F,"&lt;&gt;"&amp;""))</f>
        <v>1</v>
      </c>
      <c r="K216" s="254">
        <f>IF(C216="","",COUNTIFS(Başvuru!$C:$C,C216,Başvuru!$L:$L,"DÜZELTME",Başvuru!$F:$F,"&lt;&gt;"&amp;""))</f>
        <v>0</v>
      </c>
      <c r="L216" s="255">
        <f>IF(C216="","",COUNTIFS(Başvuru!$C:$C,C216,Başvuru!$L:$L,"KAEK",Başvuru!$F:$F,"&lt;&gt;"&amp;""))</f>
        <v>0</v>
      </c>
      <c r="M216" s="256">
        <f>IF(C216="","",COUNTIFS(Başvuru!$C:$C,C216,Başvuru!$L:$L,"GÖRÜŞ",Başvuru!$F:$F,"&lt;&gt;"&amp;""))</f>
        <v>0</v>
      </c>
      <c r="N216" s="257">
        <f>IF(C216="","",COUNTIFS(Başvuru!$C:$C,C216,Başvuru!$L:$L,"RET",Başvuru!$F:$F,"&lt;&gt;"&amp;""))</f>
        <v>0</v>
      </c>
      <c r="O216" s="258">
        <f>IF(C216="","",COUNTIFS(Başvuru!$C:$C,C216,Başvuru!$L:$L,"KAPSAM DIŞI",Başvuru!$F:$F,"&lt;&gt;"&amp;""))</f>
        <v>0</v>
      </c>
      <c r="P216" s="259">
        <f>IF(C216="","",COUNTIFS(Başvuru!$C:$C,C216,Başvuru!$L:$L,"GERİ ÇEKİLDİ",Başvuru!$F:$F,"&lt;&gt;"&amp;""))</f>
        <v>0</v>
      </c>
      <c r="Q216" s="260" t="s">
        <v>102</v>
      </c>
      <c r="R216" s="261">
        <f>COUNTIFS(Başvuru!$C:$C,Q216,Başvuru!$F:$F,"&lt;&gt;"&amp;"")</f>
        <v>1</v>
      </c>
      <c r="S216" s="261">
        <f>RANK(R216,$R$6:$R$290,0)+COUNTIF($R$6:R216,R216)-1</f>
        <v>244</v>
      </c>
    </row>
    <row r="217" spans="2:19" ht="15" customHeight="1" x14ac:dyDescent="0.25">
      <c r="B217" s="262">
        <v>212</v>
      </c>
      <c r="C217" s="263" t="str">
        <f>IFERROR(INDEX($Q$6:$Q$290,MATCH(212,$S$6:$S$290,0)),"")</f>
        <v>Prof. Dr. Bülent ALTUN</v>
      </c>
      <c r="D217" s="264">
        <f>IF(C217="","",COUNTIFS(Başvuru!$C:$C,C217,Başvuru!$F:$F,"&lt;&gt;"&amp;""))</f>
        <v>1</v>
      </c>
      <c r="E217" s="262" t="str">
        <f>IF(D217&gt;0,TEXT(D217/COUNTIF(Başvuru!$F:$F,"&lt;&gt;"&amp;"")*100,"0.0")&amp;"%","-")</f>
        <v>00%</v>
      </c>
      <c r="F217" s="265">
        <f>IF(C217="","",COUNTIFS(Başvuru!$C:$C,C217,Başvuru!$G:$G,"Bireysel Araştırma",Başvuru!$F:$F,"&lt;&gt;"&amp;""))</f>
        <v>1</v>
      </c>
      <c r="G217" s="265">
        <f>IF(C217="","",COUNTIFS(Başvuru!$C:$C,C217,Başvuru!$G:$G,"Uzmanlık Tezi",Başvuru!$F:$F,"&lt;&gt;"&amp;""))</f>
        <v>0</v>
      </c>
      <c r="H217" s="265">
        <f>IF(C217="","",COUNTIFS(Başvuru!$C:$C,C217,Başvuru!$G:$G,"Doktora Tezi",Başvuru!$F:$F,"&lt;&gt;"&amp;""))</f>
        <v>0</v>
      </c>
      <c r="I217" s="265">
        <f>IF(C217="","",COUNTIFS(Başvuru!$C:$C,C217,Başvuru!$G:$G,"Yüksek Lisans Tezi",Başvuru!$F:$F,"&lt;&gt;"&amp;""))</f>
        <v>0</v>
      </c>
      <c r="J217" s="266">
        <f>IF(C217="","",COUNTIFS(Başvuru!$C:$C,C217,Başvuru!$L:$L,"ONAY",Başvuru!$F:$F,"&lt;&gt;"&amp;""))</f>
        <v>1</v>
      </c>
      <c r="K217" s="267">
        <f>IF(C217="","",COUNTIFS(Başvuru!$C:$C,C217,Başvuru!$L:$L,"DÜZELTME",Başvuru!$F:$F,"&lt;&gt;"&amp;""))</f>
        <v>0</v>
      </c>
      <c r="L217" s="268">
        <f>IF(C217="","",COUNTIFS(Başvuru!$C:$C,C217,Başvuru!$L:$L,"KAEK",Başvuru!$F:$F,"&lt;&gt;"&amp;""))</f>
        <v>0</v>
      </c>
      <c r="M217" s="269">
        <f>IF(C217="","",COUNTIFS(Başvuru!$C:$C,C217,Başvuru!$L:$L,"GÖRÜŞ",Başvuru!$F:$F,"&lt;&gt;"&amp;""))</f>
        <v>0</v>
      </c>
      <c r="N217" s="270">
        <f>IF(C217="","",COUNTIFS(Başvuru!$C:$C,C217,Başvuru!$L:$L,"RET",Başvuru!$F:$F,"&lt;&gt;"&amp;""))</f>
        <v>0</v>
      </c>
      <c r="O217" s="271">
        <f>IF(C217="","",COUNTIFS(Başvuru!$C:$C,C217,Başvuru!$L:$L,"KAPSAM DIŞI",Başvuru!$F:$F,"&lt;&gt;"&amp;""))</f>
        <v>0</v>
      </c>
      <c r="P217" s="272">
        <f>IF(C217="","",COUNTIFS(Başvuru!$C:$C,C217,Başvuru!$L:$L,"GERİ ÇEKİLDİ",Başvuru!$F:$F,"&lt;&gt;"&amp;""))</f>
        <v>0</v>
      </c>
      <c r="Q217" s="260" t="s">
        <v>106</v>
      </c>
      <c r="R217" s="261">
        <f>COUNTIFS(Başvuru!$C:$C,Q217,Başvuru!$F:$F,"&lt;&gt;"&amp;"")</f>
        <v>16</v>
      </c>
      <c r="S217" s="261">
        <f>RANK(R217,$R$6:$R$290,0)+COUNTIF($R$6:R217,R217)-1</f>
        <v>1</v>
      </c>
    </row>
    <row r="218" spans="2:19" ht="15" customHeight="1" x14ac:dyDescent="0.25">
      <c r="B218" s="249">
        <v>213</v>
      </c>
      <c r="C218" s="250" t="str">
        <f>IFERROR(INDEX($Q$6:$Q$290,MATCH(213,$S$6:$S$290,0)),"")</f>
        <v>Prof. Dr. Bülent ATİLLA</v>
      </c>
      <c r="D218" s="251">
        <f>IF(C218="","",COUNTIFS(Başvuru!$C:$C,C218,Başvuru!$F:$F,"&lt;&gt;"&amp;""))</f>
        <v>1</v>
      </c>
      <c r="E218" s="249" t="str">
        <f>IF(D218&gt;0,TEXT(D218/COUNTIF(Başvuru!$F:$F,"&lt;&gt;"&amp;"")*100,"0.0")&amp;"%","-")</f>
        <v>00%</v>
      </c>
      <c r="F218" s="252">
        <f>IF(C218="","",COUNTIFS(Başvuru!$C:$C,C218,Başvuru!$G:$G,"Bireysel Araştırma",Başvuru!$F:$F,"&lt;&gt;"&amp;""))</f>
        <v>1</v>
      </c>
      <c r="G218" s="252">
        <f>IF(C218="","",COUNTIFS(Başvuru!$C:$C,C218,Başvuru!$G:$G,"Uzmanlık Tezi",Başvuru!$F:$F,"&lt;&gt;"&amp;""))</f>
        <v>0</v>
      </c>
      <c r="H218" s="252">
        <f>IF(C218="","",COUNTIFS(Başvuru!$C:$C,C218,Başvuru!$G:$G,"Doktora Tezi",Başvuru!$F:$F,"&lt;&gt;"&amp;""))</f>
        <v>0</v>
      </c>
      <c r="I218" s="252">
        <f>IF(C218="","",COUNTIFS(Başvuru!$C:$C,C218,Başvuru!$G:$G,"Yüksek Lisans Tezi",Başvuru!$F:$F,"&lt;&gt;"&amp;""))</f>
        <v>0</v>
      </c>
      <c r="J218" s="253">
        <f>IF(C218="","",COUNTIFS(Başvuru!$C:$C,C218,Başvuru!$L:$L,"ONAY",Başvuru!$F:$F,"&lt;&gt;"&amp;""))</f>
        <v>0</v>
      </c>
      <c r="K218" s="254">
        <f>IF(C218="","",COUNTIFS(Başvuru!$C:$C,C218,Başvuru!$L:$L,"DÜZELTME",Başvuru!$F:$F,"&lt;&gt;"&amp;""))</f>
        <v>1</v>
      </c>
      <c r="L218" s="255">
        <f>IF(C218="","",COUNTIFS(Başvuru!$C:$C,C218,Başvuru!$L:$L,"KAEK",Başvuru!$F:$F,"&lt;&gt;"&amp;""))</f>
        <v>0</v>
      </c>
      <c r="M218" s="256">
        <f>IF(C218="","",COUNTIFS(Başvuru!$C:$C,C218,Başvuru!$L:$L,"GÖRÜŞ",Başvuru!$F:$F,"&lt;&gt;"&amp;""))</f>
        <v>0</v>
      </c>
      <c r="N218" s="257">
        <f>IF(C218="","",COUNTIFS(Başvuru!$C:$C,C218,Başvuru!$L:$L,"RET",Başvuru!$F:$F,"&lt;&gt;"&amp;""))</f>
        <v>0</v>
      </c>
      <c r="O218" s="258">
        <f>IF(C218="","",COUNTIFS(Başvuru!$C:$C,C218,Başvuru!$L:$L,"KAPSAM DIŞI",Başvuru!$F:$F,"&lt;&gt;"&amp;""))</f>
        <v>0</v>
      </c>
      <c r="P218" s="259">
        <f>IF(C218="","",COUNTIFS(Başvuru!$C:$C,C218,Başvuru!$L:$L,"GERİ ÇEKİLDİ",Başvuru!$F:$F,"&lt;&gt;"&amp;""))</f>
        <v>0</v>
      </c>
      <c r="Q218" s="260" t="s">
        <v>1170</v>
      </c>
      <c r="R218" s="261">
        <f>COUNTIFS(Başvuru!$C:$C,Q218,Başvuru!$F:$F,"&lt;&gt;"&amp;"")</f>
        <v>1</v>
      </c>
      <c r="S218" s="261">
        <f>RANK(R218,$R$6:$R$290,0)+COUNTIF($R$6:R218,R218)-1</f>
        <v>245</v>
      </c>
    </row>
    <row r="219" spans="2:19" ht="15" customHeight="1" x14ac:dyDescent="0.25">
      <c r="B219" s="262">
        <v>214</v>
      </c>
      <c r="C219" s="263" t="str">
        <f>IFERROR(INDEX($Q$6:$Q$290,MATCH(214,$S$6:$S$290,0)),"")</f>
        <v>Prof. Dr. Cavit Işık YAVUZ</v>
      </c>
      <c r="D219" s="264">
        <f>IF(C219="","",COUNTIFS(Başvuru!$C:$C,C219,Başvuru!$F:$F,"&lt;&gt;"&amp;""))</f>
        <v>1</v>
      </c>
      <c r="E219" s="262" t="str">
        <f>IF(D219&gt;0,TEXT(D219/COUNTIF(Başvuru!$F:$F,"&lt;&gt;"&amp;"")*100,"0.0")&amp;"%","-")</f>
        <v>00%</v>
      </c>
      <c r="F219" s="265">
        <f>IF(C219="","",COUNTIFS(Başvuru!$C:$C,C219,Başvuru!$G:$G,"Bireysel Araştırma",Başvuru!$F:$F,"&lt;&gt;"&amp;""))</f>
        <v>1</v>
      </c>
      <c r="G219" s="265">
        <f>IF(C219="","",COUNTIFS(Başvuru!$C:$C,C219,Başvuru!$G:$G,"Uzmanlık Tezi",Başvuru!$F:$F,"&lt;&gt;"&amp;""))</f>
        <v>0</v>
      </c>
      <c r="H219" s="265">
        <f>IF(C219="","",COUNTIFS(Başvuru!$C:$C,C219,Başvuru!$G:$G,"Doktora Tezi",Başvuru!$F:$F,"&lt;&gt;"&amp;""))</f>
        <v>0</v>
      </c>
      <c r="I219" s="265">
        <f>IF(C219="","",COUNTIFS(Başvuru!$C:$C,C219,Başvuru!$G:$G,"Yüksek Lisans Tezi",Başvuru!$F:$F,"&lt;&gt;"&amp;""))</f>
        <v>0</v>
      </c>
      <c r="J219" s="266">
        <f>IF(C219="","",COUNTIFS(Başvuru!$C:$C,C219,Başvuru!$L:$L,"ONAY",Başvuru!$F:$F,"&lt;&gt;"&amp;""))</f>
        <v>1</v>
      </c>
      <c r="K219" s="267">
        <f>IF(C219="","",COUNTIFS(Başvuru!$C:$C,C219,Başvuru!$L:$L,"DÜZELTME",Başvuru!$F:$F,"&lt;&gt;"&amp;""))</f>
        <v>0</v>
      </c>
      <c r="L219" s="268">
        <f>IF(C219="","",COUNTIFS(Başvuru!$C:$C,C219,Başvuru!$L:$L,"KAEK",Başvuru!$F:$F,"&lt;&gt;"&amp;""))</f>
        <v>0</v>
      </c>
      <c r="M219" s="269">
        <f>IF(C219="","",COUNTIFS(Başvuru!$C:$C,C219,Başvuru!$L:$L,"GÖRÜŞ",Başvuru!$F:$F,"&lt;&gt;"&amp;""))</f>
        <v>0</v>
      </c>
      <c r="N219" s="270">
        <f>IF(C219="","",COUNTIFS(Başvuru!$C:$C,C219,Başvuru!$L:$L,"RET",Başvuru!$F:$F,"&lt;&gt;"&amp;""))</f>
        <v>0</v>
      </c>
      <c r="O219" s="271">
        <f>IF(C219="","",COUNTIFS(Başvuru!$C:$C,C219,Başvuru!$L:$L,"KAPSAM DIŞI",Başvuru!$F:$F,"&lt;&gt;"&amp;""))</f>
        <v>0</v>
      </c>
      <c r="P219" s="272">
        <f>IF(C219="","",COUNTIFS(Başvuru!$C:$C,C219,Başvuru!$L:$L,"GERİ ÇEKİLDİ",Başvuru!$F:$F,"&lt;&gt;"&amp;""))</f>
        <v>0</v>
      </c>
      <c r="Q219" s="260" t="s">
        <v>1686</v>
      </c>
      <c r="R219" s="261">
        <f>COUNTIFS(Başvuru!$C:$C,Q219,Başvuru!$F:$F,"&lt;&gt;"&amp;"")</f>
        <v>2</v>
      </c>
      <c r="S219" s="261">
        <f>RANK(R219,$R$6:$R$290,0)+COUNTIF($R$6:R219,R219)-1</f>
        <v>105</v>
      </c>
    </row>
    <row r="220" spans="2:19" ht="15" customHeight="1" x14ac:dyDescent="0.25">
      <c r="B220" s="249">
        <v>215</v>
      </c>
      <c r="C220" s="250" t="str">
        <f>IFERROR(INDEX($Q$6:$Q$290,MATCH(215,$S$6:$S$290,0)),"")</f>
        <v>Prof. Dr. Devrim AKDEMİR</v>
      </c>
      <c r="D220" s="251">
        <f>IF(C220="","",COUNTIFS(Başvuru!$C:$C,C220,Başvuru!$F:$F,"&lt;&gt;"&amp;""))</f>
        <v>1</v>
      </c>
      <c r="E220" s="249" t="str">
        <f>IF(D220&gt;0,TEXT(D220/COUNTIF(Başvuru!$F:$F,"&lt;&gt;"&amp;"")*100,"0.0")&amp;"%","-")</f>
        <v>00%</v>
      </c>
      <c r="F220" s="252">
        <f>IF(C220="","",COUNTIFS(Başvuru!$C:$C,C220,Başvuru!$G:$G,"Bireysel Araştırma",Başvuru!$F:$F,"&lt;&gt;"&amp;""))</f>
        <v>0</v>
      </c>
      <c r="G220" s="252">
        <f>IF(C220="","",COUNTIFS(Başvuru!$C:$C,C220,Başvuru!$G:$G,"Uzmanlık Tezi",Başvuru!$F:$F,"&lt;&gt;"&amp;""))</f>
        <v>1</v>
      </c>
      <c r="H220" s="252">
        <f>IF(C220="","",COUNTIFS(Başvuru!$C:$C,C220,Başvuru!$G:$G,"Doktora Tezi",Başvuru!$F:$F,"&lt;&gt;"&amp;""))</f>
        <v>0</v>
      </c>
      <c r="I220" s="252">
        <f>IF(C220="","",COUNTIFS(Başvuru!$C:$C,C220,Başvuru!$G:$G,"Yüksek Lisans Tezi",Başvuru!$F:$F,"&lt;&gt;"&amp;""))</f>
        <v>0</v>
      </c>
      <c r="J220" s="253">
        <f>IF(C220="","",COUNTIFS(Başvuru!$C:$C,C220,Başvuru!$L:$L,"ONAY",Başvuru!$F:$F,"&lt;&gt;"&amp;""))</f>
        <v>0</v>
      </c>
      <c r="K220" s="254">
        <f>IF(C220="","",COUNTIFS(Başvuru!$C:$C,C220,Başvuru!$L:$L,"DÜZELTME",Başvuru!$F:$F,"&lt;&gt;"&amp;""))</f>
        <v>1</v>
      </c>
      <c r="L220" s="255">
        <f>IF(C220="","",COUNTIFS(Başvuru!$C:$C,C220,Başvuru!$L:$L,"KAEK",Başvuru!$F:$F,"&lt;&gt;"&amp;""))</f>
        <v>0</v>
      </c>
      <c r="M220" s="256">
        <f>IF(C220="","",COUNTIFS(Başvuru!$C:$C,C220,Başvuru!$L:$L,"GÖRÜŞ",Başvuru!$F:$F,"&lt;&gt;"&amp;""))</f>
        <v>0</v>
      </c>
      <c r="N220" s="257">
        <f>IF(C220="","",COUNTIFS(Başvuru!$C:$C,C220,Başvuru!$L:$L,"RET",Başvuru!$F:$F,"&lt;&gt;"&amp;""))</f>
        <v>0</v>
      </c>
      <c r="O220" s="258">
        <f>IF(C220="","",COUNTIFS(Başvuru!$C:$C,C220,Başvuru!$L:$L,"KAPSAM DIŞI",Başvuru!$F:$F,"&lt;&gt;"&amp;""))</f>
        <v>0</v>
      </c>
      <c r="P220" s="259">
        <f>IF(C220="","",COUNTIFS(Başvuru!$C:$C,C220,Başvuru!$L:$L,"GERİ ÇEKİLDİ",Başvuru!$F:$F,"&lt;&gt;"&amp;""))</f>
        <v>0</v>
      </c>
      <c r="Q220" s="260" t="s">
        <v>1327</v>
      </c>
      <c r="R220" s="261">
        <f>COUNTIFS(Başvuru!$C:$C,Q220,Başvuru!$F:$F,"&lt;&gt;"&amp;"")</f>
        <v>5</v>
      </c>
      <c r="S220" s="261">
        <f>RANK(R220,$R$6:$R$290,0)+COUNTIF($R$6:R220,R220)-1</f>
        <v>20</v>
      </c>
    </row>
    <row r="221" spans="2:19" ht="15" customHeight="1" x14ac:dyDescent="0.25">
      <c r="B221" s="262">
        <v>216</v>
      </c>
      <c r="C221" s="263" t="str">
        <f>IFERROR(INDEX($Q$6:$Q$290,MATCH(216,$S$6:$S$290,0)),"")</f>
        <v>Prof. Dr. Dilşad FOTO ÖZDEMİR</v>
      </c>
      <c r="D221" s="264">
        <f>IF(C221="","",COUNTIFS(Başvuru!$C:$C,C221,Başvuru!$F:$F,"&lt;&gt;"&amp;""))</f>
        <v>1</v>
      </c>
      <c r="E221" s="262" t="str">
        <f>IF(D221&gt;0,TEXT(D221/COUNTIF(Başvuru!$F:$F,"&lt;&gt;"&amp;"")*100,"0.0")&amp;"%","-")</f>
        <v>00%</v>
      </c>
      <c r="F221" s="265">
        <f>IF(C221="","",COUNTIFS(Başvuru!$C:$C,C221,Başvuru!$G:$G,"Bireysel Araştırma",Başvuru!$F:$F,"&lt;&gt;"&amp;""))</f>
        <v>0</v>
      </c>
      <c r="G221" s="265">
        <f>IF(C221="","",COUNTIFS(Başvuru!$C:$C,C221,Başvuru!$G:$G,"Uzmanlık Tezi",Başvuru!$F:$F,"&lt;&gt;"&amp;""))</f>
        <v>1</v>
      </c>
      <c r="H221" s="265">
        <f>IF(C221="","",COUNTIFS(Başvuru!$C:$C,C221,Başvuru!$G:$G,"Doktora Tezi",Başvuru!$F:$F,"&lt;&gt;"&amp;""))</f>
        <v>0</v>
      </c>
      <c r="I221" s="265">
        <f>IF(C221="","",COUNTIFS(Başvuru!$C:$C,C221,Başvuru!$G:$G,"Yüksek Lisans Tezi",Başvuru!$F:$F,"&lt;&gt;"&amp;""))</f>
        <v>0</v>
      </c>
      <c r="J221" s="266">
        <f>IF(C221="","",COUNTIFS(Başvuru!$C:$C,C221,Başvuru!$L:$L,"ONAY",Başvuru!$F:$F,"&lt;&gt;"&amp;""))</f>
        <v>1</v>
      </c>
      <c r="K221" s="267">
        <f>IF(C221="","",COUNTIFS(Başvuru!$C:$C,C221,Başvuru!$L:$L,"DÜZELTME",Başvuru!$F:$F,"&lt;&gt;"&amp;""))</f>
        <v>0</v>
      </c>
      <c r="L221" s="268">
        <f>IF(C221="","",COUNTIFS(Başvuru!$C:$C,C221,Başvuru!$L:$L,"KAEK",Başvuru!$F:$F,"&lt;&gt;"&amp;""))</f>
        <v>0</v>
      </c>
      <c r="M221" s="269">
        <f>IF(C221="","",COUNTIFS(Başvuru!$C:$C,C221,Başvuru!$L:$L,"GÖRÜŞ",Başvuru!$F:$F,"&lt;&gt;"&amp;""))</f>
        <v>0</v>
      </c>
      <c r="N221" s="270">
        <f>IF(C221="","",COUNTIFS(Başvuru!$C:$C,C221,Başvuru!$L:$L,"RET",Başvuru!$F:$F,"&lt;&gt;"&amp;""))</f>
        <v>0</v>
      </c>
      <c r="O221" s="271">
        <f>IF(C221="","",COUNTIFS(Başvuru!$C:$C,C221,Başvuru!$L:$L,"KAPSAM DIŞI",Başvuru!$F:$F,"&lt;&gt;"&amp;""))</f>
        <v>0</v>
      </c>
      <c r="P221" s="272">
        <f>IF(C221="","",COUNTIFS(Başvuru!$C:$C,C221,Başvuru!$L:$L,"GERİ ÇEKİLDİ",Başvuru!$F:$F,"&lt;&gt;"&amp;""))</f>
        <v>0</v>
      </c>
      <c r="Q221" s="260" t="s">
        <v>1115</v>
      </c>
      <c r="R221" s="261">
        <f>COUNTIFS(Başvuru!$C:$C,Q221,Başvuru!$F:$F,"&lt;&gt;"&amp;"")</f>
        <v>2</v>
      </c>
      <c r="S221" s="261">
        <f>RANK(R221,$R$6:$R$290,0)+COUNTIF($R$6:R221,R221)-1</f>
        <v>106</v>
      </c>
    </row>
    <row r="222" spans="2:19" ht="15" customHeight="1" x14ac:dyDescent="0.25">
      <c r="B222" s="249">
        <v>217</v>
      </c>
      <c r="C222" s="250" t="str">
        <f>IFERROR(INDEX($Q$6:$Q$290,MATCH(217,$S$6:$S$290,0)),"")</f>
        <v>Prof. Dr. Ebru AYPAR</v>
      </c>
      <c r="D222" s="251">
        <f>IF(C222="","",COUNTIFS(Başvuru!$C:$C,C222,Başvuru!$F:$F,"&lt;&gt;"&amp;""))</f>
        <v>1</v>
      </c>
      <c r="E222" s="249" t="str">
        <f>IF(D222&gt;0,TEXT(D222/COUNTIF(Başvuru!$F:$F,"&lt;&gt;"&amp;"")*100,"0.0")&amp;"%","-")</f>
        <v>00%</v>
      </c>
      <c r="F222" s="252">
        <f>IF(C222="","",COUNTIFS(Başvuru!$C:$C,C222,Başvuru!$G:$G,"Bireysel Araştırma",Başvuru!$F:$F,"&lt;&gt;"&amp;""))</f>
        <v>0</v>
      </c>
      <c r="G222" s="252">
        <f>IF(C222="","",COUNTIFS(Başvuru!$C:$C,C222,Başvuru!$G:$G,"Uzmanlık Tezi",Başvuru!$F:$F,"&lt;&gt;"&amp;""))</f>
        <v>1</v>
      </c>
      <c r="H222" s="252">
        <f>IF(C222="","",COUNTIFS(Başvuru!$C:$C,C222,Başvuru!$G:$G,"Doktora Tezi",Başvuru!$F:$F,"&lt;&gt;"&amp;""))</f>
        <v>0</v>
      </c>
      <c r="I222" s="252">
        <f>IF(C222="","",COUNTIFS(Başvuru!$C:$C,C222,Başvuru!$G:$G,"Yüksek Lisans Tezi",Başvuru!$F:$F,"&lt;&gt;"&amp;""))</f>
        <v>0</v>
      </c>
      <c r="J222" s="253">
        <f>IF(C222="","",COUNTIFS(Başvuru!$C:$C,C222,Başvuru!$L:$L,"ONAY",Başvuru!$F:$F,"&lt;&gt;"&amp;""))</f>
        <v>1</v>
      </c>
      <c r="K222" s="254">
        <f>IF(C222="","",COUNTIFS(Başvuru!$C:$C,C222,Başvuru!$L:$L,"DÜZELTME",Başvuru!$F:$F,"&lt;&gt;"&amp;""))</f>
        <v>0</v>
      </c>
      <c r="L222" s="255">
        <f>IF(C222="","",COUNTIFS(Başvuru!$C:$C,C222,Başvuru!$L:$L,"KAEK",Başvuru!$F:$F,"&lt;&gt;"&amp;""))</f>
        <v>0</v>
      </c>
      <c r="M222" s="256">
        <f>IF(C222="","",COUNTIFS(Başvuru!$C:$C,C222,Başvuru!$L:$L,"GÖRÜŞ",Başvuru!$F:$F,"&lt;&gt;"&amp;""))</f>
        <v>0</v>
      </c>
      <c r="N222" s="257">
        <f>IF(C222="","",COUNTIFS(Başvuru!$C:$C,C222,Başvuru!$L:$L,"RET",Başvuru!$F:$F,"&lt;&gt;"&amp;""))</f>
        <v>0</v>
      </c>
      <c r="O222" s="258">
        <f>IF(C222="","",COUNTIFS(Başvuru!$C:$C,C222,Başvuru!$L:$L,"KAPSAM DIŞI",Başvuru!$F:$F,"&lt;&gt;"&amp;""))</f>
        <v>0</v>
      </c>
      <c r="P222" s="259">
        <f>IF(C222="","",COUNTIFS(Başvuru!$C:$C,C222,Başvuru!$L:$L,"GERİ ÇEKİLDİ",Başvuru!$F:$F,"&lt;&gt;"&amp;""))</f>
        <v>0</v>
      </c>
      <c r="Q222" s="260" t="s">
        <v>2527</v>
      </c>
      <c r="R222" s="261">
        <f>COUNTIFS(Başvuru!$C:$C,Q222,Başvuru!$F:$F,"&lt;&gt;"&amp;"")</f>
        <v>1</v>
      </c>
      <c r="S222" s="261">
        <f>RANK(R222,$R$6:$R$290,0)+COUNTIF($R$6:R222,R222)-1</f>
        <v>246</v>
      </c>
    </row>
    <row r="223" spans="2:19" ht="15" customHeight="1" x14ac:dyDescent="0.25">
      <c r="B223" s="262">
        <v>218</v>
      </c>
      <c r="C223" s="263" t="str">
        <f>IFERROR(INDEX($Q$6:$Q$290,MATCH(218,$S$6:$S$290,0)),"")</f>
        <v>Prof. Dr. Egemen TURHAN</v>
      </c>
      <c r="D223" s="264">
        <f>IF(C223="","",COUNTIFS(Başvuru!$C:$C,C223,Başvuru!$F:$F,"&lt;&gt;"&amp;""))</f>
        <v>1</v>
      </c>
      <c r="E223" s="262" t="str">
        <f>IF(D223&gt;0,TEXT(D223/COUNTIF(Başvuru!$F:$F,"&lt;&gt;"&amp;"")*100,"0.0")&amp;"%","-")</f>
        <v>00%</v>
      </c>
      <c r="F223" s="265">
        <f>IF(C223="","",COUNTIFS(Başvuru!$C:$C,C223,Başvuru!$G:$G,"Bireysel Araştırma",Başvuru!$F:$F,"&lt;&gt;"&amp;""))</f>
        <v>0</v>
      </c>
      <c r="G223" s="265">
        <f>IF(C223="","",COUNTIFS(Başvuru!$C:$C,C223,Başvuru!$G:$G,"Uzmanlık Tezi",Başvuru!$F:$F,"&lt;&gt;"&amp;""))</f>
        <v>0</v>
      </c>
      <c r="H223" s="265">
        <f>IF(C223="","",COUNTIFS(Başvuru!$C:$C,C223,Başvuru!$G:$G,"Doktora Tezi",Başvuru!$F:$F,"&lt;&gt;"&amp;""))</f>
        <v>0</v>
      </c>
      <c r="I223" s="265">
        <f>IF(C223="","",COUNTIFS(Başvuru!$C:$C,C223,Başvuru!$G:$G,"Yüksek Lisans Tezi",Başvuru!$F:$F,"&lt;&gt;"&amp;""))</f>
        <v>1</v>
      </c>
      <c r="J223" s="266">
        <f>IF(C223="","",COUNTIFS(Başvuru!$C:$C,C223,Başvuru!$L:$L,"ONAY",Başvuru!$F:$F,"&lt;&gt;"&amp;""))</f>
        <v>0</v>
      </c>
      <c r="K223" s="267">
        <f>IF(C223="","",COUNTIFS(Başvuru!$C:$C,C223,Başvuru!$L:$L,"DÜZELTME",Başvuru!$F:$F,"&lt;&gt;"&amp;""))</f>
        <v>1</v>
      </c>
      <c r="L223" s="268">
        <f>IF(C223="","",COUNTIFS(Başvuru!$C:$C,C223,Başvuru!$L:$L,"KAEK",Başvuru!$F:$F,"&lt;&gt;"&amp;""))</f>
        <v>0</v>
      </c>
      <c r="M223" s="269">
        <f>IF(C223="","",COUNTIFS(Başvuru!$C:$C,C223,Başvuru!$L:$L,"GÖRÜŞ",Başvuru!$F:$F,"&lt;&gt;"&amp;""))</f>
        <v>0</v>
      </c>
      <c r="N223" s="270">
        <f>IF(C223="","",COUNTIFS(Başvuru!$C:$C,C223,Başvuru!$L:$L,"RET",Başvuru!$F:$F,"&lt;&gt;"&amp;""))</f>
        <v>0</v>
      </c>
      <c r="O223" s="271">
        <f>IF(C223="","",COUNTIFS(Başvuru!$C:$C,C223,Başvuru!$L:$L,"KAPSAM DIŞI",Başvuru!$F:$F,"&lt;&gt;"&amp;""))</f>
        <v>0</v>
      </c>
      <c r="P223" s="272">
        <f>IF(C223="","",COUNTIFS(Başvuru!$C:$C,C223,Başvuru!$L:$L,"GERİ ÇEKİLDİ",Başvuru!$F:$F,"&lt;&gt;"&amp;""))</f>
        <v>0</v>
      </c>
      <c r="Q223" s="260" t="s">
        <v>1013</v>
      </c>
      <c r="R223" s="261">
        <f>COUNTIFS(Başvuru!$C:$C,Q223,Başvuru!$F:$F,"&lt;&gt;"&amp;"")</f>
        <v>1</v>
      </c>
      <c r="S223" s="261">
        <f>RANK(R223,$R$6:$R$290,0)+COUNTIF($R$6:R223,R223)-1</f>
        <v>247</v>
      </c>
    </row>
    <row r="224" spans="2:19" ht="15" customHeight="1" x14ac:dyDescent="0.25">
      <c r="B224" s="249">
        <v>219</v>
      </c>
      <c r="C224" s="250" t="str">
        <f>IFERROR(INDEX($Q$6:$Q$290,MATCH(219,$S$6:$S$290,0)),"")</f>
        <v>Prof. Dr. Elmas Ebru YALÇIN</v>
      </c>
      <c r="D224" s="251">
        <f>IF(C224="","",COUNTIFS(Başvuru!$C:$C,C224,Başvuru!$F:$F,"&lt;&gt;"&amp;""))</f>
        <v>1</v>
      </c>
      <c r="E224" s="249" t="str">
        <f>IF(D224&gt;0,TEXT(D224/COUNTIF(Başvuru!$F:$F,"&lt;&gt;"&amp;"")*100,"0.0")&amp;"%","-")</f>
        <v>00%</v>
      </c>
      <c r="F224" s="252">
        <f>IF(C224="","",COUNTIFS(Başvuru!$C:$C,C224,Başvuru!$G:$G,"Bireysel Araştırma",Başvuru!$F:$F,"&lt;&gt;"&amp;""))</f>
        <v>1</v>
      </c>
      <c r="G224" s="252">
        <f>IF(C224="","",COUNTIFS(Başvuru!$C:$C,C224,Başvuru!$G:$G,"Uzmanlık Tezi",Başvuru!$F:$F,"&lt;&gt;"&amp;""))</f>
        <v>0</v>
      </c>
      <c r="H224" s="252">
        <f>IF(C224="","",COUNTIFS(Başvuru!$C:$C,C224,Başvuru!$G:$G,"Doktora Tezi",Başvuru!$F:$F,"&lt;&gt;"&amp;""))</f>
        <v>0</v>
      </c>
      <c r="I224" s="252">
        <f>IF(C224="","",COUNTIFS(Başvuru!$C:$C,C224,Başvuru!$G:$G,"Yüksek Lisans Tezi",Başvuru!$F:$F,"&lt;&gt;"&amp;""))</f>
        <v>0</v>
      </c>
      <c r="J224" s="253">
        <f>IF(C224="","",COUNTIFS(Başvuru!$C:$C,C224,Başvuru!$L:$L,"ONAY",Başvuru!$F:$F,"&lt;&gt;"&amp;""))</f>
        <v>1</v>
      </c>
      <c r="K224" s="254">
        <f>IF(C224="","",COUNTIFS(Başvuru!$C:$C,C224,Başvuru!$L:$L,"DÜZELTME",Başvuru!$F:$F,"&lt;&gt;"&amp;""))</f>
        <v>0</v>
      </c>
      <c r="L224" s="255">
        <f>IF(C224="","",COUNTIFS(Başvuru!$C:$C,C224,Başvuru!$L:$L,"KAEK",Başvuru!$F:$F,"&lt;&gt;"&amp;""))</f>
        <v>0</v>
      </c>
      <c r="M224" s="256">
        <f>IF(C224="","",COUNTIFS(Başvuru!$C:$C,C224,Başvuru!$L:$L,"GÖRÜŞ",Başvuru!$F:$F,"&lt;&gt;"&amp;""))</f>
        <v>0</v>
      </c>
      <c r="N224" s="257">
        <f>IF(C224="","",COUNTIFS(Başvuru!$C:$C,C224,Başvuru!$L:$L,"RET",Başvuru!$F:$F,"&lt;&gt;"&amp;""))</f>
        <v>0</v>
      </c>
      <c r="O224" s="258">
        <f>IF(C224="","",COUNTIFS(Başvuru!$C:$C,C224,Başvuru!$L:$L,"KAPSAM DIŞI",Başvuru!$F:$F,"&lt;&gt;"&amp;""))</f>
        <v>0</v>
      </c>
      <c r="P224" s="259">
        <f>IF(C224="","",COUNTIFS(Başvuru!$C:$C,C224,Başvuru!$L:$L,"GERİ ÇEKİLDİ",Başvuru!$F:$F,"&lt;&gt;"&amp;""))</f>
        <v>0</v>
      </c>
      <c r="Q224" s="260" t="s">
        <v>1080</v>
      </c>
      <c r="R224" s="261">
        <f>COUNTIFS(Başvuru!$C:$C,Q224,Başvuru!$F:$F,"&lt;&gt;"&amp;"")</f>
        <v>7</v>
      </c>
      <c r="S224" s="261">
        <f>RANK(R224,$R$6:$R$290,0)+COUNTIF($R$6:R224,R224)-1</f>
        <v>10</v>
      </c>
    </row>
    <row r="225" spans="2:19" ht="15" customHeight="1" x14ac:dyDescent="0.25">
      <c r="B225" s="262">
        <v>220</v>
      </c>
      <c r="C225" s="263" t="str">
        <f>IFERROR(INDEX($Q$6:$Q$290,MATCH(220,$S$6:$S$290,0)),"")</f>
        <v>Prof. Dr. Emel UZUNOĞLU ÖZYÜREK</v>
      </c>
      <c r="D225" s="264">
        <f>IF(C225="","",COUNTIFS(Başvuru!$C:$C,C225,Başvuru!$F:$F,"&lt;&gt;"&amp;""))</f>
        <v>1</v>
      </c>
      <c r="E225" s="262" t="str">
        <f>IF(D225&gt;0,TEXT(D225/COUNTIF(Başvuru!$F:$F,"&lt;&gt;"&amp;"")*100,"0.0")&amp;"%","-")</f>
        <v>00%</v>
      </c>
      <c r="F225" s="265">
        <f>IF(C225="","",COUNTIFS(Başvuru!$C:$C,C225,Başvuru!$G:$G,"Bireysel Araştırma",Başvuru!$F:$F,"&lt;&gt;"&amp;""))</f>
        <v>1</v>
      </c>
      <c r="G225" s="265">
        <f>IF(C225="","",COUNTIFS(Başvuru!$C:$C,C225,Başvuru!$G:$G,"Uzmanlık Tezi",Başvuru!$F:$F,"&lt;&gt;"&amp;""))</f>
        <v>0</v>
      </c>
      <c r="H225" s="265">
        <f>IF(C225="","",COUNTIFS(Başvuru!$C:$C,C225,Başvuru!$G:$G,"Doktora Tezi",Başvuru!$F:$F,"&lt;&gt;"&amp;""))</f>
        <v>0</v>
      </c>
      <c r="I225" s="265">
        <f>IF(C225="","",COUNTIFS(Başvuru!$C:$C,C225,Başvuru!$G:$G,"Yüksek Lisans Tezi",Başvuru!$F:$F,"&lt;&gt;"&amp;""))</f>
        <v>0</v>
      </c>
      <c r="J225" s="266">
        <f>IF(C225="","",COUNTIFS(Başvuru!$C:$C,C225,Başvuru!$L:$L,"ONAY",Başvuru!$F:$F,"&lt;&gt;"&amp;""))</f>
        <v>1</v>
      </c>
      <c r="K225" s="267">
        <f>IF(C225="","",COUNTIFS(Başvuru!$C:$C,C225,Başvuru!$L:$L,"DÜZELTME",Başvuru!$F:$F,"&lt;&gt;"&amp;""))</f>
        <v>0</v>
      </c>
      <c r="L225" s="268">
        <f>IF(C225="","",COUNTIFS(Başvuru!$C:$C,C225,Başvuru!$L:$L,"KAEK",Başvuru!$F:$F,"&lt;&gt;"&amp;""))</f>
        <v>0</v>
      </c>
      <c r="M225" s="269">
        <f>IF(C225="","",COUNTIFS(Başvuru!$C:$C,C225,Başvuru!$L:$L,"GÖRÜŞ",Başvuru!$F:$F,"&lt;&gt;"&amp;""))</f>
        <v>0</v>
      </c>
      <c r="N225" s="270">
        <f>IF(C225="","",COUNTIFS(Başvuru!$C:$C,C225,Başvuru!$L:$L,"RET",Başvuru!$F:$F,"&lt;&gt;"&amp;""))</f>
        <v>0</v>
      </c>
      <c r="O225" s="271">
        <f>IF(C225="","",COUNTIFS(Başvuru!$C:$C,C225,Başvuru!$L:$L,"KAPSAM DIŞI",Başvuru!$F:$F,"&lt;&gt;"&amp;""))</f>
        <v>0</v>
      </c>
      <c r="P225" s="272">
        <f>IF(C225="","",COUNTIFS(Başvuru!$C:$C,C225,Başvuru!$L:$L,"GERİ ÇEKİLDİ",Başvuru!$F:$F,"&lt;&gt;"&amp;""))</f>
        <v>0</v>
      </c>
      <c r="Q225" s="260" t="s">
        <v>303</v>
      </c>
      <c r="R225" s="261">
        <f>COUNTIFS(Başvuru!$C:$C,Q225,Başvuru!$F:$F,"&lt;&gt;"&amp;"")</f>
        <v>1</v>
      </c>
      <c r="S225" s="261">
        <f>RANK(R225,$R$6:$R$290,0)+COUNTIF($R$6:R225,R225)-1</f>
        <v>248</v>
      </c>
    </row>
    <row r="226" spans="2:19" ht="15" customHeight="1" x14ac:dyDescent="0.25">
      <c r="B226" s="249">
        <v>221</v>
      </c>
      <c r="C226" s="250" t="str">
        <f>IFERROR(INDEX($Q$6:$Q$290,MATCH(221,$S$6:$S$290,0)),"")</f>
        <v>Prof. Dr. Emre TOSUN</v>
      </c>
      <c r="D226" s="251">
        <f>IF(C226="","",COUNTIFS(Başvuru!$C:$C,C226,Başvuru!$F:$F,"&lt;&gt;"&amp;""))</f>
        <v>1</v>
      </c>
      <c r="E226" s="249" t="str">
        <f>IF(D226&gt;0,TEXT(D226/COUNTIF(Başvuru!$F:$F,"&lt;&gt;"&amp;"")*100,"0.0")&amp;"%","-")</f>
        <v>00%</v>
      </c>
      <c r="F226" s="252">
        <f>IF(C226="","",COUNTIFS(Başvuru!$C:$C,C226,Başvuru!$G:$G,"Bireysel Araştırma",Başvuru!$F:$F,"&lt;&gt;"&amp;""))</f>
        <v>1</v>
      </c>
      <c r="G226" s="252">
        <f>IF(C226="","",COUNTIFS(Başvuru!$C:$C,C226,Başvuru!$G:$G,"Uzmanlık Tezi",Başvuru!$F:$F,"&lt;&gt;"&amp;""))</f>
        <v>0</v>
      </c>
      <c r="H226" s="252">
        <f>IF(C226="","",COUNTIFS(Başvuru!$C:$C,C226,Başvuru!$G:$G,"Doktora Tezi",Başvuru!$F:$F,"&lt;&gt;"&amp;""))</f>
        <v>0</v>
      </c>
      <c r="I226" s="252">
        <f>IF(C226="","",COUNTIFS(Başvuru!$C:$C,C226,Başvuru!$G:$G,"Yüksek Lisans Tezi",Başvuru!$F:$F,"&lt;&gt;"&amp;""))</f>
        <v>0</v>
      </c>
      <c r="J226" s="253">
        <f>IF(C226="","",COUNTIFS(Başvuru!$C:$C,C226,Başvuru!$L:$L,"ONAY",Başvuru!$F:$F,"&lt;&gt;"&amp;""))</f>
        <v>0</v>
      </c>
      <c r="K226" s="254">
        <f>IF(C226="","",COUNTIFS(Başvuru!$C:$C,C226,Başvuru!$L:$L,"DÜZELTME",Başvuru!$F:$F,"&lt;&gt;"&amp;""))</f>
        <v>0</v>
      </c>
      <c r="L226" s="255">
        <f>IF(C226="","",COUNTIFS(Başvuru!$C:$C,C226,Başvuru!$L:$L,"KAEK",Başvuru!$F:$F,"&lt;&gt;"&amp;""))</f>
        <v>0</v>
      </c>
      <c r="M226" s="256">
        <f>IF(C226="","",COUNTIFS(Başvuru!$C:$C,C226,Başvuru!$L:$L,"GÖRÜŞ",Başvuru!$F:$F,"&lt;&gt;"&amp;""))</f>
        <v>1</v>
      </c>
      <c r="N226" s="257">
        <f>IF(C226="","",COUNTIFS(Başvuru!$C:$C,C226,Başvuru!$L:$L,"RET",Başvuru!$F:$F,"&lt;&gt;"&amp;""))</f>
        <v>0</v>
      </c>
      <c r="O226" s="258">
        <f>IF(C226="","",COUNTIFS(Başvuru!$C:$C,C226,Başvuru!$L:$L,"KAPSAM DIŞI",Başvuru!$F:$F,"&lt;&gt;"&amp;""))</f>
        <v>0</v>
      </c>
      <c r="P226" s="259">
        <f>IF(C226="","",COUNTIFS(Başvuru!$C:$C,C226,Başvuru!$L:$L,"GERİ ÇEKİLDİ",Başvuru!$F:$F,"&lt;&gt;"&amp;""))</f>
        <v>0</v>
      </c>
      <c r="Q226" s="260" t="s">
        <v>149</v>
      </c>
      <c r="R226" s="261">
        <f>COUNTIFS(Başvuru!$C:$C,Q226,Başvuru!$F:$F,"&lt;&gt;"&amp;"")</f>
        <v>1</v>
      </c>
      <c r="S226" s="261">
        <f>RANK(R226,$R$6:$R$290,0)+COUNTIF($R$6:R226,R226)-1</f>
        <v>249</v>
      </c>
    </row>
    <row r="227" spans="2:19" ht="15" customHeight="1" x14ac:dyDescent="0.25">
      <c r="B227" s="262">
        <v>222</v>
      </c>
      <c r="C227" s="263" t="str">
        <f>IFERROR(INDEX($Q$6:$Q$290,MATCH(222,$S$6:$S$290,0)),"")</f>
        <v>Prof. Dr. Erdem KARABULUT</v>
      </c>
      <c r="D227" s="264">
        <f>IF(C227="","",COUNTIFS(Başvuru!$C:$C,C227,Başvuru!$F:$F,"&lt;&gt;"&amp;""))</f>
        <v>1</v>
      </c>
      <c r="E227" s="262" t="str">
        <f>IF(D227&gt;0,TEXT(D227/COUNTIF(Başvuru!$F:$F,"&lt;&gt;"&amp;"")*100,"0.0")&amp;"%","-")</f>
        <v>00%</v>
      </c>
      <c r="F227" s="265">
        <f>IF(C227="","",COUNTIFS(Başvuru!$C:$C,C227,Başvuru!$G:$G,"Bireysel Araştırma",Başvuru!$F:$F,"&lt;&gt;"&amp;""))</f>
        <v>0</v>
      </c>
      <c r="G227" s="265">
        <f>IF(C227="","",COUNTIFS(Başvuru!$C:$C,C227,Başvuru!$G:$G,"Uzmanlık Tezi",Başvuru!$F:$F,"&lt;&gt;"&amp;""))</f>
        <v>0</v>
      </c>
      <c r="H227" s="265">
        <f>IF(C227="","",COUNTIFS(Başvuru!$C:$C,C227,Başvuru!$G:$G,"Doktora Tezi",Başvuru!$F:$F,"&lt;&gt;"&amp;""))</f>
        <v>1</v>
      </c>
      <c r="I227" s="265">
        <f>IF(C227="","",COUNTIFS(Başvuru!$C:$C,C227,Başvuru!$G:$G,"Yüksek Lisans Tezi",Başvuru!$F:$F,"&lt;&gt;"&amp;""))</f>
        <v>0</v>
      </c>
      <c r="J227" s="266">
        <f>IF(C227="","",COUNTIFS(Başvuru!$C:$C,C227,Başvuru!$L:$L,"ONAY",Başvuru!$F:$F,"&lt;&gt;"&amp;""))</f>
        <v>1</v>
      </c>
      <c r="K227" s="267">
        <f>IF(C227="","",COUNTIFS(Başvuru!$C:$C,C227,Başvuru!$L:$L,"DÜZELTME",Başvuru!$F:$F,"&lt;&gt;"&amp;""))</f>
        <v>0</v>
      </c>
      <c r="L227" s="268">
        <f>IF(C227="","",COUNTIFS(Başvuru!$C:$C,C227,Başvuru!$L:$L,"KAEK",Başvuru!$F:$F,"&lt;&gt;"&amp;""))</f>
        <v>0</v>
      </c>
      <c r="M227" s="269">
        <f>IF(C227="","",COUNTIFS(Başvuru!$C:$C,C227,Başvuru!$L:$L,"GÖRÜŞ",Başvuru!$F:$F,"&lt;&gt;"&amp;""))</f>
        <v>0</v>
      </c>
      <c r="N227" s="270">
        <f>IF(C227="","",COUNTIFS(Başvuru!$C:$C,C227,Başvuru!$L:$L,"RET",Başvuru!$F:$F,"&lt;&gt;"&amp;""))</f>
        <v>0</v>
      </c>
      <c r="O227" s="271">
        <f>IF(C227="","",COUNTIFS(Başvuru!$C:$C,C227,Başvuru!$L:$L,"KAPSAM DIŞI",Başvuru!$F:$F,"&lt;&gt;"&amp;""))</f>
        <v>0</v>
      </c>
      <c r="P227" s="272">
        <f>IF(C227="","",COUNTIFS(Başvuru!$C:$C,C227,Başvuru!$L:$L,"GERİ ÇEKİLDİ",Başvuru!$F:$F,"&lt;&gt;"&amp;""))</f>
        <v>0</v>
      </c>
      <c r="Q227" s="260" t="s">
        <v>837</v>
      </c>
      <c r="R227" s="261">
        <f>COUNTIFS(Başvuru!$C:$C,Q227,Başvuru!$F:$F,"&lt;&gt;"&amp;"")</f>
        <v>2</v>
      </c>
      <c r="S227" s="261">
        <f>RANK(R227,$R$6:$R$290,0)+COUNTIF($R$6:R227,R227)-1</f>
        <v>107</v>
      </c>
    </row>
    <row r="228" spans="2:19" ht="15" customHeight="1" x14ac:dyDescent="0.25">
      <c r="B228" s="249">
        <v>223</v>
      </c>
      <c r="C228" s="250" t="str">
        <f>IFERROR(INDEX($Q$6:$Q$290,MATCH(223,$S$6:$S$290,0)),"")</f>
        <v>Prof. Dr. Esra BİRBEN</v>
      </c>
      <c r="D228" s="251">
        <f>IF(C228="","",COUNTIFS(Başvuru!$C:$C,C228,Başvuru!$F:$F,"&lt;&gt;"&amp;""))</f>
        <v>1</v>
      </c>
      <c r="E228" s="249" t="str">
        <f>IF(D228&gt;0,TEXT(D228/COUNTIF(Başvuru!$F:$F,"&lt;&gt;"&amp;"")*100,"0.0")&amp;"%","-")</f>
        <v>00%</v>
      </c>
      <c r="F228" s="252">
        <f>IF(C228="","",COUNTIFS(Başvuru!$C:$C,C228,Başvuru!$G:$G,"Bireysel Araştırma",Başvuru!$F:$F,"&lt;&gt;"&amp;""))</f>
        <v>1</v>
      </c>
      <c r="G228" s="252">
        <f>IF(C228="","",COUNTIFS(Başvuru!$C:$C,C228,Başvuru!$G:$G,"Uzmanlık Tezi",Başvuru!$F:$F,"&lt;&gt;"&amp;""))</f>
        <v>0</v>
      </c>
      <c r="H228" s="252">
        <f>IF(C228="","",COUNTIFS(Başvuru!$C:$C,C228,Başvuru!$G:$G,"Doktora Tezi",Başvuru!$F:$F,"&lt;&gt;"&amp;""))</f>
        <v>0</v>
      </c>
      <c r="I228" s="252">
        <f>IF(C228="","",COUNTIFS(Başvuru!$C:$C,C228,Başvuru!$G:$G,"Yüksek Lisans Tezi",Başvuru!$F:$F,"&lt;&gt;"&amp;""))</f>
        <v>0</v>
      </c>
      <c r="J228" s="253">
        <f>IF(C228="","",COUNTIFS(Başvuru!$C:$C,C228,Başvuru!$L:$L,"ONAY",Başvuru!$F:$F,"&lt;&gt;"&amp;""))</f>
        <v>1</v>
      </c>
      <c r="K228" s="254">
        <f>IF(C228="","",COUNTIFS(Başvuru!$C:$C,C228,Başvuru!$L:$L,"DÜZELTME",Başvuru!$F:$F,"&lt;&gt;"&amp;""))</f>
        <v>0</v>
      </c>
      <c r="L228" s="255">
        <f>IF(C228="","",COUNTIFS(Başvuru!$C:$C,C228,Başvuru!$L:$L,"KAEK",Başvuru!$F:$F,"&lt;&gt;"&amp;""))</f>
        <v>0</v>
      </c>
      <c r="M228" s="256">
        <f>IF(C228="","",COUNTIFS(Başvuru!$C:$C,C228,Başvuru!$L:$L,"GÖRÜŞ",Başvuru!$F:$F,"&lt;&gt;"&amp;""))</f>
        <v>0</v>
      </c>
      <c r="N228" s="257">
        <f>IF(C228="","",COUNTIFS(Başvuru!$C:$C,C228,Başvuru!$L:$L,"RET",Başvuru!$F:$F,"&lt;&gt;"&amp;""))</f>
        <v>0</v>
      </c>
      <c r="O228" s="258">
        <f>IF(C228="","",COUNTIFS(Başvuru!$C:$C,C228,Başvuru!$L:$L,"KAPSAM DIŞI",Başvuru!$F:$F,"&lt;&gt;"&amp;""))</f>
        <v>0</v>
      </c>
      <c r="P228" s="259">
        <f>IF(C228="","",COUNTIFS(Başvuru!$C:$C,C228,Başvuru!$L:$L,"GERİ ÇEKİLDİ",Başvuru!$F:$F,"&lt;&gt;"&amp;""))</f>
        <v>0</v>
      </c>
      <c r="Q228" s="260" t="s">
        <v>547</v>
      </c>
      <c r="R228" s="261">
        <f>COUNTIFS(Başvuru!$C:$C,Q228,Başvuru!$F:$F,"&lt;&gt;"&amp;"")</f>
        <v>6</v>
      </c>
      <c r="S228" s="261">
        <f>RANK(R228,$R$6:$R$290,0)+COUNTIF($R$6:R228,R228)-1</f>
        <v>15</v>
      </c>
    </row>
    <row r="229" spans="2:19" ht="15" customHeight="1" x14ac:dyDescent="0.25">
      <c r="B229" s="262">
        <v>224</v>
      </c>
      <c r="C229" s="263" t="str">
        <f>IFERROR(INDEX($Q$6:$Q$290,MATCH(224,$S$6:$S$290,0)),"")</f>
        <v>Prof. Dr. Fatma Visal OKUR</v>
      </c>
      <c r="D229" s="264">
        <f>IF(C229="","",COUNTIFS(Başvuru!$C:$C,C229,Başvuru!$F:$F,"&lt;&gt;"&amp;""))</f>
        <v>1</v>
      </c>
      <c r="E229" s="262" t="str">
        <f>IF(D229&gt;0,TEXT(D229/COUNTIF(Başvuru!$F:$F,"&lt;&gt;"&amp;"")*100,"0.0")&amp;"%","-")</f>
        <v>00%</v>
      </c>
      <c r="F229" s="265">
        <f>IF(C229="","",COUNTIFS(Başvuru!$C:$C,C229,Başvuru!$G:$G,"Bireysel Araştırma",Başvuru!$F:$F,"&lt;&gt;"&amp;""))</f>
        <v>1</v>
      </c>
      <c r="G229" s="265">
        <f>IF(C229="","",COUNTIFS(Başvuru!$C:$C,C229,Başvuru!$G:$G,"Uzmanlık Tezi",Başvuru!$F:$F,"&lt;&gt;"&amp;""))</f>
        <v>0</v>
      </c>
      <c r="H229" s="265">
        <f>IF(C229="","",COUNTIFS(Başvuru!$C:$C,C229,Başvuru!$G:$G,"Doktora Tezi",Başvuru!$F:$F,"&lt;&gt;"&amp;""))</f>
        <v>0</v>
      </c>
      <c r="I229" s="265">
        <f>IF(C229="","",COUNTIFS(Başvuru!$C:$C,C229,Başvuru!$G:$G,"Yüksek Lisans Tezi",Başvuru!$F:$F,"&lt;&gt;"&amp;""))</f>
        <v>0</v>
      </c>
      <c r="J229" s="266">
        <f>IF(C229="","",COUNTIFS(Başvuru!$C:$C,C229,Başvuru!$L:$L,"ONAY",Başvuru!$F:$F,"&lt;&gt;"&amp;""))</f>
        <v>0</v>
      </c>
      <c r="K229" s="267">
        <f>IF(C229="","",COUNTIFS(Başvuru!$C:$C,C229,Başvuru!$L:$L,"DÜZELTME",Başvuru!$F:$F,"&lt;&gt;"&amp;""))</f>
        <v>1</v>
      </c>
      <c r="L229" s="268">
        <f>IF(C229="","",COUNTIFS(Başvuru!$C:$C,C229,Başvuru!$L:$L,"KAEK",Başvuru!$F:$F,"&lt;&gt;"&amp;""))</f>
        <v>0</v>
      </c>
      <c r="M229" s="269">
        <f>IF(C229="","",COUNTIFS(Başvuru!$C:$C,C229,Başvuru!$L:$L,"GÖRÜŞ",Başvuru!$F:$F,"&lt;&gt;"&amp;""))</f>
        <v>0</v>
      </c>
      <c r="N229" s="270">
        <f>IF(C229="","",COUNTIFS(Başvuru!$C:$C,C229,Başvuru!$L:$L,"RET",Başvuru!$F:$F,"&lt;&gt;"&amp;""))</f>
        <v>0</v>
      </c>
      <c r="O229" s="271">
        <f>IF(C229="","",COUNTIFS(Başvuru!$C:$C,C229,Başvuru!$L:$L,"KAPSAM DIŞI",Başvuru!$F:$F,"&lt;&gt;"&amp;""))</f>
        <v>0</v>
      </c>
      <c r="P229" s="272">
        <f>IF(C229="","",COUNTIFS(Başvuru!$C:$C,C229,Başvuru!$L:$L,"GERİ ÇEKİLDİ",Başvuru!$F:$F,"&lt;&gt;"&amp;""))</f>
        <v>0</v>
      </c>
      <c r="Q229" s="260" t="s">
        <v>2359</v>
      </c>
      <c r="R229" s="261">
        <f>COUNTIFS(Başvuru!$C:$C,Q229,Başvuru!$F:$F,"&lt;&gt;"&amp;"")</f>
        <v>2</v>
      </c>
      <c r="S229" s="261">
        <f>RANK(R229,$R$6:$R$290,0)+COUNTIF($R$6:R229,R229)-1</f>
        <v>108</v>
      </c>
    </row>
    <row r="230" spans="2:19" ht="15" customHeight="1" x14ac:dyDescent="0.25">
      <c r="B230" s="249">
        <v>225</v>
      </c>
      <c r="C230" s="250" t="str">
        <f>IFERROR(INDEX($Q$6:$Q$290,MATCH(225,$S$6:$S$290,0)),"")</f>
        <v>Prof. Dr. Filiz YALÇIN</v>
      </c>
      <c r="D230" s="251">
        <f>IF(C230="","",COUNTIFS(Başvuru!$C:$C,C230,Başvuru!$F:$F,"&lt;&gt;"&amp;""))</f>
        <v>1</v>
      </c>
      <c r="E230" s="249" t="str">
        <f>IF(D230&gt;0,TEXT(D230/COUNTIF(Başvuru!$F:$F,"&lt;&gt;"&amp;"")*100,"0.0")&amp;"%","-")</f>
        <v>00%</v>
      </c>
      <c r="F230" s="252">
        <f>IF(C230="","",COUNTIFS(Başvuru!$C:$C,C230,Başvuru!$G:$G,"Bireysel Araştırma",Başvuru!$F:$F,"&lt;&gt;"&amp;""))</f>
        <v>1</v>
      </c>
      <c r="G230" s="252">
        <f>IF(C230="","",COUNTIFS(Başvuru!$C:$C,C230,Başvuru!$G:$G,"Uzmanlık Tezi",Başvuru!$F:$F,"&lt;&gt;"&amp;""))</f>
        <v>0</v>
      </c>
      <c r="H230" s="252">
        <f>IF(C230="","",COUNTIFS(Başvuru!$C:$C,C230,Başvuru!$G:$G,"Doktora Tezi",Başvuru!$F:$F,"&lt;&gt;"&amp;""))</f>
        <v>0</v>
      </c>
      <c r="I230" s="252">
        <f>IF(C230="","",COUNTIFS(Başvuru!$C:$C,C230,Başvuru!$G:$G,"Yüksek Lisans Tezi",Başvuru!$F:$F,"&lt;&gt;"&amp;""))</f>
        <v>0</v>
      </c>
      <c r="J230" s="253">
        <f>IF(C230="","",COUNTIFS(Başvuru!$C:$C,C230,Başvuru!$L:$L,"ONAY",Başvuru!$F:$F,"&lt;&gt;"&amp;""))</f>
        <v>0</v>
      </c>
      <c r="K230" s="254">
        <f>IF(C230="","",COUNTIFS(Başvuru!$C:$C,C230,Başvuru!$L:$L,"DÜZELTME",Başvuru!$F:$F,"&lt;&gt;"&amp;""))</f>
        <v>1</v>
      </c>
      <c r="L230" s="255">
        <f>IF(C230="","",COUNTIFS(Başvuru!$C:$C,C230,Başvuru!$L:$L,"KAEK",Başvuru!$F:$F,"&lt;&gt;"&amp;""))</f>
        <v>0</v>
      </c>
      <c r="M230" s="256">
        <f>IF(C230="","",COUNTIFS(Başvuru!$C:$C,C230,Başvuru!$L:$L,"GÖRÜŞ",Başvuru!$F:$F,"&lt;&gt;"&amp;""))</f>
        <v>0</v>
      </c>
      <c r="N230" s="257">
        <f>IF(C230="","",COUNTIFS(Başvuru!$C:$C,C230,Başvuru!$L:$L,"RET",Başvuru!$F:$F,"&lt;&gt;"&amp;""))</f>
        <v>0</v>
      </c>
      <c r="O230" s="258">
        <f>IF(C230="","",COUNTIFS(Başvuru!$C:$C,C230,Başvuru!$L:$L,"KAPSAM DIŞI",Başvuru!$F:$F,"&lt;&gt;"&amp;""))</f>
        <v>0</v>
      </c>
      <c r="P230" s="259">
        <f>IF(C230="","",COUNTIFS(Başvuru!$C:$C,C230,Başvuru!$L:$L,"GERİ ÇEKİLDİ",Başvuru!$F:$F,"&lt;&gt;"&amp;""))</f>
        <v>0</v>
      </c>
      <c r="Q230" s="260" t="s">
        <v>157</v>
      </c>
      <c r="R230" s="261">
        <f>COUNTIFS(Başvuru!$C:$C,Q230,Başvuru!$F:$F,"&lt;&gt;"&amp;"")</f>
        <v>1</v>
      </c>
      <c r="S230" s="261">
        <f>RANK(R230,$R$6:$R$290,0)+COUNTIF($R$6:R230,R230)-1</f>
        <v>250</v>
      </c>
    </row>
    <row r="231" spans="2:19" ht="15" customHeight="1" x14ac:dyDescent="0.25">
      <c r="B231" s="262">
        <v>226</v>
      </c>
      <c r="C231" s="263" t="str">
        <f>IFERROR(INDEX($Q$6:$Q$290,MATCH(226,$S$6:$S$290,0)),"")</f>
        <v>Prof. Dr. Gökçen ÇOBAN ÇİFÇİ</v>
      </c>
      <c r="D231" s="264">
        <f>IF(C231="","",COUNTIFS(Başvuru!$C:$C,C231,Başvuru!$F:$F,"&lt;&gt;"&amp;""))</f>
        <v>1</v>
      </c>
      <c r="E231" s="262" t="str">
        <f>IF(D231&gt;0,TEXT(D231/COUNTIF(Başvuru!$F:$F,"&lt;&gt;"&amp;"")*100,"0.0")&amp;"%","-")</f>
        <v>00%</v>
      </c>
      <c r="F231" s="265">
        <f>IF(C231="","",COUNTIFS(Başvuru!$C:$C,C231,Başvuru!$G:$G,"Bireysel Araştırma",Başvuru!$F:$F,"&lt;&gt;"&amp;""))</f>
        <v>0</v>
      </c>
      <c r="G231" s="265">
        <f>IF(C231="","",COUNTIFS(Başvuru!$C:$C,C231,Başvuru!$G:$G,"Uzmanlık Tezi",Başvuru!$F:$F,"&lt;&gt;"&amp;""))</f>
        <v>1</v>
      </c>
      <c r="H231" s="265">
        <f>IF(C231="","",COUNTIFS(Başvuru!$C:$C,C231,Başvuru!$G:$G,"Doktora Tezi",Başvuru!$F:$F,"&lt;&gt;"&amp;""))</f>
        <v>0</v>
      </c>
      <c r="I231" s="265">
        <f>IF(C231="","",COUNTIFS(Başvuru!$C:$C,C231,Başvuru!$G:$G,"Yüksek Lisans Tezi",Başvuru!$F:$F,"&lt;&gt;"&amp;""))</f>
        <v>0</v>
      </c>
      <c r="J231" s="266">
        <f>IF(C231="","",COUNTIFS(Başvuru!$C:$C,C231,Başvuru!$L:$L,"ONAY",Başvuru!$F:$F,"&lt;&gt;"&amp;""))</f>
        <v>0</v>
      </c>
      <c r="K231" s="267">
        <f>IF(C231="","",COUNTIFS(Başvuru!$C:$C,C231,Başvuru!$L:$L,"DÜZELTME",Başvuru!$F:$F,"&lt;&gt;"&amp;""))</f>
        <v>1</v>
      </c>
      <c r="L231" s="268">
        <f>IF(C231="","",COUNTIFS(Başvuru!$C:$C,C231,Başvuru!$L:$L,"KAEK",Başvuru!$F:$F,"&lt;&gt;"&amp;""))</f>
        <v>0</v>
      </c>
      <c r="M231" s="269">
        <f>IF(C231="","",COUNTIFS(Başvuru!$C:$C,C231,Başvuru!$L:$L,"GÖRÜŞ",Başvuru!$F:$F,"&lt;&gt;"&amp;""))</f>
        <v>0</v>
      </c>
      <c r="N231" s="270">
        <f>IF(C231="","",COUNTIFS(Başvuru!$C:$C,C231,Başvuru!$L:$L,"RET",Başvuru!$F:$F,"&lt;&gt;"&amp;""))</f>
        <v>0</v>
      </c>
      <c r="O231" s="271">
        <f>IF(C231="","",COUNTIFS(Başvuru!$C:$C,C231,Başvuru!$L:$L,"KAPSAM DIŞI",Başvuru!$F:$F,"&lt;&gt;"&amp;""))</f>
        <v>0</v>
      </c>
      <c r="P231" s="272">
        <f>IF(C231="","",COUNTIFS(Başvuru!$C:$C,C231,Başvuru!$L:$L,"GERİ ÇEKİLDİ",Başvuru!$F:$F,"&lt;&gt;"&amp;""))</f>
        <v>0</v>
      </c>
      <c r="Q231" s="260" t="s">
        <v>374</v>
      </c>
      <c r="R231" s="261">
        <f>COUNTIFS(Başvuru!$C:$C,Q231,Başvuru!$F:$F,"&lt;&gt;"&amp;"")</f>
        <v>1</v>
      </c>
      <c r="S231" s="261">
        <f>RANK(R231,$R$6:$R$290,0)+COUNTIF($R$6:R231,R231)-1</f>
        <v>251</v>
      </c>
    </row>
    <row r="232" spans="2:19" ht="15" customHeight="1" x14ac:dyDescent="0.25">
      <c r="B232" s="249">
        <v>227</v>
      </c>
      <c r="C232" s="250" t="str">
        <f>IFERROR(INDEX($Q$6:$Q$290,MATCH(227,$S$6:$S$290,0)),"")</f>
        <v>Prof. Dr. Gülay SAİN GÜVEN</v>
      </c>
      <c r="D232" s="251">
        <f>IF(C232="","",COUNTIFS(Başvuru!$C:$C,C232,Başvuru!$F:$F,"&lt;&gt;"&amp;""))</f>
        <v>1</v>
      </c>
      <c r="E232" s="249" t="str">
        <f>IF(D232&gt;0,TEXT(D232/COUNTIF(Başvuru!$F:$F,"&lt;&gt;"&amp;"")*100,"0.0")&amp;"%","-")</f>
        <v>00%</v>
      </c>
      <c r="F232" s="252">
        <f>IF(C232="","",COUNTIFS(Başvuru!$C:$C,C232,Başvuru!$G:$G,"Bireysel Araştırma",Başvuru!$F:$F,"&lt;&gt;"&amp;""))</f>
        <v>1</v>
      </c>
      <c r="G232" s="252">
        <f>IF(C232="","",COUNTIFS(Başvuru!$C:$C,C232,Başvuru!$G:$G,"Uzmanlık Tezi",Başvuru!$F:$F,"&lt;&gt;"&amp;""))</f>
        <v>0</v>
      </c>
      <c r="H232" s="252">
        <f>IF(C232="","",COUNTIFS(Başvuru!$C:$C,C232,Başvuru!$G:$G,"Doktora Tezi",Başvuru!$F:$F,"&lt;&gt;"&amp;""))</f>
        <v>0</v>
      </c>
      <c r="I232" s="252">
        <f>IF(C232="","",COUNTIFS(Başvuru!$C:$C,C232,Başvuru!$G:$G,"Yüksek Lisans Tezi",Başvuru!$F:$F,"&lt;&gt;"&amp;""))</f>
        <v>0</v>
      </c>
      <c r="J232" s="253">
        <f>IF(C232="","",COUNTIFS(Başvuru!$C:$C,C232,Başvuru!$L:$L,"ONAY",Başvuru!$F:$F,"&lt;&gt;"&amp;""))</f>
        <v>1</v>
      </c>
      <c r="K232" s="254">
        <f>IF(C232="","",COUNTIFS(Başvuru!$C:$C,C232,Başvuru!$L:$L,"DÜZELTME",Başvuru!$F:$F,"&lt;&gt;"&amp;""))</f>
        <v>0</v>
      </c>
      <c r="L232" s="255">
        <f>IF(C232="","",COUNTIFS(Başvuru!$C:$C,C232,Başvuru!$L:$L,"KAEK",Başvuru!$F:$F,"&lt;&gt;"&amp;""))</f>
        <v>0</v>
      </c>
      <c r="M232" s="256">
        <f>IF(C232="","",COUNTIFS(Başvuru!$C:$C,C232,Başvuru!$L:$L,"GÖRÜŞ",Başvuru!$F:$F,"&lt;&gt;"&amp;""))</f>
        <v>0</v>
      </c>
      <c r="N232" s="257">
        <f>IF(C232="","",COUNTIFS(Başvuru!$C:$C,C232,Başvuru!$L:$L,"RET",Başvuru!$F:$F,"&lt;&gt;"&amp;""))</f>
        <v>0</v>
      </c>
      <c r="O232" s="258">
        <f>IF(C232="","",COUNTIFS(Başvuru!$C:$C,C232,Başvuru!$L:$L,"KAPSAM DIŞI",Başvuru!$F:$F,"&lt;&gt;"&amp;""))</f>
        <v>0</v>
      </c>
      <c r="P232" s="259">
        <f>IF(C232="","",COUNTIFS(Başvuru!$C:$C,C232,Başvuru!$L:$L,"GERİ ÇEKİLDİ",Başvuru!$F:$F,"&lt;&gt;"&amp;""))</f>
        <v>0</v>
      </c>
      <c r="Q232" s="260" t="s">
        <v>211</v>
      </c>
      <c r="R232" s="261">
        <f>COUNTIFS(Başvuru!$C:$C,Q232,Başvuru!$F:$F,"&lt;&gt;"&amp;"")</f>
        <v>3</v>
      </c>
      <c r="S232" s="261">
        <f>RANK(R232,$R$6:$R$290,0)+COUNTIF($R$6:R232,R232)-1</f>
        <v>53</v>
      </c>
    </row>
    <row r="233" spans="2:19" ht="15" customHeight="1" x14ac:dyDescent="0.25">
      <c r="B233" s="262">
        <v>228</v>
      </c>
      <c r="C233" s="263" t="str">
        <f>IFERROR(INDEX($Q$6:$Q$290,MATCH(228,$S$6:$S$290,0)),"")</f>
        <v>Prof. Dr. Gülen Eda ÜTİNE</v>
      </c>
      <c r="D233" s="264">
        <f>IF(C233="","",COUNTIFS(Başvuru!$C:$C,C233,Başvuru!$F:$F,"&lt;&gt;"&amp;""))</f>
        <v>1</v>
      </c>
      <c r="E233" s="262" t="str">
        <f>IF(D233&gt;0,TEXT(D233/COUNTIF(Başvuru!$F:$F,"&lt;&gt;"&amp;"")*100,"0.0")&amp;"%","-")</f>
        <v>00%</v>
      </c>
      <c r="F233" s="265">
        <f>IF(C233="","",COUNTIFS(Başvuru!$C:$C,C233,Başvuru!$G:$G,"Bireysel Araştırma",Başvuru!$F:$F,"&lt;&gt;"&amp;""))</f>
        <v>0</v>
      </c>
      <c r="G233" s="265">
        <f>IF(C233="","",COUNTIFS(Başvuru!$C:$C,C233,Başvuru!$G:$G,"Uzmanlık Tezi",Başvuru!$F:$F,"&lt;&gt;"&amp;""))</f>
        <v>1</v>
      </c>
      <c r="H233" s="265">
        <f>IF(C233="","",COUNTIFS(Başvuru!$C:$C,C233,Başvuru!$G:$G,"Doktora Tezi",Başvuru!$F:$F,"&lt;&gt;"&amp;""))</f>
        <v>0</v>
      </c>
      <c r="I233" s="265">
        <f>IF(C233="","",COUNTIFS(Başvuru!$C:$C,C233,Başvuru!$G:$G,"Yüksek Lisans Tezi",Başvuru!$F:$F,"&lt;&gt;"&amp;""))</f>
        <v>0</v>
      </c>
      <c r="J233" s="266">
        <f>IF(C233="","",COUNTIFS(Başvuru!$C:$C,C233,Başvuru!$L:$L,"ONAY",Başvuru!$F:$F,"&lt;&gt;"&amp;""))</f>
        <v>1</v>
      </c>
      <c r="K233" s="267">
        <f>IF(C233="","",COUNTIFS(Başvuru!$C:$C,C233,Başvuru!$L:$L,"DÜZELTME",Başvuru!$F:$F,"&lt;&gt;"&amp;""))</f>
        <v>0</v>
      </c>
      <c r="L233" s="268">
        <f>IF(C233="","",COUNTIFS(Başvuru!$C:$C,C233,Başvuru!$L:$L,"KAEK",Başvuru!$F:$F,"&lt;&gt;"&amp;""))</f>
        <v>0</v>
      </c>
      <c r="M233" s="269">
        <f>IF(C233="","",COUNTIFS(Başvuru!$C:$C,C233,Başvuru!$L:$L,"GÖRÜŞ",Başvuru!$F:$F,"&lt;&gt;"&amp;""))</f>
        <v>0</v>
      </c>
      <c r="N233" s="270">
        <f>IF(C233="","",COUNTIFS(Başvuru!$C:$C,C233,Başvuru!$L:$L,"RET",Başvuru!$F:$F,"&lt;&gt;"&amp;""))</f>
        <v>0</v>
      </c>
      <c r="O233" s="271">
        <f>IF(C233="","",COUNTIFS(Başvuru!$C:$C,C233,Başvuru!$L:$L,"KAPSAM DIŞI",Başvuru!$F:$F,"&lt;&gt;"&amp;""))</f>
        <v>0</v>
      </c>
      <c r="P233" s="272">
        <f>IF(C233="","",COUNTIFS(Başvuru!$C:$C,C233,Başvuru!$L:$L,"GERİ ÇEKİLDİ",Başvuru!$F:$F,"&lt;&gt;"&amp;""))</f>
        <v>0</v>
      </c>
      <c r="Q233" s="260" t="s">
        <v>2160</v>
      </c>
      <c r="R233" s="261">
        <f>COUNTIFS(Başvuru!$C:$C,Q233,Başvuru!$F:$F,"&lt;&gt;"&amp;"")</f>
        <v>1</v>
      </c>
      <c r="S233" s="261">
        <f>RANK(R233,$R$6:$R$290,0)+COUNTIF($R$6:R233,R233)-1</f>
        <v>252</v>
      </c>
    </row>
    <row r="234" spans="2:19" ht="15" customHeight="1" x14ac:dyDescent="0.25">
      <c r="B234" s="249">
        <v>229</v>
      </c>
      <c r="C234" s="250" t="str">
        <f>IFERROR(INDEX($Q$6:$Q$290,MATCH(229,$S$6:$S$290,0)),"")</f>
        <v>Prof. Dr. Güliz Nigar GÜNCÜ</v>
      </c>
      <c r="D234" s="251">
        <f>IF(C234="","",COUNTIFS(Başvuru!$C:$C,C234,Başvuru!$F:$F,"&lt;&gt;"&amp;""))</f>
        <v>1</v>
      </c>
      <c r="E234" s="249" t="str">
        <f>IF(D234&gt;0,TEXT(D234/COUNTIF(Başvuru!$F:$F,"&lt;&gt;"&amp;"")*100,"0.0")&amp;"%","-")</f>
        <v>00%</v>
      </c>
      <c r="F234" s="252">
        <f>IF(C234="","",COUNTIFS(Başvuru!$C:$C,C234,Başvuru!$G:$G,"Bireysel Araştırma",Başvuru!$F:$F,"&lt;&gt;"&amp;""))</f>
        <v>0</v>
      </c>
      <c r="G234" s="252">
        <f>IF(C234="","",COUNTIFS(Başvuru!$C:$C,C234,Başvuru!$G:$G,"Uzmanlık Tezi",Başvuru!$F:$F,"&lt;&gt;"&amp;""))</f>
        <v>1</v>
      </c>
      <c r="H234" s="252">
        <f>IF(C234="","",COUNTIFS(Başvuru!$C:$C,C234,Başvuru!$G:$G,"Doktora Tezi",Başvuru!$F:$F,"&lt;&gt;"&amp;""))</f>
        <v>0</v>
      </c>
      <c r="I234" s="252">
        <f>IF(C234="","",COUNTIFS(Başvuru!$C:$C,C234,Başvuru!$G:$G,"Yüksek Lisans Tezi",Başvuru!$F:$F,"&lt;&gt;"&amp;""))</f>
        <v>0</v>
      </c>
      <c r="J234" s="253">
        <f>IF(C234="","",COUNTIFS(Başvuru!$C:$C,C234,Başvuru!$L:$L,"ONAY",Başvuru!$F:$F,"&lt;&gt;"&amp;""))</f>
        <v>0</v>
      </c>
      <c r="K234" s="254">
        <f>IF(C234="","",COUNTIFS(Başvuru!$C:$C,C234,Başvuru!$L:$L,"DÜZELTME",Başvuru!$F:$F,"&lt;&gt;"&amp;""))</f>
        <v>1</v>
      </c>
      <c r="L234" s="255">
        <f>IF(C234="","",COUNTIFS(Başvuru!$C:$C,C234,Başvuru!$L:$L,"KAEK",Başvuru!$F:$F,"&lt;&gt;"&amp;""))</f>
        <v>0</v>
      </c>
      <c r="M234" s="256">
        <f>IF(C234="","",COUNTIFS(Başvuru!$C:$C,C234,Başvuru!$L:$L,"GÖRÜŞ",Başvuru!$F:$F,"&lt;&gt;"&amp;""))</f>
        <v>0</v>
      </c>
      <c r="N234" s="257">
        <f>IF(C234="","",COUNTIFS(Başvuru!$C:$C,C234,Başvuru!$L:$L,"RET",Başvuru!$F:$F,"&lt;&gt;"&amp;""))</f>
        <v>0</v>
      </c>
      <c r="O234" s="258">
        <f>IF(C234="","",COUNTIFS(Başvuru!$C:$C,C234,Başvuru!$L:$L,"KAPSAM DIŞI",Başvuru!$F:$F,"&lt;&gt;"&amp;""))</f>
        <v>0</v>
      </c>
      <c r="P234" s="259">
        <f>IF(C234="","",COUNTIFS(Başvuru!$C:$C,C234,Başvuru!$L:$L,"GERİ ÇEKİLDİ",Başvuru!$F:$F,"&lt;&gt;"&amp;""))</f>
        <v>0</v>
      </c>
      <c r="Q234" s="260" t="s">
        <v>1965</v>
      </c>
      <c r="R234" s="261">
        <f>COUNTIFS(Başvuru!$C:$C,Q234,Başvuru!$F:$F,"&lt;&gt;"&amp;"")</f>
        <v>1</v>
      </c>
      <c r="S234" s="261">
        <f>RANK(R234,$R$6:$R$290,0)+COUNTIF($R$6:R234,R234)-1</f>
        <v>253</v>
      </c>
    </row>
    <row r="235" spans="2:19" ht="15" customHeight="1" x14ac:dyDescent="0.25">
      <c r="B235" s="262">
        <v>230</v>
      </c>
      <c r="C235" s="263" t="str">
        <f>IFERROR(INDEX($Q$6:$Q$290,MATCH(230,$S$6:$S$290,0)),"")</f>
        <v>Prof. Dr. Gülten GÜVENÇ
Doç. Dr. Gölşah KÖK</v>
      </c>
      <c r="D235" s="264">
        <f>IF(C235="","",COUNTIFS(Başvuru!$C:$C,C235,Başvuru!$F:$F,"&lt;&gt;"&amp;""))</f>
        <v>1</v>
      </c>
      <c r="E235" s="262" t="str">
        <f>IF(D235&gt;0,TEXT(D235/COUNTIF(Başvuru!$F:$F,"&lt;&gt;"&amp;"")*100,"0.0")&amp;"%","-")</f>
        <v>00%</v>
      </c>
      <c r="F235" s="265">
        <f>IF(C235="","",COUNTIFS(Başvuru!$C:$C,C235,Başvuru!$G:$G,"Bireysel Araştırma",Başvuru!$F:$F,"&lt;&gt;"&amp;""))</f>
        <v>1</v>
      </c>
      <c r="G235" s="265">
        <f>IF(C235="","",COUNTIFS(Başvuru!$C:$C,C235,Başvuru!$G:$G,"Uzmanlık Tezi",Başvuru!$F:$F,"&lt;&gt;"&amp;""))</f>
        <v>0</v>
      </c>
      <c r="H235" s="265">
        <f>IF(C235="","",COUNTIFS(Başvuru!$C:$C,C235,Başvuru!$G:$G,"Doktora Tezi",Başvuru!$F:$F,"&lt;&gt;"&amp;""))</f>
        <v>0</v>
      </c>
      <c r="I235" s="265">
        <f>IF(C235="","",COUNTIFS(Başvuru!$C:$C,C235,Başvuru!$G:$G,"Yüksek Lisans Tezi",Başvuru!$F:$F,"&lt;&gt;"&amp;""))</f>
        <v>0</v>
      </c>
      <c r="J235" s="266">
        <f>IF(C235="","",COUNTIFS(Başvuru!$C:$C,C235,Başvuru!$L:$L,"ONAY",Başvuru!$F:$F,"&lt;&gt;"&amp;""))</f>
        <v>0</v>
      </c>
      <c r="K235" s="267">
        <f>IF(C235="","",COUNTIFS(Başvuru!$C:$C,C235,Başvuru!$L:$L,"DÜZELTME",Başvuru!$F:$F,"&lt;&gt;"&amp;""))</f>
        <v>1</v>
      </c>
      <c r="L235" s="268">
        <f>IF(C235="","",COUNTIFS(Başvuru!$C:$C,C235,Başvuru!$L:$L,"KAEK",Başvuru!$F:$F,"&lt;&gt;"&amp;""))</f>
        <v>0</v>
      </c>
      <c r="M235" s="269">
        <f>IF(C235="","",COUNTIFS(Başvuru!$C:$C,C235,Başvuru!$L:$L,"GÖRÜŞ",Başvuru!$F:$F,"&lt;&gt;"&amp;""))</f>
        <v>0</v>
      </c>
      <c r="N235" s="270">
        <f>IF(C235="","",COUNTIFS(Başvuru!$C:$C,C235,Başvuru!$L:$L,"RET",Başvuru!$F:$F,"&lt;&gt;"&amp;""))</f>
        <v>0</v>
      </c>
      <c r="O235" s="271">
        <f>IF(C235="","",COUNTIFS(Başvuru!$C:$C,C235,Başvuru!$L:$L,"KAPSAM DIŞI",Başvuru!$F:$F,"&lt;&gt;"&amp;""))</f>
        <v>0</v>
      </c>
      <c r="P235" s="272">
        <f>IF(C235="","",COUNTIFS(Başvuru!$C:$C,C235,Başvuru!$L:$L,"GERİ ÇEKİLDİ",Başvuru!$F:$F,"&lt;&gt;"&amp;""))</f>
        <v>0</v>
      </c>
      <c r="Q235" s="260" t="s">
        <v>363</v>
      </c>
      <c r="R235" s="261">
        <f>COUNTIFS(Başvuru!$C:$C,Q235,Başvuru!$F:$F,"&lt;&gt;"&amp;"")</f>
        <v>1</v>
      </c>
      <c r="S235" s="261">
        <f>RANK(R235,$R$6:$R$290,0)+COUNTIF($R$6:R235,R235)-1</f>
        <v>254</v>
      </c>
    </row>
    <row r="236" spans="2:19" ht="15" customHeight="1" x14ac:dyDescent="0.25">
      <c r="B236" s="249">
        <v>231</v>
      </c>
      <c r="C236" s="250" t="str">
        <f>IFERROR(INDEX($Q$6:$Q$290,MATCH(231,$S$6:$S$290,0)),"")</f>
        <v>Prof. Dr. Hakan Hıfzı TÜZ</v>
      </c>
      <c r="D236" s="251">
        <f>IF(C236="","",COUNTIFS(Başvuru!$C:$C,C236,Başvuru!$F:$F,"&lt;&gt;"&amp;""))</f>
        <v>1</v>
      </c>
      <c r="E236" s="249" t="str">
        <f>IF(D236&gt;0,TEXT(D236/COUNTIF(Başvuru!$F:$F,"&lt;&gt;"&amp;"")*100,"0.0")&amp;"%","-")</f>
        <v>00%</v>
      </c>
      <c r="F236" s="252">
        <f>IF(C236="","",COUNTIFS(Başvuru!$C:$C,C236,Başvuru!$G:$G,"Bireysel Araştırma",Başvuru!$F:$F,"&lt;&gt;"&amp;""))</f>
        <v>0</v>
      </c>
      <c r="G236" s="252">
        <f>IF(C236="","",COUNTIFS(Başvuru!$C:$C,C236,Başvuru!$G:$G,"Uzmanlık Tezi",Başvuru!$F:$F,"&lt;&gt;"&amp;""))</f>
        <v>1</v>
      </c>
      <c r="H236" s="252">
        <f>IF(C236="","",COUNTIFS(Başvuru!$C:$C,C236,Başvuru!$G:$G,"Doktora Tezi",Başvuru!$F:$F,"&lt;&gt;"&amp;""))</f>
        <v>0</v>
      </c>
      <c r="I236" s="252">
        <f>IF(C236="","",COUNTIFS(Başvuru!$C:$C,C236,Başvuru!$G:$G,"Yüksek Lisans Tezi",Başvuru!$F:$F,"&lt;&gt;"&amp;""))</f>
        <v>0</v>
      </c>
      <c r="J236" s="253">
        <f>IF(C236="","",COUNTIFS(Başvuru!$C:$C,C236,Başvuru!$L:$L,"ONAY",Başvuru!$F:$F,"&lt;&gt;"&amp;""))</f>
        <v>1</v>
      </c>
      <c r="K236" s="254">
        <f>IF(C236="","",COUNTIFS(Başvuru!$C:$C,C236,Başvuru!$L:$L,"DÜZELTME",Başvuru!$F:$F,"&lt;&gt;"&amp;""))</f>
        <v>0</v>
      </c>
      <c r="L236" s="255">
        <f>IF(C236="","",COUNTIFS(Başvuru!$C:$C,C236,Başvuru!$L:$L,"KAEK",Başvuru!$F:$F,"&lt;&gt;"&amp;""))</f>
        <v>0</v>
      </c>
      <c r="M236" s="256">
        <f>IF(C236="","",COUNTIFS(Başvuru!$C:$C,C236,Başvuru!$L:$L,"GÖRÜŞ",Başvuru!$F:$F,"&lt;&gt;"&amp;""))</f>
        <v>0</v>
      </c>
      <c r="N236" s="257">
        <f>IF(C236="","",COUNTIFS(Başvuru!$C:$C,C236,Başvuru!$L:$L,"RET",Başvuru!$F:$F,"&lt;&gt;"&amp;""))</f>
        <v>0</v>
      </c>
      <c r="O236" s="258">
        <f>IF(C236="","",COUNTIFS(Başvuru!$C:$C,C236,Başvuru!$L:$L,"KAPSAM DIŞI",Başvuru!$F:$F,"&lt;&gt;"&amp;""))</f>
        <v>0</v>
      </c>
      <c r="P236" s="259">
        <f>IF(C236="","",COUNTIFS(Başvuru!$C:$C,C236,Başvuru!$L:$L,"GERİ ÇEKİLDİ",Başvuru!$F:$F,"&lt;&gt;"&amp;""))</f>
        <v>0</v>
      </c>
      <c r="Q236" s="260" t="s">
        <v>725</v>
      </c>
      <c r="R236" s="261">
        <f>COUNTIFS(Başvuru!$C:$C,Q236,Başvuru!$F:$F,"&lt;&gt;"&amp;"")</f>
        <v>1</v>
      </c>
      <c r="S236" s="261">
        <f>RANK(R236,$R$6:$R$290,0)+COUNTIF($R$6:R236,R236)-1</f>
        <v>255</v>
      </c>
    </row>
    <row r="237" spans="2:19" ht="15" customHeight="1" x14ac:dyDescent="0.25">
      <c r="B237" s="262">
        <v>232</v>
      </c>
      <c r="C237" s="263" t="str">
        <f>IFERROR(INDEX($Q$6:$Q$290,MATCH(232,$S$6:$S$290,0)),"")</f>
        <v>Prof. Dr. Hande TAYLAN ŞEKEROĞLU</v>
      </c>
      <c r="D237" s="264">
        <f>IF(C237="","",COUNTIFS(Başvuru!$C:$C,C237,Başvuru!$F:$F,"&lt;&gt;"&amp;""))</f>
        <v>1</v>
      </c>
      <c r="E237" s="262" t="str">
        <f>IF(D237&gt;0,TEXT(D237/COUNTIF(Başvuru!$F:$F,"&lt;&gt;"&amp;"")*100,"0.0")&amp;"%","-")</f>
        <v>00%</v>
      </c>
      <c r="F237" s="265">
        <f>IF(C237="","",COUNTIFS(Başvuru!$C:$C,C237,Başvuru!$G:$G,"Bireysel Araştırma",Başvuru!$F:$F,"&lt;&gt;"&amp;""))</f>
        <v>1</v>
      </c>
      <c r="G237" s="265">
        <f>IF(C237="","",COUNTIFS(Başvuru!$C:$C,C237,Başvuru!$G:$G,"Uzmanlık Tezi",Başvuru!$F:$F,"&lt;&gt;"&amp;""))</f>
        <v>0</v>
      </c>
      <c r="H237" s="265">
        <f>IF(C237="","",COUNTIFS(Başvuru!$C:$C,C237,Başvuru!$G:$G,"Doktora Tezi",Başvuru!$F:$F,"&lt;&gt;"&amp;""))</f>
        <v>0</v>
      </c>
      <c r="I237" s="265">
        <f>IF(C237="","",COUNTIFS(Başvuru!$C:$C,C237,Başvuru!$G:$G,"Yüksek Lisans Tezi",Başvuru!$F:$F,"&lt;&gt;"&amp;""))</f>
        <v>0</v>
      </c>
      <c r="J237" s="266">
        <f>IF(C237="","",COUNTIFS(Başvuru!$C:$C,C237,Başvuru!$L:$L,"ONAY",Başvuru!$F:$F,"&lt;&gt;"&amp;""))</f>
        <v>0</v>
      </c>
      <c r="K237" s="267">
        <f>IF(C237="","",COUNTIFS(Başvuru!$C:$C,C237,Başvuru!$L:$L,"DÜZELTME",Başvuru!$F:$F,"&lt;&gt;"&amp;""))</f>
        <v>0</v>
      </c>
      <c r="L237" s="268">
        <f>IF(C237="","",COUNTIFS(Başvuru!$C:$C,C237,Başvuru!$L:$L,"KAEK",Başvuru!$F:$F,"&lt;&gt;"&amp;""))</f>
        <v>0</v>
      </c>
      <c r="M237" s="269">
        <f>IF(C237="","",COUNTIFS(Başvuru!$C:$C,C237,Başvuru!$L:$L,"GÖRÜŞ",Başvuru!$F:$F,"&lt;&gt;"&amp;""))</f>
        <v>0</v>
      </c>
      <c r="N237" s="270">
        <f>IF(C237="","",COUNTIFS(Başvuru!$C:$C,C237,Başvuru!$L:$L,"RET",Başvuru!$F:$F,"&lt;&gt;"&amp;""))</f>
        <v>0</v>
      </c>
      <c r="O237" s="271">
        <f>IF(C237="","",COUNTIFS(Başvuru!$C:$C,C237,Başvuru!$L:$L,"KAPSAM DIŞI",Başvuru!$F:$F,"&lt;&gt;"&amp;""))</f>
        <v>0</v>
      </c>
      <c r="P237" s="272">
        <f>IF(C237="","",COUNTIFS(Başvuru!$C:$C,C237,Başvuru!$L:$L,"GERİ ÇEKİLDİ",Başvuru!$F:$F,"&lt;&gt;"&amp;""))</f>
        <v>0</v>
      </c>
      <c r="Q237" s="260" t="s">
        <v>561</v>
      </c>
      <c r="R237" s="261">
        <f>COUNTIFS(Başvuru!$C:$C,Q237,Başvuru!$F:$F,"&lt;&gt;"&amp;"")</f>
        <v>2</v>
      </c>
      <c r="S237" s="261">
        <f>RANK(R237,$R$6:$R$290,0)+COUNTIF($R$6:R237,R237)-1</f>
        <v>109</v>
      </c>
    </row>
    <row r="238" spans="2:19" ht="15" customHeight="1" x14ac:dyDescent="0.25">
      <c r="B238" s="249">
        <v>233</v>
      </c>
      <c r="C238" s="250" t="str">
        <f>IFERROR(INDEX($Q$6:$Q$290,MATCH(233,$S$6:$S$290,0)),"")</f>
        <v>Prof. Dr. Hatice DOĞAN BUZOĞLU</v>
      </c>
      <c r="D238" s="251">
        <f>IF(C238="","",COUNTIFS(Başvuru!$C:$C,C238,Başvuru!$F:$F,"&lt;&gt;"&amp;""))</f>
        <v>1</v>
      </c>
      <c r="E238" s="249" t="str">
        <f>IF(D238&gt;0,TEXT(D238/COUNTIF(Başvuru!$F:$F,"&lt;&gt;"&amp;"")*100,"0.0")&amp;"%","-")</f>
        <v>00%</v>
      </c>
      <c r="F238" s="252">
        <f>IF(C238="","",COUNTIFS(Başvuru!$C:$C,C238,Başvuru!$G:$G,"Bireysel Araştırma",Başvuru!$F:$F,"&lt;&gt;"&amp;""))</f>
        <v>0</v>
      </c>
      <c r="G238" s="252">
        <f>IF(C238="","",COUNTIFS(Başvuru!$C:$C,C238,Başvuru!$G:$G,"Uzmanlık Tezi",Başvuru!$F:$F,"&lt;&gt;"&amp;""))</f>
        <v>0</v>
      </c>
      <c r="H238" s="252">
        <f>IF(C238="","",COUNTIFS(Başvuru!$C:$C,C238,Başvuru!$G:$G,"Doktora Tezi",Başvuru!$F:$F,"&lt;&gt;"&amp;""))</f>
        <v>1</v>
      </c>
      <c r="I238" s="252">
        <f>IF(C238="","",COUNTIFS(Başvuru!$C:$C,C238,Başvuru!$G:$G,"Yüksek Lisans Tezi",Başvuru!$F:$F,"&lt;&gt;"&amp;""))</f>
        <v>0</v>
      </c>
      <c r="J238" s="253">
        <f>IF(C238="","",COUNTIFS(Başvuru!$C:$C,C238,Başvuru!$L:$L,"ONAY",Başvuru!$F:$F,"&lt;&gt;"&amp;""))</f>
        <v>1</v>
      </c>
      <c r="K238" s="254">
        <f>IF(C238="","",COUNTIFS(Başvuru!$C:$C,C238,Başvuru!$L:$L,"DÜZELTME",Başvuru!$F:$F,"&lt;&gt;"&amp;""))</f>
        <v>0</v>
      </c>
      <c r="L238" s="255">
        <f>IF(C238="","",COUNTIFS(Başvuru!$C:$C,C238,Başvuru!$L:$L,"KAEK",Başvuru!$F:$F,"&lt;&gt;"&amp;""))</f>
        <v>0</v>
      </c>
      <c r="M238" s="256">
        <f>IF(C238="","",COUNTIFS(Başvuru!$C:$C,C238,Başvuru!$L:$L,"GÖRÜŞ",Başvuru!$F:$F,"&lt;&gt;"&amp;""))</f>
        <v>0</v>
      </c>
      <c r="N238" s="257">
        <f>IF(C238="","",COUNTIFS(Başvuru!$C:$C,C238,Başvuru!$L:$L,"RET",Başvuru!$F:$F,"&lt;&gt;"&amp;""))</f>
        <v>0</v>
      </c>
      <c r="O238" s="258">
        <f>IF(C238="","",COUNTIFS(Başvuru!$C:$C,C238,Başvuru!$L:$L,"KAPSAM DIŞI",Başvuru!$F:$F,"&lt;&gt;"&amp;""))</f>
        <v>0</v>
      </c>
      <c r="P238" s="259">
        <f>IF(C238="","",COUNTIFS(Başvuru!$C:$C,C238,Başvuru!$L:$L,"GERİ ÇEKİLDİ",Başvuru!$F:$F,"&lt;&gt;"&amp;""))</f>
        <v>0</v>
      </c>
      <c r="Q238" s="260" t="s">
        <v>424</v>
      </c>
      <c r="R238" s="261">
        <f>COUNTIFS(Başvuru!$C:$C,Q238,Başvuru!$F:$F,"&lt;&gt;"&amp;"")</f>
        <v>6</v>
      </c>
      <c r="S238" s="261">
        <f>RANK(R238,$R$6:$R$290,0)+COUNTIF($R$6:R238,R238)-1</f>
        <v>16</v>
      </c>
    </row>
    <row r="239" spans="2:19" ht="15" customHeight="1" x14ac:dyDescent="0.25">
      <c r="B239" s="262">
        <v>234</v>
      </c>
      <c r="C239" s="263" t="str">
        <f>IFERROR(INDEX($Q$6:$Q$290,MATCH(234,$S$6:$S$290,0)),"")</f>
        <v>Prof. Dr. Hülya DEMİR</v>
      </c>
      <c r="D239" s="264">
        <f>IF(C239="","",COUNTIFS(Başvuru!$C:$C,C239,Başvuru!$F:$F,"&lt;&gt;"&amp;""))</f>
        <v>1</v>
      </c>
      <c r="E239" s="262" t="str">
        <f>IF(D239&gt;0,TEXT(D239/COUNTIF(Başvuru!$F:$F,"&lt;&gt;"&amp;"")*100,"0.0")&amp;"%","-")</f>
        <v>00%</v>
      </c>
      <c r="F239" s="265">
        <f>IF(C239="","",COUNTIFS(Başvuru!$C:$C,C239,Başvuru!$G:$G,"Bireysel Araştırma",Başvuru!$F:$F,"&lt;&gt;"&amp;""))</f>
        <v>1</v>
      </c>
      <c r="G239" s="265">
        <f>IF(C239="","",COUNTIFS(Başvuru!$C:$C,C239,Başvuru!$G:$G,"Uzmanlık Tezi",Başvuru!$F:$F,"&lt;&gt;"&amp;""))</f>
        <v>0</v>
      </c>
      <c r="H239" s="265">
        <f>IF(C239="","",COUNTIFS(Başvuru!$C:$C,C239,Başvuru!$G:$G,"Doktora Tezi",Başvuru!$F:$F,"&lt;&gt;"&amp;""))</f>
        <v>0</v>
      </c>
      <c r="I239" s="265">
        <f>IF(C239="","",COUNTIFS(Başvuru!$C:$C,C239,Başvuru!$G:$G,"Yüksek Lisans Tezi",Başvuru!$F:$F,"&lt;&gt;"&amp;""))</f>
        <v>0</v>
      </c>
      <c r="J239" s="266">
        <f>IF(C239="","",COUNTIFS(Başvuru!$C:$C,C239,Başvuru!$L:$L,"ONAY",Başvuru!$F:$F,"&lt;&gt;"&amp;""))</f>
        <v>1</v>
      </c>
      <c r="K239" s="267">
        <f>IF(C239="","",COUNTIFS(Başvuru!$C:$C,C239,Başvuru!$L:$L,"DÜZELTME",Başvuru!$F:$F,"&lt;&gt;"&amp;""))</f>
        <v>0</v>
      </c>
      <c r="L239" s="268">
        <f>IF(C239="","",COUNTIFS(Başvuru!$C:$C,C239,Başvuru!$L:$L,"KAEK",Başvuru!$F:$F,"&lt;&gt;"&amp;""))</f>
        <v>0</v>
      </c>
      <c r="M239" s="269">
        <f>IF(C239="","",COUNTIFS(Başvuru!$C:$C,C239,Başvuru!$L:$L,"GÖRÜŞ",Başvuru!$F:$F,"&lt;&gt;"&amp;""))</f>
        <v>0</v>
      </c>
      <c r="N239" s="270">
        <f>IF(C239="","",COUNTIFS(Başvuru!$C:$C,C239,Başvuru!$L:$L,"RET",Başvuru!$F:$F,"&lt;&gt;"&amp;""))</f>
        <v>0</v>
      </c>
      <c r="O239" s="271">
        <f>IF(C239="","",COUNTIFS(Başvuru!$C:$C,C239,Başvuru!$L:$L,"KAPSAM DIŞI",Başvuru!$F:$F,"&lt;&gt;"&amp;""))</f>
        <v>0</v>
      </c>
      <c r="P239" s="272">
        <f>IF(C239="","",COUNTIFS(Başvuru!$C:$C,C239,Başvuru!$L:$L,"GERİ ÇEKİLDİ",Başvuru!$F:$F,"&lt;&gt;"&amp;""))</f>
        <v>0</v>
      </c>
      <c r="Q239" s="260" t="s">
        <v>2371</v>
      </c>
      <c r="R239" s="261">
        <f>COUNTIFS(Başvuru!$C:$C,Q239,Başvuru!$F:$F,"&lt;&gt;"&amp;"")</f>
        <v>1</v>
      </c>
      <c r="S239" s="261">
        <f>RANK(R239,$R$6:$R$290,0)+COUNTIF($R$6:R239,R239)-1</f>
        <v>256</v>
      </c>
    </row>
    <row r="240" spans="2:19" ht="15" customHeight="1" x14ac:dyDescent="0.25">
      <c r="B240" s="249">
        <v>235</v>
      </c>
      <c r="C240" s="250" t="str">
        <f>IFERROR(INDEX($Q$6:$Q$290,MATCH(235,$S$6:$S$290,0)),"")</f>
        <v>Prof. Dr. Jale KARAKAYA</v>
      </c>
      <c r="D240" s="251">
        <f>IF(C240="","",COUNTIFS(Başvuru!$C:$C,C240,Başvuru!$F:$F,"&lt;&gt;"&amp;""))</f>
        <v>1</v>
      </c>
      <c r="E240" s="249" t="str">
        <f>IF(D240&gt;0,TEXT(D240/COUNTIF(Başvuru!$F:$F,"&lt;&gt;"&amp;"")*100,"0.0")&amp;"%","-")</f>
        <v>00%</v>
      </c>
      <c r="F240" s="252">
        <f>IF(C240="","",COUNTIFS(Başvuru!$C:$C,C240,Başvuru!$G:$G,"Bireysel Araştırma",Başvuru!$F:$F,"&lt;&gt;"&amp;""))</f>
        <v>1</v>
      </c>
      <c r="G240" s="252">
        <f>IF(C240="","",COUNTIFS(Başvuru!$C:$C,C240,Başvuru!$G:$G,"Uzmanlık Tezi",Başvuru!$F:$F,"&lt;&gt;"&amp;""))</f>
        <v>0</v>
      </c>
      <c r="H240" s="252">
        <f>IF(C240="","",COUNTIFS(Başvuru!$C:$C,C240,Başvuru!$G:$G,"Doktora Tezi",Başvuru!$F:$F,"&lt;&gt;"&amp;""))</f>
        <v>0</v>
      </c>
      <c r="I240" s="252">
        <f>IF(C240="","",COUNTIFS(Başvuru!$C:$C,C240,Başvuru!$G:$G,"Yüksek Lisans Tezi",Başvuru!$F:$F,"&lt;&gt;"&amp;""))</f>
        <v>0</v>
      </c>
      <c r="J240" s="253">
        <f>IF(C240="","",COUNTIFS(Başvuru!$C:$C,C240,Başvuru!$L:$L,"ONAY",Başvuru!$F:$F,"&lt;&gt;"&amp;""))</f>
        <v>0</v>
      </c>
      <c r="K240" s="254">
        <f>IF(C240="","",COUNTIFS(Başvuru!$C:$C,C240,Başvuru!$L:$L,"DÜZELTME",Başvuru!$F:$F,"&lt;&gt;"&amp;""))</f>
        <v>0</v>
      </c>
      <c r="L240" s="255">
        <f>IF(C240="","",COUNTIFS(Başvuru!$C:$C,C240,Başvuru!$L:$L,"KAEK",Başvuru!$F:$F,"&lt;&gt;"&amp;""))</f>
        <v>0</v>
      </c>
      <c r="M240" s="256">
        <f>IF(C240="","",COUNTIFS(Başvuru!$C:$C,C240,Başvuru!$L:$L,"GÖRÜŞ",Başvuru!$F:$F,"&lt;&gt;"&amp;""))</f>
        <v>1</v>
      </c>
      <c r="N240" s="257">
        <f>IF(C240="","",COUNTIFS(Başvuru!$C:$C,C240,Başvuru!$L:$L,"RET",Başvuru!$F:$F,"&lt;&gt;"&amp;""))</f>
        <v>0</v>
      </c>
      <c r="O240" s="258">
        <f>IF(C240="","",COUNTIFS(Başvuru!$C:$C,C240,Başvuru!$L:$L,"KAPSAM DIŞI",Başvuru!$F:$F,"&lt;&gt;"&amp;""))</f>
        <v>0</v>
      </c>
      <c r="P240" s="259">
        <f>IF(C240="","",COUNTIFS(Başvuru!$C:$C,C240,Başvuru!$L:$L,"GERİ ÇEKİLDİ",Başvuru!$F:$F,"&lt;&gt;"&amp;""))</f>
        <v>0</v>
      </c>
      <c r="Q240" s="260" t="s">
        <v>1288</v>
      </c>
      <c r="R240" s="261">
        <f>COUNTIFS(Başvuru!$C:$C,Q240,Başvuru!$F:$F,"&lt;&gt;"&amp;"")</f>
        <v>1</v>
      </c>
      <c r="S240" s="261">
        <f>RANK(R240,$R$6:$R$290,0)+COUNTIF($R$6:R240,R240)-1</f>
        <v>257</v>
      </c>
    </row>
    <row r="241" spans="2:19" ht="15" customHeight="1" x14ac:dyDescent="0.25">
      <c r="B241" s="262">
        <v>236</v>
      </c>
      <c r="C241" s="263" t="str">
        <f>IFERROR(INDEX($Q$6:$Q$290,MATCH(236,$S$6:$S$290,0)),"")</f>
        <v>Prof. Dr. Kasım KARATAŞ</v>
      </c>
      <c r="D241" s="264">
        <f>IF(C241="","",COUNTIFS(Başvuru!$C:$C,C241,Başvuru!$F:$F,"&lt;&gt;"&amp;""))</f>
        <v>1</v>
      </c>
      <c r="E241" s="262" t="str">
        <f>IF(D241&gt;0,TEXT(D241/COUNTIF(Başvuru!$F:$F,"&lt;&gt;"&amp;"")*100,"0.0")&amp;"%","-")</f>
        <v>00%</v>
      </c>
      <c r="F241" s="265">
        <f>IF(C241="","",COUNTIFS(Başvuru!$C:$C,C241,Başvuru!$G:$G,"Bireysel Araştırma",Başvuru!$F:$F,"&lt;&gt;"&amp;""))</f>
        <v>1</v>
      </c>
      <c r="G241" s="265">
        <f>IF(C241="","",COUNTIFS(Başvuru!$C:$C,C241,Başvuru!$G:$G,"Uzmanlık Tezi",Başvuru!$F:$F,"&lt;&gt;"&amp;""))</f>
        <v>0</v>
      </c>
      <c r="H241" s="265">
        <f>IF(C241="","",COUNTIFS(Başvuru!$C:$C,C241,Başvuru!$G:$G,"Doktora Tezi",Başvuru!$F:$F,"&lt;&gt;"&amp;""))</f>
        <v>0</v>
      </c>
      <c r="I241" s="265">
        <f>IF(C241="","",COUNTIFS(Başvuru!$C:$C,C241,Başvuru!$G:$G,"Yüksek Lisans Tezi",Başvuru!$F:$F,"&lt;&gt;"&amp;""))</f>
        <v>0</v>
      </c>
      <c r="J241" s="266">
        <f>IF(C241="","",COUNTIFS(Başvuru!$C:$C,C241,Başvuru!$L:$L,"ONAY",Başvuru!$F:$F,"&lt;&gt;"&amp;""))</f>
        <v>0</v>
      </c>
      <c r="K241" s="267">
        <f>IF(C241="","",COUNTIFS(Başvuru!$C:$C,C241,Başvuru!$L:$L,"DÜZELTME",Başvuru!$F:$F,"&lt;&gt;"&amp;""))</f>
        <v>1</v>
      </c>
      <c r="L241" s="268">
        <f>IF(C241="","",COUNTIFS(Başvuru!$C:$C,C241,Başvuru!$L:$L,"KAEK",Başvuru!$F:$F,"&lt;&gt;"&amp;""))</f>
        <v>0</v>
      </c>
      <c r="M241" s="269">
        <f>IF(C241="","",COUNTIFS(Başvuru!$C:$C,C241,Başvuru!$L:$L,"GÖRÜŞ",Başvuru!$F:$F,"&lt;&gt;"&amp;""))</f>
        <v>0</v>
      </c>
      <c r="N241" s="270">
        <f>IF(C241="","",COUNTIFS(Başvuru!$C:$C,C241,Başvuru!$L:$L,"RET",Başvuru!$F:$F,"&lt;&gt;"&amp;""))</f>
        <v>0</v>
      </c>
      <c r="O241" s="271">
        <f>IF(C241="","",COUNTIFS(Başvuru!$C:$C,C241,Başvuru!$L:$L,"KAPSAM DIŞI",Başvuru!$F:$F,"&lt;&gt;"&amp;""))</f>
        <v>0</v>
      </c>
      <c r="P241" s="272">
        <f>IF(C241="","",COUNTIFS(Başvuru!$C:$C,C241,Başvuru!$L:$L,"GERİ ÇEKİLDİ",Başvuru!$F:$F,"&lt;&gt;"&amp;""))</f>
        <v>0</v>
      </c>
      <c r="Q241" s="260" t="s">
        <v>646</v>
      </c>
      <c r="R241" s="261">
        <f>COUNTIFS(Başvuru!$C:$C,Q241,Başvuru!$F:$F,"&lt;&gt;"&amp;"")</f>
        <v>1</v>
      </c>
      <c r="S241" s="261">
        <f>RANK(R241,$R$6:$R$290,0)+COUNTIF($R$6:R241,R241)-1</f>
        <v>258</v>
      </c>
    </row>
    <row r="242" spans="2:19" ht="15" customHeight="1" x14ac:dyDescent="0.25">
      <c r="B242" s="249">
        <v>237</v>
      </c>
      <c r="C242" s="250" t="str">
        <f>IFERROR(INDEX($Q$6:$Q$290,MATCH(237,$S$6:$S$290,0)),"")</f>
        <v>Prof. Dr. Kıvanç AKÇA</v>
      </c>
      <c r="D242" s="251">
        <f>IF(C242="","",COUNTIFS(Başvuru!$C:$C,C242,Başvuru!$F:$F,"&lt;&gt;"&amp;""))</f>
        <v>1</v>
      </c>
      <c r="E242" s="249" t="str">
        <f>IF(D242&gt;0,TEXT(D242/COUNTIF(Başvuru!$F:$F,"&lt;&gt;"&amp;"")*100,"0.0")&amp;"%","-")</f>
        <v>00%</v>
      </c>
      <c r="F242" s="252">
        <f>IF(C242="","",COUNTIFS(Başvuru!$C:$C,C242,Başvuru!$G:$G,"Bireysel Araştırma",Başvuru!$F:$F,"&lt;&gt;"&amp;""))</f>
        <v>1</v>
      </c>
      <c r="G242" s="252">
        <f>IF(C242="","",COUNTIFS(Başvuru!$C:$C,C242,Başvuru!$G:$G,"Uzmanlık Tezi",Başvuru!$F:$F,"&lt;&gt;"&amp;""))</f>
        <v>0</v>
      </c>
      <c r="H242" s="252">
        <f>IF(C242="","",COUNTIFS(Başvuru!$C:$C,C242,Başvuru!$G:$G,"Doktora Tezi",Başvuru!$F:$F,"&lt;&gt;"&amp;""))</f>
        <v>0</v>
      </c>
      <c r="I242" s="252">
        <f>IF(C242="","",COUNTIFS(Başvuru!$C:$C,C242,Başvuru!$G:$G,"Yüksek Lisans Tezi",Başvuru!$F:$F,"&lt;&gt;"&amp;""))</f>
        <v>0</v>
      </c>
      <c r="J242" s="253">
        <f>IF(C242="","",COUNTIFS(Başvuru!$C:$C,C242,Başvuru!$L:$L,"ONAY",Başvuru!$F:$F,"&lt;&gt;"&amp;""))</f>
        <v>0</v>
      </c>
      <c r="K242" s="254">
        <f>IF(C242="","",COUNTIFS(Başvuru!$C:$C,C242,Başvuru!$L:$L,"DÜZELTME",Başvuru!$F:$F,"&lt;&gt;"&amp;""))</f>
        <v>0</v>
      </c>
      <c r="L242" s="255">
        <f>IF(C242="","",COUNTIFS(Başvuru!$C:$C,C242,Başvuru!$L:$L,"KAEK",Başvuru!$F:$F,"&lt;&gt;"&amp;""))</f>
        <v>0</v>
      </c>
      <c r="M242" s="256">
        <f>IF(C242="","",COUNTIFS(Başvuru!$C:$C,C242,Başvuru!$L:$L,"GÖRÜŞ",Başvuru!$F:$F,"&lt;&gt;"&amp;""))</f>
        <v>1</v>
      </c>
      <c r="N242" s="257">
        <f>IF(C242="","",COUNTIFS(Başvuru!$C:$C,C242,Başvuru!$L:$L,"RET",Başvuru!$F:$F,"&lt;&gt;"&amp;""))</f>
        <v>0</v>
      </c>
      <c r="O242" s="258">
        <f>IF(C242="","",COUNTIFS(Başvuru!$C:$C,C242,Başvuru!$L:$L,"KAPSAM DIŞI",Başvuru!$F:$F,"&lt;&gt;"&amp;""))</f>
        <v>0</v>
      </c>
      <c r="P242" s="259">
        <f>IF(C242="","",COUNTIFS(Başvuru!$C:$C,C242,Başvuru!$L:$L,"GERİ ÇEKİLDİ",Başvuru!$F:$F,"&lt;&gt;"&amp;""))</f>
        <v>0</v>
      </c>
      <c r="Q242" s="260" t="s">
        <v>980</v>
      </c>
      <c r="R242" s="261">
        <f>COUNTIFS(Başvuru!$C:$C,Q242,Başvuru!$F:$F,"&lt;&gt;"&amp;"")</f>
        <v>2</v>
      </c>
      <c r="S242" s="261">
        <f>RANK(R242,$R$6:$R$290,0)+COUNTIF($R$6:R242,R242)-1</f>
        <v>110</v>
      </c>
    </row>
    <row r="243" spans="2:19" ht="15" customHeight="1" x14ac:dyDescent="0.25">
      <c r="B243" s="262">
        <v>238</v>
      </c>
      <c r="C243" s="263" t="str">
        <f>IFERROR(INDEX($Q$6:$Q$290,MATCH(238,$S$6:$S$290,0)),"")</f>
        <v>Prof. Dr. Lale KARAKOÇ SÖKMENSÜER</v>
      </c>
      <c r="D243" s="264">
        <f>IF(C243="","",COUNTIFS(Başvuru!$C:$C,C243,Başvuru!$F:$F,"&lt;&gt;"&amp;""))</f>
        <v>1</v>
      </c>
      <c r="E243" s="262" t="str">
        <f>IF(D243&gt;0,TEXT(D243/COUNTIF(Başvuru!$F:$F,"&lt;&gt;"&amp;"")*100,"0.0")&amp;"%","-")</f>
        <v>00%</v>
      </c>
      <c r="F243" s="265">
        <f>IF(C243="","",COUNTIFS(Başvuru!$C:$C,C243,Başvuru!$G:$G,"Bireysel Araştırma",Başvuru!$F:$F,"&lt;&gt;"&amp;""))</f>
        <v>0</v>
      </c>
      <c r="G243" s="265">
        <f>IF(C243="","",COUNTIFS(Başvuru!$C:$C,C243,Başvuru!$G:$G,"Uzmanlık Tezi",Başvuru!$F:$F,"&lt;&gt;"&amp;""))</f>
        <v>1</v>
      </c>
      <c r="H243" s="265">
        <f>IF(C243="","",COUNTIFS(Başvuru!$C:$C,C243,Başvuru!$G:$G,"Doktora Tezi",Başvuru!$F:$F,"&lt;&gt;"&amp;""))</f>
        <v>0</v>
      </c>
      <c r="I243" s="265">
        <f>IF(C243="","",COUNTIFS(Başvuru!$C:$C,C243,Başvuru!$G:$G,"Yüksek Lisans Tezi",Başvuru!$F:$F,"&lt;&gt;"&amp;""))</f>
        <v>0</v>
      </c>
      <c r="J243" s="266">
        <f>IF(C243="","",COUNTIFS(Başvuru!$C:$C,C243,Başvuru!$L:$L,"ONAY",Başvuru!$F:$F,"&lt;&gt;"&amp;""))</f>
        <v>0</v>
      </c>
      <c r="K243" s="267">
        <f>IF(C243="","",COUNTIFS(Başvuru!$C:$C,C243,Başvuru!$L:$L,"DÜZELTME",Başvuru!$F:$F,"&lt;&gt;"&amp;""))</f>
        <v>1</v>
      </c>
      <c r="L243" s="268">
        <f>IF(C243="","",COUNTIFS(Başvuru!$C:$C,C243,Başvuru!$L:$L,"KAEK",Başvuru!$F:$F,"&lt;&gt;"&amp;""))</f>
        <v>0</v>
      </c>
      <c r="M243" s="269">
        <f>IF(C243="","",COUNTIFS(Başvuru!$C:$C,C243,Başvuru!$L:$L,"GÖRÜŞ",Başvuru!$F:$F,"&lt;&gt;"&amp;""))</f>
        <v>0</v>
      </c>
      <c r="N243" s="270">
        <f>IF(C243="","",COUNTIFS(Başvuru!$C:$C,C243,Başvuru!$L:$L,"RET",Başvuru!$F:$F,"&lt;&gt;"&amp;""))</f>
        <v>0</v>
      </c>
      <c r="O243" s="271">
        <f>IF(C243="","",COUNTIFS(Başvuru!$C:$C,C243,Başvuru!$L:$L,"KAPSAM DIŞI",Başvuru!$F:$F,"&lt;&gt;"&amp;""))</f>
        <v>0</v>
      </c>
      <c r="P243" s="272">
        <f>IF(C243="","",COUNTIFS(Başvuru!$C:$C,C243,Başvuru!$L:$L,"GERİ ÇEKİLDİ",Başvuru!$F:$F,"&lt;&gt;"&amp;""))</f>
        <v>0</v>
      </c>
      <c r="Q243" s="260" t="s">
        <v>772</v>
      </c>
      <c r="R243" s="261">
        <f>COUNTIFS(Başvuru!$C:$C,Q243,Başvuru!$F:$F,"&lt;&gt;"&amp;"")</f>
        <v>2</v>
      </c>
      <c r="S243" s="261">
        <f>RANK(R243,$R$6:$R$290,0)+COUNTIF($R$6:R243,R243)-1</f>
        <v>111</v>
      </c>
    </row>
    <row r="244" spans="2:19" ht="15" customHeight="1" x14ac:dyDescent="0.25">
      <c r="B244" s="249">
        <v>239</v>
      </c>
      <c r="C244" s="250" t="str">
        <f>IFERROR(INDEX($Q$6:$Q$290,MATCH(239,$S$6:$S$290,0)),"")</f>
        <v>Prof. Dr. Levent SENNAROĞLU</v>
      </c>
      <c r="D244" s="251">
        <f>IF(C244="","",COUNTIFS(Başvuru!$C:$C,C244,Başvuru!$F:$F,"&lt;&gt;"&amp;""))</f>
        <v>1</v>
      </c>
      <c r="E244" s="249" t="str">
        <f>IF(D244&gt;0,TEXT(D244/COUNTIF(Başvuru!$F:$F,"&lt;&gt;"&amp;"")*100,"0.0")&amp;"%","-")</f>
        <v>00%</v>
      </c>
      <c r="F244" s="252">
        <f>IF(C244="","",COUNTIFS(Başvuru!$C:$C,C244,Başvuru!$G:$G,"Bireysel Araştırma",Başvuru!$F:$F,"&lt;&gt;"&amp;""))</f>
        <v>1</v>
      </c>
      <c r="G244" s="252">
        <f>IF(C244="","",COUNTIFS(Başvuru!$C:$C,C244,Başvuru!$G:$G,"Uzmanlık Tezi",Başvuru!$F:$F,"&lt;&gt;"&amp;""))</f>
        <v>0</v>
      </c>
      <c r="H244" s="252">
        <f>IF(C244="","",COUNTIFS(Başvuru!$C:$C,C244,Başvuru!$G:$G,"Doktora Tezi",Başvuru!$F:$F,"&lt;&gt;"&amp;""))</f>
        <v>0</v>
      </c>
      <c r="I244" s="252">
        <f>IF(C244="","",COUNTIFS(Başvuru!$C:$C,C244,Başvuru!$G:$G,"Yüksek Lisans Tezi",Başvuru!$F:$F,"&lt;&gt;"&amp;""))</f>
        <v>0</v>
      </c>
      <c r="J244" s="253">
        <f>IF(C244="","",COUNTIFS(Başvuru!$C:$C,C244,Başvuru!$L:$L,"ONAY",Başvuru!$F:$F,"&lt;&gt;"&amp;""))</f>
        <v>0</v>
      </c>
      <c r="K244" s="254">
        <f>IF(C244="","",COUNTIFS(Başvuru!$C:$C,C244,Başvuru!$L:$L,"DÜZELTME",Başvuru!$F:$F,"&lt;&gt;"&amp;""))</f>
        <v>0</v>
      </c>
      <c r="L244" s="255">
        <f>IF(C244="","",COUNTIFS(Başvuru!$C:$C,C244,Başvuru!$L:$L,"KAEK",Başvuru!$F:$F,"&lt;&gt;"&amp;""))</f>
        <v>0</v>
      </c>
      <c r="M244" s="256">
        <f>IF(C244="","",COUNTIFS(Başvuru!$C:$C,C244,Başvuru!$L:$L,"GÖRÜŞ",Başvuru!$F:$F,"&lt;&gt;"&amp;""))</f>
        <v>0</v>
      </c>
      <c r="N244" s="257">
        <f>IF(C244="","",COUNTIFS(Başvuru!$C:$C,C244,Başvuru!$L:$L,"RET",Başvuru!$F:$F,"&lt;&gt;"&amp;""))</f>
        <v>0</v>
      </c>
      <c r="O244" s="258">
        <f>IF(C244="","",COUNTIFS(Başvuru!$C:$C,C244,Başvuru!$L:$L,"KAPSAM DIŞI",Başvuru!$F:$F,"&lt;&gt;"&amp;""))</f>
        <v>0</v>
      </c>
      <c r="P244" s="259">
        <f>IF(C244="","",COUNTIFS(Başvuru!$C:$C,C244,Başvuru!$L:$L,"GERİ ÇEKİLDİ",Başvuru!$F:$F,"&lt;&gt;"&amp;""))</f>
        <v>0</v>
      </c>
      <c r="Q244" s="260" t="s">
        <v>975</v>
      </c>
      <c r="R244" s="261">
        <f>COUNTIFS(Başvuru!$C:$C,Q244,Başvuru!$F:$F,"&lt;&gt;"&amp;"")</f>
        <v>1</v>
      </c>
      <c r="S244" s="261">
        <f>RANK(R244,$R$6:$R$290,0)+COUNTIF($R$6:R244,R244)-1</f>
        <v>259</v>
      </c>
    </row>
    <row r="245" spans="2:19" ht="15" customHeight="1" x14ac:dyDescent="0.25">
      <c r="B245" s="262">
        <v>240</v>
      </c>
      <c r="C245" s="263" t="str">
        <f>IFERROR(INDEX($Q$6:$Q$290,MATCH(240,$S$6:$S$290,0)),"")</f>
        <v>Prof. Dr. M. Özgür UYANIK</v>
      </c>
      <c r="D245" s="264">
        <f>IF(C245="","",COUNTIFS(Başvuru!$C:$C,C245,Başvuru!$F:$F,"&lt;&gt;"&amp;""))</f>
        <v>1</v>
      </c>
      <c r="E245" s="262" t="str">
        <f>IF(D245&gt;0,TEXT(D245/COUNTIF(Başvuru!$F:$F,"&lt;&gt;"&amp;"")*100,"0.0")&amp;"%","-")</f>
        <v>00%</v>
      </c>
      <c r="F245" s="265">
        <f>IF(C245="","",COUNTIFS(Başvuru!$C:$C,C245,Başvuru!$G:$G,"Bireysel Araştırma",Başvuru!$F:$F,"&lt;&gt;"&amp;""))</f>
        <v>1</v>
      </c>
      <c r="G245" s="265">
        <f>IF(C245="","",COUNTIFS(Başvuru!$C:$C,C245,Başvuru!$G:$G,"Uzmanlık Tezi",Başvuru!$F:$F,"&lt;&gt;"&amp;""))</f>
        <v>0</v>
      </c>
      <c r="H245" s="265">
        <f>IF(C245="","",COUNTIFS(Başvuru!$C:$C,C245,Başvuru!$G:$G,"Doktora Tezi",Başvuru!$F:$F,"&lt;&gt;"&amp;""))</f>
        <v>0</v>
      </c>
      <c r="I245" s="265">
        <f>IF(C245="","",COUNTIFS(Başvuru!$C:$C,C245,Başvuru!$G:$G,"Yüksek Lisans Tezi",Başvuru!$F:$F,"&lt;&gt;"&amp;""))</f>
        <v>0</v>
      </c>
      <c r="J245" s="266">
        <f>IF(C245="","",COUNTIFS(Başvuru!$C:$C,C245,Başvuru!$L:$L,"ONAY",Başvuru!$F:$F,"&lt;&gt;"&amp;""))</f>
        <v>1</v>
      </c>
      <c r="K245" s="267">
        <f>IF(C245="","",COUNTIFS(Başvuru!$C:$C,C245,Başvuru!$L:$L,"DÜZELTME",Başvuru!$F:$F,"&lt;&gt;"&amp;""))</f>
        <v>0</v>
      </c>
      <c r="L245" s="268">
        <f>IF(C245="","",COUNTIFS(Başvuru!$C:$C,C245,Başvuru!$L:$L,"KAEK",Başvuru!$F:$F,"&lt;&gt;"&amp;""))</f>
        <v>0</v>
      </c>
      <c r="M245" s="269">
        <f>IF(C245="","",COUNTIFS(Başvuru!$C:$C,C245,Başvuru!$L:$L,"GÖRÜŞ",Başvuru!$F:$F,"&lt;&gt;"&amp;""))</f>
        <v>0</v>
      </c>
      <c r="N245" s="270">
        <f>IF(C245="","",COUNTIFS(Başvuru!$C:$C,C245,Başvuru!$L:$L,"RET",Başvuru!$F:$F,"&lt;&gt;"&amp;""))</f>
        <v>0</v>
      </c>
      <c r="O245" s="271">
        <f>IF(C245="","",COUNTIFS(Başvuru!$C:$C,C245,Başvuru!$L:$L,"KAPSAM DIŞI",Başvuru!$F:$F,"&lt;&gt;"&amp;""))</f>
        <v>0</v>
      </c>
      <c r="P245" s="272">
        <f>IF(C245="","",COUNTIFS(Başvuru!$C:$C,C245,Başvuru!$L:$L,"GERİ ÇEKİLDİ",Başvuru!$F:$F,"&lt;&gt;"&amp;""))</f>
        <v>0</v>
      </c>
      <c r="Q245" s="260" t="s">
        <v>233</v>
      </c>
      <c r="R245" s="261">
        <f>COUNTIFS(Başvuru!$C:$C,Q245,Başvuru!$F:$F,"&lt;&gt;"&amp;"")</f>
        <v>3</v>
      </c>
      <c r="S245" s="261">
        <f>RANK(R245,$R$6:$R$290,0)+COUNTIF($R$6:R245,R245)-1</f>
        <v>54</v>
      </c>
    </row>
    <row r="246" spans="2:19" ht="15" customHeight="1" x14ac:dyDescent="0.25">
      <c r="B246" s="249">
        <v>241</v>
      </c>
      <c r="C246" s="250" t="str">
        <f>IFERROR(INDEX($Q$6:$Q$290,MATCH(241,$S$6:$S$290,0)),"")</f>
        <v>Prof. Dr. Mehmet Akif TOPÇUOĞLU</v>
      </c>
      <c r="D246" s="251">
        <f>IF(C246="","",COUNTIFS(Başvuru!$C:$C,C246,Başvuru!$F:$F,"&lt;&gt;"&amp;""))</f>
        <v>1</v>
      </c>
      <c r="E246" s="249" t="str">
        <f>IF(D246&gt;0,TEXT(D246/COUNTIF(Başvuru!$F:$F,"&lt;&gt;"&amp;"")*100,"0.0")&amp;"%","-")</f>
        <v>00%</v>
      </c>
      <c r="F246" s="252">
        <f>IF(C246="","",COUNTIFS(Başvuru!$C:$C,C246,Başvuru!$G:$G,"Bireysel Araştırma",Başvuru!$F:$F,"&lt;&gt;"&amp;""))</f>
        <v>1</v>
      </c>
      <c r="G246" s="252">
        <f>IF(C246="","",COUNTIFS(Başvuru!$C:$C,C246,Başvuru!$G:$G,"Uzmanlık Tezi",Başvuru!$F:$F,"&lt;&gt;"&amp;""))</f>
        <v>0</v>
      </c>
      <c r="H246" s="252">
        <f>IF(C246="","",COUNTIFS(Başvuru!$C:$C,C246,Başvuru!$G:$G,"Doktora Tezi",Başvuru!$F:$F,"&lt;&gt;"&amp;""))</f>
        <v>0</v>
      </c>
      <c r="I246" s="252">
        <f>IF(C246="","",COUNTIFS(Başvuru!$C:$C,C246,Başvuru!$G:$G,"Yüksek Lisans Tezi",Başvuru!$F:$F,"&lt;&gt;"&amp;""))</f>
        <v>0</v>
      </c>
      <c r="J246" s="253">
        <f>IF(C246="","",COUNTIFS(Başvuru!$C:$C,C246,Başvuru!$L:$L,"ONAY",Başvuru!$F:$F,"&lt;&gt;"&amp;""))</f>
        <v>1</v>
      </c>
      <c r="K246" s="254">
        <f>IF(C246="","",COUNTIFS(Başvuru!$C:$C,C246,Başvuru!$L:$L,"DÜZELTME",Başvuru!$F:$F,"&lt;&gt;"&amp;""))</f>
        <v>0</v>
      </c>
      <c r="L246" s="255">
        <f>IF(C246="","",COUNTIFS(Başvuru!$C:$C,C246,Başvuru!$L:$L,"KAEK",Başvuru!$F:$F,"&lt;&gt;"&amp;""))</f>
        <v>0</v>
      </c>
      <c r="M246" s="256">
        <f>IF(C246="","",COUNTIFS(Başvuru!$C:$C,C246,Başvuru!$L:$L,"GÖRÜŞ",Başvuru!$F:$F,"&lt;&gt;"&amp;""))</f>
        <v>0</v>
      </c>
      <c r="N246" s="257">
        <f>IF(C246="","",COUNTIFS(Başvuru!$C:$C,C246,Başvuru!$L:$L,"RET",Başvuru!$F:$F,"&lt;&gt;"&amp;""))</f>
        <v>0</v>
      </c>
      <c r="O246" s="258">
        <f>IF(C246="","",COUNTIFS(Başvuru!$C:$C,C246,Başvuru!$L:$L,"KAPSAM DIŞI",Başvuru!$F:$F,"&lt;&gt;"&amp;""))</f>
        <v>0</v>
      </c>
      <c r="P246" s="259">
        <f>IF(C246="","",COUNTIFS(Başvuru!$C:$C,C246,Başvuru!$L:$L,"GERİ ÇEKİLDİ",Başvuru!$F:$F,"&lt;&gt;"&amp;""))</f>
        <v>0</v>
      </c>
      <c r="Q246" s="260" t="s">
        <v>1617</v>
      </c>
      <c r="R246" s="261">
        <f>COUNTIFS(Başvuru!$C:$C,Q246,Başvuru!$F:$F,"&lt;&gt;"&amp;"")</f>
        <v>3</v>
      </c>
      <c r="S246" s="261">
        <f>RANK(R246,$R$6:$R$290,0)+COUNTIF($R$6:R246,R246)-1</f>
        <v>55</v>
      </c>
    </row>
    <row r="247" spans="2:19" ht="15" customHeight="1" x14ac:dyDescent="0.25">
      <c r="B247" s="262">
        <v>242</v>
      </c>
      <c r="C247" s="263" t="str">
        <f>IFERROR(INDEX($Q$6:$Q$290,MATCH(242,$S$6:$S$290,0)),"")</f>
        <v>Prof. Dr. Mehmet Cemalettin AKSOY</v>
      </c>
      <c r="D247" s="264">
        <f>IF(C247="","",COUNTIFS(Başvuru!$C:$C,C247,Başvuru!$F:$F,"&lt;&gt;"&amp;""))</f>
        <v>1</v>
      </c>
      <c r="E247" s="262" t="str">
        <f>IF(D247&gt;0,TEXT(D247/COUNTIF(Başvuru!$F:$F,"&lt;&gt;"&amp;"")*100,"0.0")&amp;"%","-")</f>
        <v>00%</v>
      </c>
      <c r="F247" s="265">
        <f>IF(C247="","",COUNTIFS(Başvuru!$C:$C,C247,Başvuru!$G:$G,"Bireysel Araştırma",Başvuru!$F:$F,"&lt;&gt;"&amp;""))</f>
        <v>1</v>
      </c>
      <c r="G247" s="265">
        <f>IF(C247="","",COUNTIFS(Başvuru!$C:$C,C247,Başvuru!$G:$G,"Uzmanlık Tezi",Başvuru!$F:$F,"&lt;&gt;"&amp;""))</f>
        <v>0</v>
      </c>
      <c r="H247" s="265">
        <f>IF(C247="","",COUNTIFS(Başvuru!$C:$C,C247,Başvuru!$G:$G,"Doktora Tezi",Başvuru!$F:$F,"&lt;&gt;"&amp;""))</f>
        <v>0</v>
      </c>
      <c r="I247" s="265">
        <f>IF(C247="","",COUNTIFS(Başvuru!$C:$C,C247,Başvuru!$G:$G,"Yüksek Lisans Tezi",Başvuru!$F:$F,"&lt;&gt;"&amp;""))</f>
        <v>0</v>
      </c>
      <c r="J247" s="266">
        <f>IF(C247="","",COUNTIFS(Başvuru!$C:$C,C247,Başvuru!$L:$L,"ONAY",Başvuru!$F:$F,"&lt;&gt;"&amp;""))</f>
        <v>0</v>
      </c>
      <c r="K247" s="267">
        <f>IF(C247="","",COUNTIFS(Başvuru!$C:$C,C247,Başvuru!$L:$L,"DÜZELTME",Başvuru!$F:$F,"&lt;&gt;"&amp;""))</f>
        <v>1</v>
      </c>
      <c r="L247" s="268">
        <f>IF(C247="","",COUNTIFS(Başvuru!$C:$C,C247,Başvuru!$L:$L,"KAEK",Başvuru!$F:$F,"&lt;&gt;"&amp;""))</f>
        <v>0</v>
      </c>
      <c r="M247" s="269">
        <f>IF(C247="","",COUNTIFS(Başvuru!$C:$C,C247,Başvuru!$L:$L,"GÖRÜŞ",Başvuru!$F:$F,"&lt;&gt;"&amp;""))</f>
        <v>0</v>
      </c>
      <c r="N247" s="270">
        <f>IF(C247="","",COUNTIFS(Başvuru!$C:$C,C247,Başvuru!$L:$L,"RET",Başvuru!$F:$F,"&lt;&gt;"&amp;""))</f>
        <v>0</v>
      </c>
      <c r="O247" s="271">
        <f>IF(C247="","",COUNTIFS(Başvuru!$C:$C,C247,Başvuru!$L:$L,"KAPSAM DIŞI",Başvuru!$F:$F,"&lt;&gt;"&amp;""))</f>
        <v>0</v>
      </c>
      <c r="P247" s="272">
        <f>IF(C247="","",COUNTIFS(Başvuru!$C:$C,C247,Başvuru!$L:$L,"GERİ ÇEKİLDİ",Başvuru!$F:$F,"&lt;&gt;"&amp;""))</f>
        <v>0</v>
      </c>
      <c r="Q247" s="260" t="s">
        <v>368</v>
      </c>
      <c r="R247" s="261">
        <f>COUNTIFS(Başvuru!$C:$C,Q247,Başvuru!$F:$F,"&lt;&gt;"&amp;"")</f>
        <v>1</v>
      </c>
      <c r="S247" s="261">
        <f>RANK(R247,$R$6:$R$290,0)+COUNTIF($R$6:R247,R247)-1</f>
        <v>260</v>
      </c>
    </row>
    <row r="248" spans="2:19" ht="15" customHeight="1" x14ac:dyDescent="0.25">
      <c r="B248" s="249">
        <v>243</v>
      </c>
      <c r="C248" s="250" t="str">
        <f>IFERROR(INDEX($Q$6:$Q$290,MATCH(243,$S$6:$S$290,0)),"")</f>
        <v>Prof. Dr. Melek Dilek TURGUT</v>
      </c>
      <c r="D248" s="251">
        <f>IF(C248="","",COUNTIFS(Başvuru!$C:$C,C248,Başvuru!$F:$F,"&lt;&gt;"&amp;""))</f>
        <v>1</v>
      </c>
      <c r="E248" s="249" t="str">
        <f>IF(D248&gt;0,TEXT(D248/COUNTIF(Başvuru!$F:$F,"&lt;&gt;"&amp;"")*100,"0.0")&amp;"%","-")</f>
        <v>00%</v>
      </c>
      <c r="F248" s="252">
        <f>IF(C248="","",COUNTIFS(Başvuru!$C:$C,C248,Başvuru!$G:$G,"Bireysel Araştırma",Başvuru!$F:$F,"&lt;&gt;"&amp;""))</f>
        <v>1</v>
      </c>
      <c r="G248" s="252">
        <f>IF(C248="","",COUNTIFS(Başvuru!$C:$C,C248,Başvuru!$G:$G,"Uzmanlık Tezi",Başvuru!$F:$F,"&lt;&gt;"&amp;""))</f>
        <v>0</v>
      </c>
      <c r="H248" s="252">
        <f>IF(C248="","",COUNTIFS(Başvuru!$C:$C,C248,Başvuru!$G:$G,"Doktora Tezi",Başvuru!$F:$F,"&lt;&gt;"&amp;""))</f>
        <v>0</v>
      </c>
      <c r="I248" s="252">
        <f>IF(C248="","",COUNTIFS(Başvuru!$C:$C,C248,Başvuru!$G:$G,"Yüksek Lisans Tezi",Başvuru!$F:$F,"&lt;&gt;"&amp;""))</f>
        <v>0</v>
      </c>
      <c r="J248" s="253">
        <f>IF(C248="","",COUNTIFS(Başvuru!$C:$C,C248,Başvuru!$L:$L,"ONAY",Başvuru!$F:$F,"&lt;&gt;"&amp;""))</f>
        <v>1</v>
      </c>
      <c r="K248" s="254">
        <f>IF(C248="","",COUNTIFS(Başvuru!$C:$C,C248,Başvuru!$L:$L,"DÜZELTME",Başvuru!$F:$F,"&lt;&gt;"&amp;""))</f>
        <v>0</v>
      </c>
      <c r="L248" s="255">
        <f>IF(C248="","",COUNTIFS(Başvuru!$C:$C,C248,Başvuru!$L:$L,"KAEK",Başvuru!$F:$F,"&lt;&gt;"&amp;""))</f>
        <v>0</v>
      </c>
      <c r="M248" s="256">
        <f>IF(C248="","",COUNTIFS(Başvuru!$C:$C,C248,Başvuru!$L:$L,"GÖRÜŞ",Başvuru!$F:$F,"&lt;&gt;"&amp;""))</f>
        <v>0</v>
      </c>
      <c r="N248" s="257">
        <f>IF(C248="","",COUNTIFS(Başvuru!$C:$C,C248,Başvuru!$L:$L,"RET",Başvuru!$F:$F,"&lt;&gt;"&amp;""))</f>
        <v>0</v>
      </c>
      <c r="O248" s="258">
        <f>IF(C248="","",COUNTIFS(Başvuru!$C:$C,C248,Başvuru!$L:$L,"KAPSAM DIŞI",Başvuru!$F:$F,"&lt;&gt;"&amp;""))</f>
        <v>0</v>
      </c>
      <c r="P248" s="259">
        <f>IF(C248="","",COUNTIFS(Başvuru!$C:$C,C248,Başvuru!$L:$L,"GERİ ÇEKİLDİ",Başvuru!$F:$F,"&lt;&gt;"&amp;""))</f>
        <v>0</v>
      </c>
      <c r="Q248" s="260" t="s">
        <v>1530</v>
      </c>
      <c r="R248" s="261">
        <f>COUNTIFS(Başvuru!$C:$C,Q248,Başvuru!$F:$F,"&lt;&gt;"&amp;"")</f>
        <v>2</v>
      </c>
      <c r="S248" s="261">
        <f>RANK(R248,$R$6:$R$290,0)+COUNTIF($R$6:R248,R248)-1</f>
        <v>112</v>
      </c>
    </row>
    <row r="249" spans="2:19" ht="15" customHeight="1" x14ac:dyDescent="0.25">
      <c r="B249" s="262">
        <v>244</v>
      </c>
      <c r="C249" s="263" t="str">
        <f>IFERROR(INDEX($Q$6:$Q$290,MATCH(244,$S$6:$S$290,0)),"")</f>
        <v>Prof. Dr. Melih Önder BABAOĞLU</v>
      </c>
      <c r="D249" s="264">
        <f>IF(C249="","",COUNTIFS(Başvuru!$C:$C,C249,Başvuru!$F:$F,"&lt;&gt;"&amp;""))</f>
        <v>1</v>
      </c>
      <c r="E249" s="262" t="str">
        <f>IF(D249&gt;0,TEXT(D249/COUNTIF(Başvuru!$F:$F,"&lt;&gt;"&amp;"")*100,"0.0")&amp;"%","-")</f>
        <v>00%</v>
      </c>
      <c r="F249" s="265">
        <f>IF(C249="","",COUNTIFS(Başvuru!$C:$C,C249,Başvuru!$G:$G,"Bireysel Araştırma",Başvuru!$F:$F,"&lt;&gt;"&amp;""))</f>
        <v>0</v>
      </c>
      <c r="G249" s="265">
        <f>IF(C249="","",COUNTIFS(Başvuru!$C:$C,C249,Başvuru!$G:$G,"Uzmanlık Tezi",Başvuru!$F:$F,"&lt;&gt;"&amp;""))</f>
        <v>1</v>
      </c>
      <c r="H249" s="265">
        <f>IF(C249="","",COUNTIFS(Başvuru!$C:$C,C249,Başvuru!$G:$G,"Doktora Tezi",Başvuru!$F:$F,"&lt;&gt;"&amp;""))</f>
        <v>0</v>
      </c>
      <c r="I249" s="265">
        <f>IF(C249="","",COUNTIFS(Başvuru!$C:$C,C249,Başvuru!$G:$G,"Yüksek Lisans Tezi",Başvuru!$F:$F,"&lt;&gt;"&amp;""))</f>
        <v>0</v>
      </c>
      <c r="J249" s="266">
        <f>IF(C249="","",COUNTIFS(Başvuru!$C:$C,C249,Başvuru!$L:$L,"ONAY",Başvuru!$F:$F,"&lt;&gt;"&amp;""))</f>
        <v>1</v>
      </c>
      <c r="K249" s="267">
        <f>IF(C249="","",COUNTIFS(Başvuru!$C:$C,C249,Başvuru!$L:$L,"DÜZELTME",Başvuru!$F:$F,"&lt;&gt;"&amp;""))</f>
        <v>0</v>
      </c>
      <c r="L249" s="268">
        <f>IF(C249="","",COUNTIFS(Başvuru!$C:$C,C249,Başvuru!$L:$L,"KAEK",Başvuru!$F:$F,"&lt;&gt;"&amp;""))</f>
        <v>0</v>
      </c>
      <c r="M249" s="269">
        <f>IF(C249="","",COUNTIFS(Başvuru!$C:$C,C249,Başvuru!$L:$L,"GÖRÜŞ",Başvuru!$F:$F,"&lt;&gt;"&amp;""))</f>
        <v>0</v>
      </c>
      <c r="N249" s="270">
        <f>IF(C249="","",COUNTIFS(Başvuru!$C:$C,C249,Başvuru!$L:$L,"RET",Başvuru!$F:$F,"&lt;&gt;"&amp;""))</f>
        <v>0</v>
      </c>
      <c r="O249" s="271">
        <f>IF(C249="","",COUNTIFS(Başvuru!$C:$C,C249,Başvuru!$L:$L,"KAPSAM DIŞI",Başvuru!$F:$F,"&lt;&gt;"&amp;""))</f>
        <v>0</v>
      </c>
      <c r="P249" s="272">
        <f>IF(C249="","",COUNTIFS(Başvuru!$C:$C,C249,Başvuru!$L:$L,"GERİ ÇEKİLDİ",Başvuru!$F:$F,"&lt;&gt;"&amp;""))</f>
        <v>0</v>
      </c>
      <c r="Q249" s="260" t="s">
        <v>505</v>
      </c>
      <c r="R249" s="261">
        <f>COUNTIFS(Başvuru!$C:$C,Q249,Başvuru!$F:$F,"&lt;&gt;"&amp;"")</f>
        <v>3</v>
      </c>
      <c r="S249" s="261">
        <f>RANK(R249,$R$6:$R$290,0)+COUNTIF($R$6:R249,R249)-1</f>
        <v>56</v>
      </c>
    </row>
    <row r="250" spans="2:19" ht="15" customHeight="1" x14ac:dyDescent="0.25">
      <c r="B250" s="249">
        <v>245</v>
      </c>
      <c r="C250" s="250" t="str">
        <f>IFERROR(INDEX($Q$6:$Q$290,MATCH(245,$S$6:$S$290,0)),"")</f>
        <v>Prof. Dr. Mert ÇALIŞ</v>
      </c>
      <c r="D250" s="251">
        <f>IF(C250="","",COUNTIFS(Başvuru!$C:$C,C250,Başvuru!$F:$F,"&lt;&gt;"&amp;""))</f>
        <v>1</v>
      </c>
      <c r="E250" s="249" t="str">
        <f>IF(D250&gt;0,TEXT(D250/COUNTIF(Başvuru!$F:$F,"&lt;&gt;"&amp;"")*100,"0.0")&amp;"%","-")</f>
        <v>00%</v>
      </c>
      <c r="F250" s="252">
        <f>IF(C250="","",COUNTIFS(Başvuru!$C:$C,C250,Başvuru!$G:$G,"Bireysel Araştırma",Başvuru!$F:$F,"&lt;&gt;"&amp;""))</f>
        <v>0</v>
      </c>
      <c r="G250" s="252">
        <f>IF(C250="","",COUNTIFS(Başvuru!$C:$C,C250,Başvuru!$G:$G,"Uzmanlık Tezi",Başvuru!$F:$F,"&lt;&gt;"&amp;""))</f>
        <v>1</v>
      </c>
      <c r="H250" s="252">
        <f>IF(C250="","",COUNTIFS(Başvuru!$C:$C,C250,Başvuru!$G:$G,"Doktora Tezi",Başvuru!$F:$F,"&lt;&gt;"&amp;""))</f>
        <v>0</v>
      </c>
      <c r="I250" s="252">
        <f>IF(C250="","",COUNTIFS(Başvuru!$C:$C,C250,Başvuru!$G:$G,"Yüksek Lisans Tezi",Başvuru!$F:$F,"&lt;&gt;"&amp;""))</f>
        <v>0</v>
      </c>
      <c r="J250" s="253">
        <f>IF(C250="","",COUNTIFS(Başvuru!$C:$C,C250,Başvuru!$L:$L,"ONAY",Başvuru!$F:$F,"&lt;&gt;"&amp;""))</f>
        <v>1</v>
      </c>
      <c r="K250" s="254">
        <f>IF(C250="","",COUNTIFS(Başvuru!$C:$C,C250,Başvuru!$L:$L,"DÜZELTME",Başvuru!$F:$F,"&lt;&gt;"&amp;""))</f>
        <v>0</v>
      </c>
      <c r="L250" s="255">
        <f>IF(C250="","",COUNTIFS(Başvuru!$C:$C,C250,Başvuru!$L:$L,"KAEK",Başvuru!$F:$F,"&lt;&gt;"&amp;""))</f>
        <v>0</v>
      </c>
      <c r="M250" s="256">
        <f>IF(C250="","",COUNTIFS(Başvuru!$C:$C,C250,Başvuru!$L:$L,"GÖRÜŞ",Başvuru!$F:$F,"&lt;&gt;"&amp;""))</f>
        <v>0</v>
      </c>
      <c r="N250" s="257">
        <f>IF(C250="","",COUNTIFS(Başvuru!$C:$C,C250,Başvuru!$L:$L,"RET",Başvuru!$F:$F,"&lt;&gt;"&amp;""))</f>
        <v>0</v>
      </c>
      <c r="O250" s="258">
        <f>IF(C250="","",COUNTIFS(Başvuru!$C:$C,C250,Başvuru!$L:$L,"KAPSAM DIŞI",Başvuru!$F:$F,"&lt;&gt;"&amp;""))</f>
        <v>0</v>
      </c>
      <c r="P250" s="259">
        <f>IF(C250="","",COUNTIFS(Başvuru!$C:$C,C250,Başvuru!$L:$L,"GERİ ÇEKİLDİ",Başvuru!$F:$F,"&lt;&gt;"&amp;""))</f>
        <v>0</v>
      </c>
      <c r="Q250" s="260" t="s">
        <v>542</v>
      </c>
      <c r="R250" s="261">
        <f>COUNTIFS(Başvuru!$C:$C,Q250,Başvuru!$F:$F,"&lt;&gt;"&amp;"")</f>
        <v>2</v>
      </c>
      <c r="S250" s="261">
        <f>RANK(R250,$R$6:$R$290,0)+COUNTIF($R$6:R250,R250)-1</f>
        <v>113</v>
      </c>
    </row>
    <row r="251" spans="2:19" ht="15" customHeight="1" x14ac:dyDescent="0.25">
      <c r="B251" s="262">
        <v>246</v>
      </c>
      <c r="C251" s="263" t="str">
        <f>IFERROR(INDEX($Q$6:$Q$290,MATCH(246,$S$6:$S$290,0)),"")</f>
        <v>Prof. Dr. Mustafa BERKER</v>
      </c>
      <c r="D251" s="264">
        <f>IF(C251="","",COUNTIFS(Başvuru!$C:$C,C251,Başvuru!$F:$F,"&lt;&gt;"&amp;""))</f>
        <v>1</v>
      </c>
      <c r="E251" s="262" t="str">
        <f>IF(D251&gt;0,TEXT(D251/COUNTIF(Başvuru!$F:$F,"&lt;&gt;"&amp;"")*100,"0.0")&amp;"%","-")</f>
        <v>00%</v>
      </c>
      <c r="F251" s="265">
        <f>IF(C251="","",COUNTIFS(Başvuru!$C:$C,C251,Başvuru!$G:$G,"Bireysel Araştırma",Başvuru!$F:$F,"&lt;&gt;"&amp;""))</f>
        <v>0</v>
      </c>
      <c r="G251" s="265">
        <f>IF(C251="","",COUNTIFS(Başvuru!$C:$C,C251,Başvuru!$G:$G,"Uzmanlık Tezi",Başvuru!$F:$F,"&lt;&gt;"&amp;""))</f>
        <v>0</v>
      </c>
      <c r="H251" s="265">
        <f>IF(C251="","",COUNTIFS(Başvuru!$C:$C,C251,Başvuru!$G:$G,"Doktora Tezi",Başvuru!$F:$F,"&lt;&gt;"&amp;""))</f>
        <v>0</v>
      </c>
      <c r="I251" s="265">
        <f>IF(C251="","",COUNTIFS(Başvuru!$C:$C,C251,Başvuru!$G:$G,"Yüksek Lisans Tezi",Başvuru!$F:$F,"&lt;&gt;"&amp;""))</f>
        <v>1</v>
      </c>
      <c r="J251" s="266">
        <f>IF(C251="","",COUNTIFS(Başvuru!$C:$C,C251,Başvuru!$L:$L,"ONAY",Başvuru!$F:$F,"&lt;&gt;"&amp;""))</f>
        <v>0</v>
      </c>
      <c r="K251" s="267">
        <f>IF(C251="","",COUNTIFS(Başvuru!$C:$C,C251,Başvuru!$L:$L,"DÜZELTME",Başvuru!$F:$F,"&lt;&gt;"&amp;""))</f>
        <v>0</v>
      </c>
      <c r="L251" s="268">
        <f>IF(C251="","",COUNTIFS(Başvuru!$C:$C,C251,Başvuru!$L:$L,"KAEK",Başvuru!$F:$F,"&lt;&gt;"&amp;""))</f>
        <v>0</v>
      </c>
      <c r="M251" s="269">
        <f>IF(C251="","",COUNTIFS(Başvuru!$C:$C,C251,Başvuru!$L:$L,"GÖRÜŞ",Başvuru!$F:$F,"&lt;&gt;"&amp;""))</f>
        <v>0</v>
      </c>
      <c r="N251" s="270">
        <f>IF(C251="","",COUNTIFS(Başvuru!$C:$C,C251,Başvuru!$L:$L,"RET",Başvuru!$F:$F,"&lt;&gt;"&amp;""))</f>
        <v>0</v>
      </c>
      <c r="O251" s="271">
        <f>IF(C251="","",COUNTIFS(Başvuru!$C:$C,C251,Başvuru!$L:$L,"KAPSAM DIŞI",Başvuru!$F:$F,"&lt;&gt;"&amp;""))</f>
        <v>0</v>
      </c>
      <c r="P251" s="272">
        <f>IF(C251="","",COUNTIFS(Başvuru!$C:$C,C251,Başvuru!$L:$L,"GERİ ÇEKİLDİ",Başvuru!$F:$F,"&lt;&gt;"&amp;""))</f>
        <v>0</v>
      </c>
      <c r="Q251" s="260" t="s">
        <v>2128</v>
      </c>
      <c r="R251" s="261">
        <f>COUNTIFS(Başvuru!$C:$C,Q251,Başvuru!$F:$F,"&lt;&gt;"&amp;"")</f>
        <v>1</v>
      </c>
      <c r="S251" s="261">
        <f>RANK(R251,$R$6:$R$290,0)+COUNTIF($R$6:R251,R251)-1</f>
        <v>261</v>
      </c>
    </row>
    <row r="252" spans="2:19" ht="15" customHeight="1" x14ac:dyDescent="0.25">
      <c r="B252" s="249">
        <v>247</v>
      </c>
      <c r="C252" s="250" t="str">
        <f>IFERROR(INDEX($Q$6:$Q$290,MATCH(247,$S$6:$S$290,0)),"")</f>
        <v>Prof. Dr. Mustafa Barış GÜNCÜ</v>
      </c>
      <c r="D252" s="251">
        <f>IF(C252="","",COUNTIFS(Başvuru!$C:$C,C252,Başvuru!$F:$F,"&lt;&gt;"&amp;""))</f>
        <v>1</v>
      </c>
      <c r="E252" s="249" t="str">
        <f>IF(D252&gt;0,TEXT(D252/COUNTIF(Başvuru!$F:$F,"&lt;&gt;"&amp;"")*100,"0.0")&amp;"%","-")</f>
        <v>00%</v>
      </c>
      <c r="F252" s="252">
        <f>IF(C252="","",COUNTIFS(Başvuru!$C:$C,C252,Başvuru!$G:$G,"Bireysel Araştırma",Başvuru!$F:$F,"&lt;&gt;"&amp;""))</f>
        <v>0</v>
      </c>
      <c r="G252" s="252">
        <f>IF(C252="","",COUNTIFS(Başvuru!$C:$C,C252,Başvuru!$G:$G,"Uzmanlık Tezi",Başvuru!$F:$F,"&lt;&gt;"&amp;""))</f>
        <v>1</v>
      </c>
      <c r="H252" s="252">
        <f>IF(C252="","",COUNTIFS(Başvuru!$C:$C,C252,Başvuru!$G:$G,"Doktora Tezi",Başvuru!$F:$F,"&lt;&gt;"&amp;""))</f>
        <v>0</v>
      </c>
      <c r="I252" s="252">
        <f>IF(C252="","",COUNTIFS(Başvuru!$C:$C,C252,Başvuru!$G:$G,"Yüksek Lisans Tezi",Başvuru!$F:$F,"&lt;&gt;"&amp;""))</f>
        <v>0</v>
      </c>
      <c r="J252" s="253">
        <f>IF(C252="","",COUNTIFS(Başvuru!$C:$C,C252,Başvuru!$L:$L,"ONAY",Başvuru!$F:$F,"&lt;&gt;"&amp;""))</f>
        <v>0</v>
      </c>
      <c r="K252" s="254">
        <f>IF(C252="","",COUNTIFS(Başvuru!$C:$C,C252,Başvuru!$L:$L,"DÜZELTME",Başvuru!$F:$F,"&lt;&gt;"&amp;""))</f>
        <v>0</v>
      </c>
      <c r="L252" s="255">
        <f>IF(C252="","",COUNTIFS(Başvuru!$C:$C,C252,Başvuru!$L:$L,"KAEK",Başvuru!$F:$F,"&lt;&gt;"&amp;""))</f>
        <v>0</v>
      </c>
      <c r="M252" s="256">
        <f>IF(C252="","",COUNTIFS(Başvuru!$C:$C,C252,Başvuru!$L:$L,"GÖRÜŞ",Başvuru!$F:$F,"&lt;&gt;"&amp;""))</f>
        <v>1</v>
      </c>
      <c r="N252" s="257">
        <f>IF(C252="","",COUNTIFS(Başvuru!$C:$C,C252,Başvuru!$L:$L,"RET",Başvuru!$F:$F,"&lt;&gt;"&amp;""))</f>
        <v>0</v>
      </c>
      <c r="O252" s="258">
        <f>IF(C252="","",COUNTIFS(Başvuru!$C:$C,C252,Başvuru!$L:$L,"KAPSAM DIŞI",Başvuru!$F:$F,"&lt;&gt;"&amp;""))</f>
        <v>0</v>
      </c>
      <c r="P252" s="259">
        <f>IF(C252="","",COUNTIFS(Başvuru!$C:$C,C252,Başvuru!$L:$L,"GERİ ÇEKİLDİ",Başvuru!$F:$F,"&lt;&gt;"&amp;""))</f>
        <v>0</v>
      </c>
      <c r="Q252" s="260" t="s">
        <v>1459</v>
      </c>
      <c r="R252" s="261">
        <f>COUNTIFS(Başvuru!$C:$C,Q252,Başvuru!$F:$F,"&lt;&gt;"&amp;"")</f>
        <v>7</v>
      </c>
      <c r="S252" s="261">
        <f>RANK(R252,$R$6:$R$290,0)+COUNTIF($R$6:R252,R252)-1</f>
        <v>11</v>
      </c>
    </row>
    <row r="253" spans="2:19" ht="15" customHeight="1" x14ac:dyDescent="0.25">
      <c r="B253" s="262">
        <v>248</v>
      </c>
      <c r="C253" s="263" t="str">
        <f>IFERROR(INDEX($Q$6:$Q$290,MATCH(248,$S$6:$S$290,0)),"")</f>
        <v>Prof. Dr. Müzeyyen Pınar ÖZGEN KIRATLI</v>
      </c>
      <c r="D253" s="264">
        <f>IF(C253="","",COUNTIFS(Başvuru!$C:$C,C253,Başvuru!$F:$F,"&lt;&gt;"&amp;""))</f>
        <v>1</v>
      </c>
      <c r="E253" s="262" t="str">
        <f>IF(D253&gt;0,TEXT(D253/COUNTIF(Başvuru!$F:$F,"&lt;&gt;"&amp;"")*100,"0.0")&amp;"%","-")</f>
        <v>00%</v>
      </c>
      <c r="F253" s="265">
        <f>IF(C253="","",COUNTIFS(Başvuru!$C:$C,C253,Başvuru!$G:$G,"Bireysel Araştırma",Başvuru!$F:$F,"&lt;&gt;"&amp;""))</f>
        <v>1</v>
      </c>
      <c r="G253" s="265">
        <f>IF(C253="","",COUNTIFS(Başvuru!$C:$C,C253,Başvuru!$G:$G,"Uzmanlık Tezi",Başvuru!$F:$F,"&lt;&gt;"&amp;""))</f>
        <v>0</v>
      </c>
      <c r="H253" s="265">
        <f>IF(C253="","",COUNTIFS(Başvuru!$C:$C,C253,Başvuru!$G:$G,"Doktora Tezi",Başvuru!$F:$F,"&lt;&gt;"&amp;""))</f>
        <v>0</v>
      </c>
      <c r="I253" s="265">
        <f>IF(C253="","",COUNTIFS(Başvuru!$C:$C,C253,Başvuru!$G:$G,"Yüksek Lisans Tezi",Başvuru!$F:$F,"&lt;&gt;"&amp;""))</f>
        <v>0</v>
      </c>
      <c r="J253" s="266">
        <f>IF(C253="","",COUNTIFS(Başvuru!$C:$C,C253,Başvuru!$L:$L,"ONAY",Başvuru!$F:$F,"&lt;&gt;"&amp;""))</f>
        <v>1</v>
      </c>
      <c r="K253" s="267">
        <f>IF(C253="","",COUNTIFS(Başvuru!$C:$C,C253,Başvuru!$L:$L,"DÜZELTME",Başvuru!$F:$F,"&lt;&gt;"&amp;""))</f>
        <v>0</v>
      </c>
      <c r="L253" s="268">
        <f>IF(C253="","",COUNTIFS(Başvuru!$C:$C,C253,Başvuru!$L:$L,"KAEK",Başvuru!$F:$F,"&lt;&gt;"&amp;""))</f>
        <v>0</v>
      </c>
      <c r="M253" s="269">
        <f>IF(C253="","",COUNTIFS(Başvuru!$C:$C,C253,Başvuru!$L:$L,"GÖRÜŞ",Başvuru!$F:$F,"&lt;&gt;"&amp;""))</f>
        <v>0</v>
      </c>
      <c r="N253" s="270">
        <f>IF(C253="","",COUNTIFS(Başvuru!$C:$C,C253,Başvuru!$L:$L,"RET",Başvuru!$F:$F,"&lt;&gt;"&amp;""))</f>
        <v>0</v>
      </c>
      <c r="O253" s="271">
        <f>IF(C253="","",COUNTIFS(Başvuru!$C:$C,C253,Başvuru!$L:$L,"KAPSAM DIŞI",Başvuru!$F:$F,"&lt;&gt;"&amp;""))</f>
        <v>0</v>
      </c>
      <c r="P253" s="272">
        <f>IF(C253="","",COUNTIFS(Başvuru!$C:$C,C253,Başvuru!$L:$L,"GERİ ÇEKİLDİ",Başvuru!$F:$F,"&lt;&gt;"&amp;""))</f>
        <v>0</v>
      </c>
      <c r="Q253" s="260" t="s">
        <v>412</v>
      </c>
      <c r="R253" s="261">
        <f>COUNTIFS(Başvuru!$C:$C,Q253,Başvuru!$F:$F,"&lt;&gt;"&amp;"")</f>
        <v>6</v>
      </c>
      <c r="S253" s="261">
        <f>RANK(R253,$R$6:$R$290,0)+COUNTIF($R$6:R253,R253)-1</f>
        <v>17</v>
      </c>
    </row>
    <row r="254" spans="2:19" ht="15" customHeight="1" x14ac:dyDescent="0.25">
      <c r="B254" s="249">
        <v>249</v>
      </c>
      <c r="C254" s="250" t="str">
        <f>IFERROR(INDEX($Q$6:$Q$290,MATCH(249,$S$6:$S$290,0)),"")</f>
        <v>Prof. Dr. N. Dilara ZEYBEK</v>
      </c>
      <c r="D254" s="251">
        <f>IF(C254="","",COUNTIFS(Başvuru!$C:$C,C254,Başvuru!$F:$F,"&lt;&gt;"&amp;""))</f>
        <v>1</v>
      </c>
      <c r="E254" s="249" t="str">
        <f>IF(D254&gt;0,TEXT(D254/COUNTIF(Başvuru!$F:$F,"&lt;&gt;"&amp;"")*100,"0.0")&amp;"%","-")</f>
        <v>00%</v>
      </c>
      <c r="F254" s="252">
        <f>IF(C254="","",COUNTIFS(Başvuru!$C:$C,C254,Başvuru!$G:$G,"Bireysel Araştırma",Başvuru!$F:$F,"&lt;&gt;"&amp;""))</f>
        <v>0</v>
      </c>
      <c r="G254" s="252">
        <f>IF(C254="","",COUNTIFS(Başvuru!$C:$C,C254,Başvuru!$G:$G,"Uzmanlık Tezi",Başvuru!$F:$F,"&lt;&gt;"&amp;""))</f>
        <v>1</v>
      </c>
      <c r="H254" s="252">
        <f>IF(C254="","",COUNTIFS(Başvuru!$C:$C,C254,Başvuru!$G:$G,"Doktora Tezi",Başvuru!$F:$F,"&lt;&gt;"&amp;""))</f>
        <v>0</v>
      </c>
      <c r="I254" s="252">
        <f>IF(C254="","",COUNTIFS(Başvuru!$C:$C,C254,Başvuru!$G:$G,"Yüksek Lisans Tezi",Başvuru!$F:$F,"&lt;&gt;"&amp;""))</f>
        <v>0</v>
      </c>
      <c r="J254" s="253">
        <f>IF(C254="","",COUNTIFS(Başvuru!$C:$C,C254,Başvuru!$L:$L,"ONAY",Başvuru!$F:$F,"&lt;&gt;"&amp;""))</f>
        <v>0</v>
      </c>
      <c r="K254" s="254">
        <f>IF(C254="","",COUNTIFS(Başvuru!$C:$C,C254,Başvuru!$L:$L,"DÜZELTME",Başvuru!$F:$F,"&lt;&gt;"&amp;""))</f>
        <v>0</v>
      </c>
      <c r="L254" s="255">
        <f>IF(C254="","",COUNTIFS(Başvuru!$C:$C,C254,Başvuru!$L:$L,"KAEK",Başvuru!$F:$F,"&lt;&gt;"&amp;""))</f>
        <v>0</v>
      </c>
      <c r="M254" s="256">
        <f>IF(C254="","",COUNTIFS(Başvuru!$C:$C,C254,Başvuru!$L:$L,"GÖRÜŞ",Başvuru!$F:$F,"&lt;&gt;"&amp;""))</f>
        <v>0</v>
      </c>
      <c r="N254" s="257">
        <f>IF(C254="","",COUNTIFS(Başvuru!$C:$C,C254,Başvuru!$L:$L,"RET",Başvuru!$F:$F,"&lt;&gt;"&amp;""))</f>
        <v>0</v>
      </c>
      <c r="O254" s="258">
        <f>IF(C254="","",COUNTIFS(Başvuru!$C:$C,C254,Başvuru!$L:$L,"KAPSAM DIŞI",Başvuru!$F:$F,"&lt;&gt;"&amp;""))</f>
        <v>1</v>
      </c>
      <c r="P254" s="259">
        <f>IF(C254="","",COUNTIFS(Başvuru!$C:$C,C254,Başvuru!$L:$L,"GERİ ÇEKİLDİ",Başvuru!$F:$F,"&lt;&gt;"&amp;""))</f>
        <v>0</v>
      </c>
      <c r="Q254" s="260" t="s">
        <v>1823</v>
      </c>
      <c r="R254" s="261">
        <f>COUNTIFS(Başvuru!$C:$C,Q254,Başvuru!$F:$F,"&lt;&gt;"&amp;"")</f>
        <v>3</v>
      </c>
      <c r="S254" s="261">
        <f>RANK(R254,$R$6:$R$290,0)+COUNTIF($R$6:R254,R254)-1</f>
        <v>57</v>
      </c>
    </row>
    <row r="255" spans="2:19" ht="15" customHeight="1" x14ac:dyDescent="0.25">
      <c r="B255" s="262">
        <v>250</v>
      </c>
      <c r="C255" s="263" t="str">
        <f>IFERROR(INDEX($Q$6:$Q$290,MATCH(250,$S$6:$S$290,0)),"")</f>
        <v>Prof. Dr. Orhan ODABAŞI</v>
      </c>
      <c r="D255" s="264">
        <f>IF(C255="","",COUNTIFS(Başvuru!$C:$C,C255,Başvuru!$F:$F,"&lt;&gt;"&amp;""))</f>
        <v>1</v>
      </c>
      <c r="E255" s="262" t="str">
        <f>IF(D255&gt;0,TEXT(D255/COUNTIF(Başvuru!$F:$F,"&lt;&gt;"&amp;"")*100,"0.0")&amp;"%","-")</f>
        <v>00%</v>
      </c>
      <c r="F255" s="265">
        <f>IF(C255="","",COUNTIFS(Başvuru!$C:$C,C255,Başvuru!$G:$G,"Bireysel Araştırma",Başvuru!$F:$F,"&lt;&gt;"&amp;""))</f>
        <v>0</v>
      </c>
      <c r="G255" s="265">
        <f>IF(C255="","",COUNTIFS(Başvuru!$C:$C,C255,Başvuru!$G:$G,"Uzmanlık Tezi",Başvuru!$F:$F,"&lt;&gt;"&amp;""))</f>
        <v>0</v>
      </c>
      <c r="H255" s="265">
        <f>IF(C255="","",COUNTIFS(Başvuru!$C:$C,C255,Başvuru!$G:$G,"Doktora Tezi",Başvuru!$F:$F,"&lt;&gt;"&amp;""))</f>
        <v>0</v>
      </c>
      <c r="I255" s="265">
        <f>IF(C255="","",COUNTIFS(Başvuru!$C:$C,C255,Başvuru!$G:$G,"Yüksek Lisans Tezi",Başvuru!$F:$F,"&lt;&gt;"&amp;""))</f>
        <v>1</v>
      </c>
      <c r="J255" s="266">
        <f>IF(C255="","",COUNTIFS(Başvuru!$C:$C,C255,Başvuru!$L:$L,"ONAY",Başvuru!$F:$F,"&lt;&gt;"&amp;""))</f>
        <v>0</v>
      </c>
      <c r="K255" s="267">
        <f>IF(C255="","",COUNTIFS(Başvuru!$C:$C,C255,Başvuru!$L:$L,"DÜZELTME",Başvuru!$F:$F,"&lt;&gt;"&amp;""))</f>
        <v>1</v>
      </c>
      <c r="L255" s="268">
        <f>IF(C255="","",COUNTIFS(Başvuru!$C:$C,C255,Başvuru!$L:$L,"KAEK",Başvuru!$F:$F,"&lt;&gt;"&amp;""))</f>
        <v>0</v>
      </c>
      <c r="M255" s="269">
        <f>IF(C255="","",COUNTIFS(Başvuru!$C:$C,C255,Başvuru!$L:$L,"GÖRÜŞ",Başvuru!$F:$F,"&lt;&gt;"&amp;""))</f>
        <v>0</v>
      </c>
      <c r="N255" s="270">
        <f>IF(C255="","",COUNTIFS(Başvuru!$C:$C,C255,Başvuru!$L:$L,"RET",Başvuru!$F:$F,"&lt;&gt;"&amp;""))</f>
        <v>0</v>
      </c>
      <c r="O255" s="271">
        <f>IF(C255="","",COUNTIFS(Başvuru!$C:$C,C255,Başvuru!$L:$L,"KAPSAM DIŞI",Başvuru!$F:$F,"&lt;&gt;"&amp;""))</f>
        <v>0</v>
      </c>
      <c r="P255" s="272">
        <f>IF(C255="","",COUNTIFS(Başvuru!$C:$C,C255,Başvuru!$L:$L,"GERİ ÇEKİLDİ",Başvuru!$F:$F,"&lt;&gt;"&amp;""))</f>
        <v>0</v>
      </c>
      <c r="Q255" s="260" t="s">
        <v>2432</v>
      </c>
      <c r="R255" s="261">
        <f>COUNTIFS(Başvuru!$C:$C,Q255,Başvuru!$F:$F,"&lt;&gt;"&amp;"")</f>
        <v>1</v>
      </c>
      <c r="S255" s="261">
        <f>RANK(R255,$R$6:$R$290,0)+COUNTIF($R$6:R255,R255)-1</f>
        <v>262</v>
      </c>
    </row>
    <row r="256" spans="2:19" ht="15" customHeight="1" x14ac:dyDescent="0.25">
      <c r="B256" s="249">
        <v>251</v>
      </c>
      <c r="C256" s="250" t="str">
        <f>IFERROR(INDEX($Q$6:$Q$290,MATCH(251,$S$6:$S$290,0)),"")</f>
        <v>Prof. Dr. Oya ÖZDEMİR</v>
      </c>
      <c r="D256" s="251">
        <f>IF(C256="","",COUNTIFS(Başvuru!$C:$C,C256,Başvuru!$F:$F,"&lt;&gt;"&amp;""))</f>
        <v>1</v>
      </c>
      <c r="E256" s="249" t="str">
        <f>IF(D256&gt;0,TEXT(D256/COUNTIF(Başvuru!$F:$F,"&lt;&gt;"&amp;"")*100,"0.0")&amp;"%","-")</f>
        <v>00%</v>
      </c>
      <c r="F256" s="252">
        <f>IF(C256="","",COUNTIFS(Başvuru!$C:$C,C256,Başvuru!$G:$G,"Bireysel Araştırma",Başvuru!$F:$F,"&lt;&gt;"&amp;""))</f>
        <v>0</v>
      </c>
      <c r="G256" s="252">
        <f>IF(C256="","",COUNTIFS(Başvuru!$C:$C,C256,Başvuru!$G:$G,"Uzmanlık Tezi",Başvuru!$F:$F,"&lt;&gt;"&amp;""))</f>
        <v>1</v>
      </c>
      <c r="H256" s="252">
        <f>IF(C256="","",COUNTIFS(Başvuru!$C:$C,C256,Başvuru!$G:$G,"Doktora Tezi",Başvuru!$F:$F,"&lt;&gt;"&amp;""))</f>
        <v>0</v>
      </c>
      <c r="I256" s="252">
        <f>IF(C256="","",COUNTIFS(Başvuru!$C:$C,C256,Başvuru!$G:$G,"Yüksek Lisans Tezi",Başvuru!$F:$F,"&lt;&gt;"&amp;""))</f>
        <v>0</v>
      </c>
      <c r="J256" s="253">
        <f>IF(C256="","",COUNTIFS(Başvuru!$C:$C,C256,Başvuru!$L:$L,"ONAY",Başvuru!$F:$F,"&lt;&gt;"&amp;""))</f>
        <v>1</v>
      </c>
      <c r="K256" s="254">
        <f>IF(C256="","",COUNTIFS(Başvuru!$C:$C,C256,Başvuru!$L:$L,"DÜZELTME",Başvuru!$F:$F,"&lt;&gt;"&amp;""))</f>
        <v>0</v>
      </c>
      <c r="L256" s="255">
        <f>IF(C256="","",COUNTIFS(Başvuru!$C:$C,C256,Başvuru!$L:$L,"KAEK",Başvuru!$F:$F,"&lt;&gt;"&amp;""))</f>
        <v>0</v>
      </c>
      <c r="M256" s="256">
        <f>IF(C256="","",COUNTIFS(Başvuru!$C:$C,C256,Başvuru!$L:$L,"GÖRÜŞ",Başvuru!$F:$F,"&lt;&gt;"&amp;""))</f>
        <v>0</v>
      </c>
      <c r="N256" s="257">
        <f>IF(C256="","",COUNTIFS(Başvuru!$C:$C,C256,Başvuru!$L:$L,"RET",Başvuru!$F:$F,"&lt;&gt;"&amp;""))</f>
        <v>0</v>
      </c>
      <c r="O256" s="258">
        <f>IF(C256="","",COUNTIFS(Başvuru!$C:$C,C256,Başvuru!$L:$L,"KAPSAM DIŞI",Başvuru!$F:$F,"&lt;&gt;"&amp;""))</f>
        <v>0</v>
      </c>
      <c r="P256" s="259">
        <f>IF(C256="","",COUNTIFS(Başvuru!$C:$C,C256,Başvuru!$L:$L,"GERİ ÇEKİLDİ",Başvuru!$F:$F,"&lt;&gt;"&amp;""))</f>
        <v>0</v>
      </c>
      <c r="Q256" s="260" t="s">
        <v>780</v>
      </c>
      <c r="R256" s="261">
        <f>COUNTIFS(Başvuru!$C:$C,Q256,Başvuru!$F:$F,"&lt;&gt;"&amp;"")</f>
        <v>2</v>
      </c>
      <c r="S256" s="261">
        <f>RANK(R256,$R$6:$R$290,0)+COUNTIF($R$6:R256,R256)-1</f>
        <v>114</v>
      </c>
    </row>
    <row r="257" spans="2:19" ht="15" customHeight="1" x14ac:dyDescent="0.25">
      <c r="B257" s="262">
        <v>252</v>
      </c>
      <c r="C257" s="263" t="str">
        <f>IFERROR(INDEX($Q$6:$Q$290,MATCH(252,$S$6:$S$290,0)),"")</f>
        <v>Prof. Dr. Pelin Özlem ŞİMŞEK KİPER</v>
      </c>
      <c r="D257" s="264">
        <f>IF(C257="","",COUNTIFS(Başvuru!$C:$C,C257,Başvuru!$F:$F,"&lt;&gt;"&amp;""))</f>
        <v>1</v>
      </c>
      <c r="E257" s="262" t="str">
        <f>IF(D257&gt;0,TEXT(D257/COUNTIF(Başvuru!$F:$F,"&lt;&gt;"&amp;"")*100,"0.0")&amp;"%","-")</f>
        <v>00%</v>
      </c>
      <c r="F257" s="265">
        <f>IF(C257="","",COUNTIFS(Başvuru!$C:$C,C257,Başvuru!$G:$G,"Bireysel Araştırma",Başvuru!$F:$F,"&lt;&gt;"&amp;""))</f>
        <v>1</v>
      </c>
      <c r="G257" s="265">
        <f>IF(C257="","",COUNTIFS(Başvuru!$C:$C,C257,Başvuru!$G:$G,"Uzmanlık Tezi",Başvuru!$F:$F,"&lt;&gt;"&amp;""))</f>
        <v>0</v>
      </c>
      <c r="H257" s="265">
        <f>IF(C257="","",COUNTIFS(Başvuru!$C:$C,C257,Başvuru!$G:$G,"Doktora Tezi",Başvuru!$F:$F,"&lt;&gt;"&amp;""))</f>
        <v>0</v>
      </c>
      <c r="I257" s="265">
        <f>IF(C257="","",COUNTIFS(Başvuru!$C:$C,C257,Başvuru!$G:$G,"Yüksek Lisans Tezi",Başvuru!$F:$F,"&lt;&gt;"&amp;""))</f>
        <v>0</v>
      </c>
      <c r="J257" s="266">
        <f>IF(C257="","",COUNTIFS(Başvuru!$C:$C,C257,Başvuru!$L:$L,"ONAY",Başvuru!$F:$F,"&lt;&gt;"&amp;""))</f>
        <v>1</v>
      </c>
      <c r="K257" s="267">
        <f>IF(C257="","",COUNTIFS(Başvuru!$C:$C,C257,Başvuru!$L:$L,"DÜZELTME",Başvuru!$F:$F,"&lt;&gt;"&amp;""))</f>
        <v>0</v>
      </c>
      <c r="L257" s="268">
        <f>IF(C257="","",COUNTIFS(Başvuru!$C:$C,C257,Başvuru!$L:$L,"KAEK",Başvuru!$F:$F,"&lt;&gt;"&amp;""))</f>
        <v>0</v>
      </c>
      <c r="M257" s="269">
        <f>IF(C257="","",COUNTIFS(Başvuru!$C:$C,C257,Başvuru!$L:$L,"GÖRÜŞ",Başvuru!$F:$F,"&lt;&gt;"&amp;""))</f>
        <v>0</v>
      </c>
      <c r="N257" s="270">
        <f>IF(C257="","",COUNTIFS(Başvuru!$C:$C,C257,Başvuru!$L:$L,"RET",Başvuru!$F:$F,"&lt;&gt;"&amp;""))</f>
        <v>0</v>
      </c>
      <c r="O257" s="271">
        <f>IF(C257="","",COUNTIFS(Başvuru!$C:$C,C257,Başvuru!$L:$L,"KAPSAM DIŞI",Başvuru!$F:$F,"&lt;&gt;"&amp;""))</f>
        <v>0</v>
      </c>
      <c r="P257" s="272">
        <f>IF(C257="","",COUNTIFS(Başvuru!$C:$C,C257,Başvuru!$L:$L,"GERİ ÇEKİLDİ",Başvuru!$F:$F,"&lt;&gt;"&amp;""))</f>
        <v>0</v>
      </c>
      <c r="Q257" s="260" t="s">
        <v>136</v>
      </c>
      <c r="R257" s="261">
        <f>COUNTIFS(Başvuru!$C:$C,Q257,Başvuru!$F:$F,"&lt;&gt;"&amp;"")</f>
        <v>1</v>
      </c>
      <c r="S257" s="261">
        <f>RANK(R257,$R$6:$R$290,0)+COUNTIF($R$6:R257,R257)-1</f>
        <v>263</v>
      </c>
    </row>
    <row r="258" spans="2:19" ht="15" customHeight="1" x14ac:dyDescent="0.25">
      <c r="B258" s="249">
        <v>253</v>
      </c>
      <c r="C258" s="250" t="str">
        <f>IFERROR(INDEX($Q$6:$Q$290,MATCH(253,$S$6:$S$290,0)),"")</f>
        <v>Prof. Dr. Pergin ATİLLA</v>
      </c>
      <c r="D258" s="251">
        <f>IF(C258="","",COUNTIFS(Başvuru!$C:$C,C258,Başvuru!$F:$F,"&lt;&gt;"&amp;""))</f>
        <v>1</v>
      </c>
      <c r="E258" s="249" t="str">
        <f>IF(D258&gt;0,TEXT(D258/COUNTIF(Başvuru!$F:$F,"&lt;&gt;"&amp;"")*100,"0.0")&amp;"%","-")</f>
        <v>00%</v>
      </c>
      <c r="F258" s="252">
        <f>IF(C258="","",COUNTIFS(Başvuru!$C:$C,C258,Başvuru!$G:$G,"Bireysel Araştırma",Başvuru!$F:$F,"&lt;&gt;"&amp;""))</f>
        <v>0</v>
      </c>
      <c r="G258" s="252">
        <f>IF(C258="","",COUNTIFS(Başvuru!$C:$C,C258,Başvuru!$G:$G,"Uzmanlık Tezi",Başvuru!$F:$F,"&lt;&gt;"&amp;""))</f>
        <v>1</v>
      </c>
      <c r="H258" s="252">
        <f>IF(C258="","",COUNTIFS(Başvuru!$C:$C,C258,Başvuru!$G:$G,"Doktora Tezi",Başvuru!$F:$F,"&lt;&gt;"&amp;""))</f>
        <v>0</v>
      </c>
      <c r="I258" s="252">
        <f>IF(C258="","",COUNTIFS(Başvuru!$C:$C,C258,Başvuru!$G:$G,"Yüksek Lisans Tezi",Başvuru!$F:$F,"&lt;&gt;"&amp;""))</f>
        <v>0</v>
      </c>
      <c r="J258" s="253">
        <f>IF(C258="","",COUNTIFS(Başvuru!$C:$C,C258,Başvuru!$L:$L,"ONAY",Başvuru!$F:$F,"&lt;&gt;"&amp;""))</f>
        <v>0</v>
      </c>
      <c r="K258" s="254">
        <f>IF(C258="","",COUNTIFS(Başvuru!$C:$C,C258,Başvuru!$L:$L,"DÜZELTME",Başvuru!$F:$F,"&lt;&gt;"&amp;""))</f>
        <v>1</v>
      </c>
      <c r="L258" s="255">
        <f>IF(C258="","",COUNTIFS(Başvuru!$C:$C,C258,Başvuru!$L:$L,"KAEK",Başvuru!$F:$F,"&lt;&gt;"&amp;""))</f>
        <v>0</v>
      </c>
      <c r="M258" s="256">
        <f>IF(C258="","",COUNTIFS(Başvuru!$C:$C,C258,Başvuru!$L:$L,"GÖRÜŞ",Başvuru!$F:$F,"&lt;&gt;"&amp;""))</f>
        <v>0</v>
      </c>
      <c r="N258" s="257">
        <f>IF(C258="","",COUNTIFS(Başvuru!$C:$C,C258,Başvuru!$L:$L,"RET",Başvuru!$F:$F,"&lt;&gt;"&amp;""))</f>
        <v>0</v>
      </c>
      <c r="O258" s="258">
        <f>IF(C258="","",COUNTIFS(Başvuru!$C:$C,C258,Başvuru!$L:$L,"KAPSAM DIŞI",Başvuru!$F:$F,"&lt;&gt;"&amp;""))</f>
        <v>0</v>
      </c>
      <c r="P258" s="259">
        <f>IF(C258="","",COUNTIFS(Başvuru!$C:$C,C258,Başvuru!$L:$L,"GERİ ÇEKİLDİ",Başvuru!$F:$F,"&lt;&gt;"&amp;""))</f>
        <v>0</v>
      </c>
      <c r="Q258" s="260" t="s">
        <v>310</v>
      </c>
      <c r="R258" s="261">
        <f>COUNTIFS(Başvuru!$C:$C,Q258,Başvuru!$F:$F,"&lt;&gt;"&amp;"")</f>
        <v>9</v>
      </c>
      <c r="S258" s="261">
        <f>RANK(R258,$R$6:$R$290,0)+COUNTIF($R$6:R258,R258)-1</f>
        <v>3</v>
      </c>
    </row>
    <row r="259" spans="2:19" ht="15" customHeight="1" x14ac:dyDescent="0.25">
      <c r="B259" s="262">
        <v>254</v>
      </c>
      <c r="C259" s="263" t="str">
        <f>IFERROR(INDEX($Q$6:$Q$290,MATCH(254,$S$6:$S$290,0)),"")</f>
        <v>Prof. Dr. Petek KORKUSUZ</v>
      </c>
      <c r="D259" s="264">
        <f>IF(C259="","",COUNTIFS(Başvuru!$C:$C,C259,Başvuru!$F:$F,"&lt;&gt;"&amp;""))</f>
        <v>1</v>
      </c>
      <c r="E259" s="262" t="str">
        <f>IF(D259&gt;0,TEXT(D259/COUNTIF(Başvuru!$F:$F,"&lt;&gt;"&amp;"")*100,"0.0")&amp;"%","-")</f>
        <v>00%</v>
      </c>
      <c r="F259" s="265">
        <f>IF(C259="","",COUNTIFS(Başvuru!$C:$C,C259,Başvuru!$G:$G,"Bireysel Araştırma",Başvuru!$F:$F,"&lt;&gt;"&amp;""))</f>
        <v>1</v>
      </c>
      <c r="G259" s="265">
        <f>IF(C259="","",COUNTIFS(Başvuru!$C:$C,C259,Başvuru!$G:$G,"Uzmanlık Tezi",Başvuru!$F:$F,"&lt;&gt;"&amp;""))</f>
        <v>0</v>
      </c>
      <c r="H259" s="265">
        <f>IF(C259="","",COUNTIFS(Başvuru!$C:$C,C259,Başvuru!$G:$G,"Doktora Tezi",Başvuru!$F:$F,"&lt;&gt;"&amp;""))</f>
        <v>0</v>
      </c>
      <c r="I259" s="265">
        <f>IF(C259="","",COUNTIFS(Başvuru!$C:$C,C259,Başvuru!$G:$G,"Yüksek Lisans Tezi",Başvuru!$F:$F,"&lt;&gt;"&amp;""))</f>
        <v>0</v>
      </c>
      <c r="J259" s="266">
        <f>IF(C259="","",COUNTIFS(Başvuru!$C:$C,C259,Başvuru!$L:$L,"ONAY",Başvuru!$F:$F,"&lt;&gt;"&amp;""))</f>
        <v>0</v>
      </c>
      <c r="K259" s="267">
        <f>IF(C259="","",COUNTIFS(Başvuru!$C:$C,C259,Başvuru!$L:$L,"DÜZELTME",Başvuru!$F:$F,"&lt;&gt;"&amp;""))</f>
        <v>1</v>
      </c>
      <c r="L259" s="268">
        <f>IF(C259="","",COUNTIFS(Başvuru!$C:$C,C259,Başvuru!$L:$L,"KAEK",Başvuru!$F:$F,"&lt;&gt;"&amp;""))</f>
        <v>0</v>
      </c>
      <c r="M259" s="269">
        <f>IF(C259="","",COUNTIFS(Başvuru!$C:$C,C259,Başvuru!$L:$L,"GÖRÜŞ",Başvuru!$F:$F,"&lt;&gt;"&amp;""))</f>
        <v>0</v>
      </c>
      <c r="N259" s="270">
        <f>IF(C259="","",COUNTIFS(Başvuru!$C:$C,C259,Başvuru!$L:$L,"RET",Başvuru!$F:$F,"&lt;&gt;"&amp;""))</f>
        <v>0</v>
      </c>
      <c r="O259" s="271">
        <f>IF(C259="","",COUNTIFS(Başvuru!$C:$C,C259,Başvuru!$L:$L,"KAPSAM DIŞI",Başvuru!$F:$F,"&lt;&gt;"&amp;""))</f>
        <v>0</v>
      </c>
      <c r="P259" s="272">
        <f>IF(C259="","",COUNTIFS(Başvuru!$C:$C,C259,Başvuru!$L:$L,"GERİ ÇEKİLDİ",Başvuru!$F:$F,"&lt;&gt;"&amp;""))</f>
        <v>0</v>
      </c>
      <c r="Q259" s="260" t="s">
        <v>101</v>
      </c>
      <c r="R259" s="261">
        <f>COUNTIFS(Başvuru!$C:$C,Q259,Başvuru!$F:$F,"&lt;&gt;"&amp;"")</f>
        <v>1</v>
      </c>
      <c r="S259" s="261">
        <f>RANK(R259,$R$6:$R$290,0)+COUNTIF($R$6:R259,R259)-1</f>
        <v>264</v>
      </c>
    </row>
    <row r="260" spans="2:19" ht="15" customHeight="1" x14ac:dyDescent="0.25">
      <c r="B260" s="249">
        <v>255</v>
      </c>
      <c r="C260" s="250" t="str">
        <f>IFERROR(INDEX($Q$6:$Q$290,MATCH(255,$S$6:$S$290,0)),"")</f>
        <v>Prof. Dr. Rıza Köksal ÖZGÜL</v>
      </c>
      <c r="D260" s="251">
        <f>IF(C260="","",COUNTIFS(Başvuru!$C:$C,C260,Başvuru!$F:$F,"&lt;&gt;"&amp;""))</f>
        <v>1</v>
      </c>
      <c r="E260" s="249" t="str">
        <f>IF(D260&gt;0,TEXT(D260/COUNTIF(Başvuru!$F:$F,"&lt;&gt;"&amp;"")*100,"0.0")&amp;"%","-")</f>
        <v>00%</v>
      </c>
      <c r="F260" s="252">
        <f>IF(C260="","",COUNTIFS(Başvuru!$C:$C,C260,Başvuru!$G:$G,"Bireysel Araştırma",Başvuru!$F:$F,"&lt;&gt;"&amp;""))</f>
        <v>1</v>
      </c>
      <c r="G260" s="252">
        <f>IF(C260="","",COUNTIFS(Başvuru!$C:$C,C260,Başvuru!$G:$G,"Uzmanlık Tezi",Başvuru!$F:$F,"&lt;&gt;"&amp;""))</f>
        <v>0</v>
      </c>
      <c r="H260" s="252">
        <f>IF(C260="","",COUNTIFS(Başvuru!$C:$C,C260,Başvuru!$G:$G,"Doktora Tezi",Başvuru!$F:$F,"&lt;&gt;"&amp;""))</f>
        <v>0</v>
      </c>
      <c r="I260" s="252">
        <f>IF(C260="","",COUNTIFS(Başvuru!$C:$C,C260,Başvuru!$G:$G,"Yüksek Lisans Tezi",Başvuru!$F:$F,"&lt;&gt;"&amp;""))</f>
        <v>0</v>
      </c>
      <c r="J260" s="253">
        <f>IF(C260="","",COUNTIFS(Başvuru!$C:$C,C260,Başvuru!$L:$L,"ONAY",Başvuru!$F:$F,"&lt;&gt;"&amp;""))</f>
        <v>0</v>
      </c>
      <c r="K260" s="254">
        <f>IF(C260="","",COUNTIFS(Başvuru!$C:$C,C260,Başvuru!$L:$L,"DÜZELTME",Başvuru!$F:$F,"&lt;&gt;"&amp;""))</f>
        <v>1</v>
      </c>
      <c r="L260" s="255">
        <f>IF(C260="","",COUNTIFS(Başvuru!$C:$C,C260,Başvuru!$L:$L,"KAEK",Başvuru!$F:$F,"&lt;&gt;"&amp;""))</f>
        <v>0</v>
      </c>
      <c r="M260" s="256">
        <f>IF(C260="","",COUNTIFS(Başvuru!$C:$C,C260,Başvuru!$L:$L,"GÖRÜŞ",Başvuru!$F:$F,"&lt;&gt;"&amp;""))</f>
        <v>0</v>
      </c>
      <c r="N260" s="257">
        <f>IF(C260="","",COUNTIFS(Başvuru!$C:$C,C260,Başvuru!$L:$L,"RET",Başvuru!$F:$F,"&lt;&gt;"&amp;""))</f>
        <v>0</v>
      </c>
      <c r="O260" s="258">
        <f>IF(C260="","",COUNTIFS(Başvuru!$C:$C,C260,Başvuru!$L:$L,"KAPSAM DIŞI",Başvuru!$F:$F,"&lt;&gt;"&amp;""))</f>
        <v>0</v>
      </c>
      <c r="P260" s="259">
        <f>IF(C260="","",COUNTIFS(Başvuru!$C:$C,C260,Başvuru!$L:$L,"GERİ ÇEKİLDİ",Başvuru!$F:$F,"&lt;&gt;"&amp;""))</f>
        <v>0</v>
      </c>
      <c r="Q260" s="260" t="s">
        <v>1468</v>
      </c>
      <c r="R260" s="261">
        <f>COUNTIFS(Başvuru!$C:$C,Q260,Başvuru!$F:$F,"&lt;&gt;"&amp;"")</f>
        <v>1</v>
      </c>
      <c r="S260" s="261">
        <f>RANK(R260,$R$6:$R$290,0)+COUNTIF($R$6:R260,R260)-1</f>
        <v>265</v>
      </c>
    </row>
    <row r="261" spans="2:19" ht="15" customHeight="1" x14ac:dyDescent="0.25">
      <c r="B261" s="262">
        <v>256</v>
      </c>
      <c r="C261" s="263" t="str">
        <f>IFERROR(INDEX($Q$6:$Q$290,MATCH(256,$S$6:$S$290,0)),"")</f>
        <v>Prof. Dr. Saniye EKİNCİ</v>
      </c>
      <c r="D261" s="264">
        <f>IF(C261="","",COUNTIFS(Başvuru!$C:$C,C261,Başvuru!$F:$F,"&lt;&gt;"&amp;""))</f>
        <v>1</v>
      </c>
      <c r="E261" s="262" t="str">
        <f>IF(D261&gt;0,TEXT(D261/COUNTIF(Başvuru!$F:$F,"&lt;&gt;"&amp;"")*100,"0.0")&amp;"%","-")</f>
        <v>00%</v>
      </c>
      <c r="F261" s="265">
        <f>IF(C261="","",COUNTIFS(Başvuru!$C:$C,C261,Başvuru!$G:$G,"Bireysel Araştırma",Başvuru!$F:$F,"&lt;&gt;"&amp;""))</f>
        <v>1</v>
      </c>
      <c r="G261" s="265">
        <f>IF(C261="","",COUNTIFS(Başvuru!$C:$C,C261,Başvuru!$G:$G,"Uzmanlık Tezi",Başvuru!$F:$F,"&lt;&gt;"&amp;""))</f>
        <v>0</v>
      </c>
      <c r="H261" s="265">
        <f>IF(C261="","",COUNTIFS(Başvuru!$C:$C,C261,Başvuru!$G:$G,"Doktora Tezi",Başvuru!$F:$F,"&lt;&gt;"&amp;""))</f>
        <v>0</v>
      </c>
      <c r="I261" s="265">
        <f>IF(C261="","",COUNTIFS(Başvuru!$C:$C,C261,Başvuru!$G:$G,"Yüksek Lisans Tezi",Başvuru!$F:$F,"&lt;&gt;"&amp;""))</f>
        <v>0</v>
      </c>
      <c r="J261" s="266">
        <f>IF(C261="","",COUNTIFS(Başvuru!$C:$C,C261,Başvuru!$L:$L,"ONAY",Başvuru!$F:$F,"&lt;&gt;"&amp;""))</f>
        <v>1</v>
      </c>
      <c r="K261" s="267">
        <f>IF(C261="","",COUNTIFS(Başvuru!$C:$C,C261,Başvuru!$L:$L,"DÜZELTME",Başvuru!$F:$F,"&lt;&gt;"&amp;""))</f>
        <v>0</v>
      </c>
      <c r="L261" s="268">
        <f>IF(C261="","",COUNTIFS(Başvuru!$C:$C,C261,Başvuru!$L:$L,"KAEK",Başvuru!$F:$F,"&lt;&gt;"&amp;""))</f>
        <v>0</v>
      </c>
      <c r="M261" s="269">
        <f>IF(C261="","",COUNTIFS(Başvuru!$C:$C,C261,Başvuru!$L:$L,"GÖRÜŞ",Başvuru!$F:$F,"&lt;&gt;"&amp;""))</f>
        <v>0</v>
      </c>
      <c r="N261" s="270">
        <f>IF(C261="","",COUNTIFS(Başvuru!$C:$C,C261,Başvuru!$L:$L,"RET",Başvuru!$F:$F,"&lt;&gt;"&amp;""))</f>
        <v>0</v>
      </c>
      <c r="O261" s="271">
        <f>IF(C261="","",COUNTIFS(Başvuru!$C:$C,C261,Başvuru!$L:$L,"KAPSAM DIŞI",Başvuru!$F:$F,"&lt;&gt;"&amp;""))</f>
        <v>0</v>
      </c>
      <c r="P261" s="272">
        <f>IF(C261="","",COUNTIFS(Başvuru!$C:$C,C261,Başvuru!$L:$L,"GERİ ÇEKİLDİ",Başvuru!$F:$F,"&lt;&gt;"&amp;""))</f>
        <v>0</v>
      </c>
      <c r="Q261" s="260" t="s">
        <v>680</v>
      </c>
      <c r="R261" s="261">
        <f>COUNTIFS(Başvuru!$C:$C,Q261,Başvuru!$F:$F,"&lt;&gt;"&amp;"")</f>
        <v>4</v>
      </c>
      <c r="S261" s="261">
        <f>RANK(R261,$R$6:$R$290,0)+COUNTIF($R$6:R261,R261)-1</f>
        <v>35</v>
      </c>
    </row>
    <row r="262" spans="2:19" ht="15" customHeight="1" x14ac:dyDescent="0.25">
      <c r="B262" s="249">
        <v>257</v>
      </c>
      <c r="C262" s="250" t="str">
        <f>IFERROR(INDEX($Q$6:$Q$290,MATCH(257,$S$6:$S$290,0)),"")</f>
        <v>Prof. Dr. Seda Banu AKINCI</v>
      </c>
      <c r="D262" s="251">
        <f>IF(C262="","",COUNTIFS(Başvuru!$C:$C,C262,Başvuru!$F:$F,"&lt;&gt;"&amp;""))</f>
        <v>1</v>
      </c>
      <c r="E262" s="249" t="str">
        <f>IF(D262&gt;0,TEXT(D262/COUNTIF(Başvuru!$F:$F,"&lt;&gt;"&amp;"")*100,"0.0")&amp;"%","-")</f>
        <v>00%</v>
      </c>
      <c r="F262" s="252">
        <f>IF(C262="","",COUNTIFS(Başvuru!$C:$C,C262,Başvuru!$G:$G,"Bireysel Araştırma",Başvuru!$F:$F,"&lt;&gt;"&amp;""))</f>
        <v>1</v>
      </c>
      <c r="G262" s="252">
        <f>IF(C262="","",COUNTIFS(Başvuru!$C:$C,C262,Başvuru!$G:$G,"Uzmanlık Tezi",Başvuru!$F:$F,"&lt;&gt;"&amp;""))</f>
        <v>0</v>
      </c>
      <c r="H262" s="252">
        <f>IF(C262="","",COUNTIFS(Başvuru!$C:$C,C262,Başvuru!$G:$G,"Doktora Tezi",Başvuru!$F:$F,"&lt;&gt;"&amp;""))</f>
        <v>0</v>
      </c>
      <c r="I262" s="252">
        <f>IF(C262="","",COUNTIFS(Başvuru!$C:$C,C262,Başvuru!$G:$G,"Yüksek Lisans Tezi",Başvuru!$F:$F,"&lt;&gt;"&amp;""))</f>
        <v>0</v>
      </c>
      <c r="J262" s="253">
        <f>IF(C262="","",COUNTIFS(Başvuru!$C:$C,C262,Başvuru!$L:$L,"ONAY",Başvuru!$F:$F,"&lt;&gt;"&amp;""))</f>
        <v>1</v>
      </c>
      <c r="K262" s="254">
        <f>IF(C262="","",COUNTIFS(Başvuru!$C:$C,C262,Başvuru!$L:$L,"DÜZELTME",Başvuru!$F:$F,"&lt;&gt;"&amp;""))</f>
        <v>0</v>
      </c>
      <c r="L262" s="255">
        <f>IF(C262="","",COUNTIFS(Başvuru!$C:$C,C262,Başvuru!$L:$L,"KAEK",Başvuru!$F:$F,"&lt;&gt;"&amp;""))</f>
        <v>0</v>
      </c>
      <c r="M262" s="256">
        <f>IF(C262="","",COUNTIFS(Başvuru!$C:$C,C262,Başvuru!$L:$L,"GÖRÜŞ",Başvuru!$F:$F,"&lt;&gt;"&amp;""))</f>
        <v>0</v>
      </c>
      <c r="N262" s="257">
        <f>IF(C262="","",COUNTIFS(Başvuru!$C:$C,C262,Başvuru!$L:$L,"RET",Başvuru!$F:$F,"&lt;&gt;"&amp;""))</f>
        <v>0</v>
      </c>
      <c r="O262" s="258">
        <f>IF(C262="","",COUNTIFS(Başvuru!$C:$C,C262,Başvuru!$L:$L,"KAPSAM DIŞI",Başvuru!$F:$F,"&lt;&gt;"&amp;""))</f>
        <v>0</v>
      </c>
      <c r="P262" s="259">
        <f>IF(C262="","",COUNTIFS(Başvuru!$C:$C,C262,Başvuru!$L:$L,"GERİ ÇEKİLDİ",Başvuru!$F:$F,"&lt;&gt;"&amp;""))</f>
        <v>0</v>
      </c>
      <c r="Q262" s="260" t="s">
        <v>2538</v>
      </c>
      <c r="R262" s="261">
        <f>COUNTIFS(Başvuru!$C:$C,Q262,Başvuru!$F:$F,"&lt;&gt;"&amp;"")</f>
        <v>1</v>
      </c>
      <c r="S262" s="261">
        <f>RANK(R262,$R$6:$R$290,0)+COUNTIF($R$6:R262,R262)-1</f>
        <v>266</v>
      </c>
    </row>
    <row r="263" spans="2:19" ht="15" customHeight="1" x14ac:dyDescent="0.25">
      <c r="B263" s="262">
        <v>258</v>
      </c>
      <c r="C263" s="263" t="str">
        <f>IFERROR(INDEX($Q$6:$Q$290,MATCH(258,$S$6:$S$290,0)),"")</f>
        <v>Prof. Dr. Selçuk DAĞDELEN</v>
      </c>
      <c r="D263" s="264">
        <f>IF(C263="","",COUNTIFS(Başvuru!$C:$C,C263,Başvuru!$F:$F,"&lt;&gt;"&amp;""))</f>
        <v>1</v>
      </c>
      <c r="E263" s="262" t="str">
        <f>IF(D263&gt;0,TEXT(D263/COUNTIF(Başvuru!$F:$F,"&lt;&gt;"&amp;"")*100,"0.0")&amp;"%","-")</f>
        <v>00%</v>
      </c>
      <c r="F263" s="265">
        <f>IF(C263="","",COUNTIFS(Başvuru!$C:$C,C263,Başvuru!$G:$G,"Bireysel Araştırma",Başvuru!$F:$F,"&lt;&gt;"&amp;""))</f>
        <v>1</v>
      </c>
      <c r="G263" s="265">
        <f>IF(C263="","",COUNTIFS(Başvuru!$C:$C,C263,Başvuru!$G:$G,"Uzmanlık Tezi",Başvuru!$F:$F,"&lt;&gt;"&amp;""))</f>
        <v>0</v>
      </c>
      <c r="H263" s="265">
        <f>IF(C263="","",COUNTIFS(Başvuru!$C:$C,C263,Başvuru!$G:$G,"Doktora Tezi",Başvuru!$F:$F,"&lt;&gt;"&amp;""))</f>
        <v>0</v>
      </c>
      <c r="I263" s="265">
        <f>IF(C263="","",COUNTIFS(Başvuru!$C:$C,C263,Başvuru!$G:$G,"Yüksek Lisans Tezi",Başvuru!$F:$F,"&lt;&gt;"&amp;""))</f>
        <v>0</v>
      </c>
      <c r="J263" s="266">
        <f>IF(C263="","",COUNTIFS(Başvuru!$C:$C,C263,Başvuru!$L:$L,"ONAY",Başvuru!$F:$F,"&lt;&gt;"&amp;""))</f>
        <v>1</v>
      </c>
      <c r="K263" s="267">
        <f>IF(C263="","",COUNTIFS(Başvuru!$C:$C,C263,Başvuru!$L:$L,"DÜZELTME",Başvuru!$F:$F,"&lt;&gt;"&amp;""))</f>
        <v>0</v>
      </c>
      <c r="L263" s="268">
        <f>IF(C263="","",COUNTIFS(Başvuru!$C:$C,C263,Başvuru!$L:$L,"KAEK",Başvuru!$F:$F,"&lt;&gt;"&amp;""))</f>
        <v>0</v>
      </c>
      <c r="M263" s="269">
        <f>IF(C263="","",COUNTIFS(Başvuru!$C:$C,C263,Başvuru!$L:$L,"GÖRÜŞ",Başvuru!$F:$F,"&lt;&gt;"&amp;""))</f>
        <v>0</v>
      </c>
      <c r="N263" s="270">
        <f>IF(C263="","",COUNTIFS(Başvuru!$C:$C,C263,Başvuru!$L:$L,"RET",Başvuru!$F:$F,"&lt;&gt;"&amp;""))</f>
        <v>0</v>
      </c>
      <c r="O263" s="271">
        <f>IF(C263="","",COUNTIFS(Başvuru!$C:$C,C263,Başvuru!$L:$L,"KAPSAM DIŞI",Başvuru!$F:$F,"&lt;&gt;"&amp;""))</f>
        <v>0</v>
      </c>
      <c r="P263" s="272">
        <f>IF(C263="","",COUNTIFS(Başvuru!$C:$C,C263,Başvuru!$L:$L,"GERİ ÇEKİLDİ",Başvuru!$F:$F,"&lt;&gt;"&amp;""))</f>
        <v>0</v>
      </c>
      <c r="Q263" s="260" t="s">
        <v>143</v>
      </c>
      <c r="R263" s="261">
        <f>COUNTIFS(Başvuru!$C:$C,Q263,Başvuru!$F:$F,"&lt;&gt;"&amp;"")</f>
        <v>3</v>
      </c>
      <c r="S263" s="261">
        <f>RANK(R263,$R$6:$R$290,0)+COUNTIF($R$6:R263,R263)-1</f>
        <v>58</v>
      </c>
    </row>
    <row r="264" spans="2:19" ht="15" customHeight="1" x14ac:dyDescent="0.25">
      <c r="B264" s="249">
        <v>259</v>
      </c>
      <c r="C264" s="250" t="str">
        <f>IFERROR(INDEX($Q$6:$Q$290,MATCH(259,$S$6:$S$290,0)),"")</f>
        <v>Prof. Dr. Sevinç SARINÇ</v>
      </c>
      <c r="D264" s="251">
        <f>IF(C264="","",COUNTIFS(Başvuru!$C:$C,C264,Başvuru!$F:$F,"&lt;&gt;"&amp;""))</f>
        <v>1</v>
      </c>
      <c r="E264" s="249" t="str">
        <f>IF(D264&gt;0,TEXT(D264/COUNTIF(Başvuru!$F:$F,"&lt;&gt;"&amp;"")*100,"0.0")&amp;"%","-")</f>
        <v>00%</v>
      </c>
      <c r="F264" s="252">
        <f>IF(C264="","",COUNTIFS(Başvuru!$C:$C,C264,Başvuru!$G:$G,"Bireysel Araştırma",Başvuru!$F:$F,"&lt;&gt;"&amp;""))</f>
        <v>0</v>
      </c>
      <c r="G264" s="252">
        <f>IF(C264="","",COUNTIFS(Başvuru!$C:$C,C264,Başvuru!$G:$G,"Uzmanlık Tezi",Başvuru!$F:$F,"&lt;&gt;"&amp;""))</f>
        <v>1</v>
      </c>
      <c r="H264" s="252">
        <f>IF(C264="","",COUNTIFS(Başvuru!$C:$C,C264,Başvuru!$G:$G,"Doktora Tezi",Başvuru!$F:$F,"&lt;&gt;"&amp;""))</f>
        <v>0</v>
      </c>
      <c r="I264" s="252">
        <f>IF(C264="","",COUNTIFS(Başvuru!$C:$C,C264,Başvuru!$G:$G,"Yüksek Lisans Tezi",Başvuru!$F:$F,"&lt;&gt;"&amp;""))</f>
        <v>0</v>
      </c>
      <c r="J264" s="253">
        <f>IF(C264="","",COUNTIFS(Başvuru!$C:$C,C264,Başvuru!$L:$L,"ONAY",Başvuru!$F:$F,"&lt;&gt;"&amp;""))</f>
        <v>0</v>
      </c>
      <c r="K264" s="254">
        <f>IF(C264="","",COUNTIFS(Başvuru!$C:$C,C264,Başvuru!$L:$L,"DÜZELTME",Başvuru!$F:$F,"&lt;&gt;"&amp;""))</f>
        <v>1</v>
      </c>
      <c r="L264" s="255">
        <f>IF(C264="","",COUNTIFS(Başvuru!$C:$C,C264,Başvuru!$L:$L,"KAEK",Başvuru!$F:$F,"&lt;&gt;"&amp;""))</f>
        <v>0</v>
      </c>
      <c r="M264" s="256">
        <f>IF(C264="","",COUNTIFS(Başvuru!$C:$C,C264,Başvuru!$L:$L,"GÖRÜŞ",Başvuru!$F:$F,"&lt;&gt;"&amp;""))</f>
        <v>0</v>
      </c>
      <c r="N264" s="257">
        <f>IF(C264="","",COUNTIFS(Başvuru!$C:$C,C264,Başvuru!$L:$L,"RET",Başvuru!$F:$F,"&lt;&gt;"&amp;""))</f>
        <v>0</v>
      </c>
      <c r="O264" s="258">
        <f>IF(C264="","",COUNTIFS(Başvuru!$C:$C,C264,Başvuru!$L:$L,"KAPSAM DIŞI",Başvuru!$F:$F,"&lt;&gt;"&amp;""))</f>
        <v>0</v>
      </c>
      <c r="P264" s="259">
        <f>IF(C264="","",COUNTIFS(Başvuru!$C:$C,C264,Başvuru!$L:$L,"GERİ ÇEKİLDİ",Başvuru!$F:$F,"&lt;&gt;"&amp;""))</f>
        <v>0</v>
      </c>
      <c r="Q264" s="260" t="s">
        <v>485</v>
      </c>
      <c r="R264" s="261">
        <f>COUNTIFS(Başvuru!$C:$C,Q264,Başvuru!$F:$F,"&lt;&gt;"&amp;"")</f>
        <v>1</v>
      </c>
      <c r="S264" s="261">
        <f>RANK(R264,$R$6:$R$290,0)+COUNTIF($R$6:R264,R264)-1</f>
        <v>267</v>
      </c>
    </row>
    <row r="265" spans="2:19" ht="15" customHeight="1" x14ac:dyDescent="0.25">
      <c r="B265" s="262">
        <v>260</v>
      </c>
      <c r="C265" s="263" t="str">
        <f>IFERROR(INDEX($Q$6:$Q$290,MATCH(260,$S$6:$S$290,0)),"")</f>
        <v>Prof. Dr. Sibel ERSOY EVANS</v>
      </c>
      <c r="D265" s="264">
        <f>IF(C265="","",COUNTIFS(Başvuru!$C:$C,C265,Başvuru!$F:$F,"&lt;&gt;"&amp;""))</f>
        <v>1</v>
      </c>
      <c r="E265" s="262" t="str">
        <f>IF(D265&gt;0,TEXT(D265/COUNTIF(Başvuru!$F:$F,"&lt;&gt;"&amp;"")*100,"0.0")&amp;"%","-")</f>
        <v>00%</v>
      </c>
      <c r="F265" s="265">
        <f>IF(C265="","",COUNTIFS(Başvuru!$C:$C,C265,Başvuru!$G:$G,"Bireysel Araştırma",Başvuru!$F:$F,"&lt;&gt;"&amp;""))</f>
        <v>1</v>
      </c>
      <c r="G265" s="265">
        <f>IF(C265="","",COUNTIFS(Başvuru!$C:$C,C265,Başvuru!$G:$G,"Uzmanlık Tezi",Başvuru!$F:$F,"&lt;&gt;"&amp;""))</f>
        <v>0</v>
      </c>
      <c r="H265" s="265">
        <f>IF(C265="","",COUNTIFS(Başvuru!$C:$C,C265,Başvuru!$G:$G,"Doktora Tezi",Başvuru!$F:$F,"&lt;&gt;"&amp;""))</f>
        <v>0</v>
      </c>
      <c r="I265" s="265">
        <f>IF(C265="","",COUNTIFS(Başvuru!$C:$C,C265,Başvuru!$G:$G,"Yüksek Lisans Tezi",Başvuru!$F:$F,"&lt;&gt;"&amp;""))</f>
        <v>0</v>
      </c>
      <c r="J265" s="266">
        <f>IF(C265="","",COUNTIFS(Başvuru!$C:$C,C265,Başvuru!$L:$L,"ONAY",Başvuru!$F:$F,"&lt;&gt;"&amp;""))</f>
        <v>0</v>
      </c>
      <c r="K265" s="267">
        <f>IF(C265="","",COUNTIFS(Başvuru!$C:$C,C265,Başvuru!$L:$L,"DÜZELTME",Başvuru!$F:$F,"&lt;&gt;"&amp;""))</f>
        <v>0</v>
      </c>
      <c r="L265" s="268">
        <f>IF(C265="","",COUNTIFS(Başvuru!$C:$C,C265,Başvuru!$L:$L,"KAEK",Başvuru!$F:$F,"&lt;&gt;"&amp;""))</f>
        <v>0</v>
      </c>
      <c r="M265" s="269">
        <f>IF(C265="","",COUNTIFS(Başvuru!$C:$C,C265,Başvuru!$L:$L,"GÖRÜŞ",Başvuru!$F:$F,"&lt;&gt;"&amp;""))</f>
        <v>1</v>
      </c>
      <c r="N265" s="270">
        <f>IF(C265="","",COUNTIFS(Başvuru!$C:$C,C265,Başvuru!$L:$L,"RET",Başvuru!$F:$F,"&lt;&gt;"&amp;""))</f>
        <v>0</v>
      </c>
      <c r="O265" s="271">
        <f>IF(C265="","",COUNTIFS(Başvuru!$C:$C,C265,Başvuru!$L:$L,"KAPSAM DIŞI",Başvuru!$F:$F,"&lt;&gt;"&amp;""))</f>
        <v>0</v>
      </c>
      <c r="P265" s="272">
        <f>IF(C265="","",COUNTIFS(Başvuru!$C:$C,C265,Başvuru!$L:$L,"GERİ ÇEKİLDİ",Başvuru!$F:$F,"&lt;&gt;"&amp;""))</f>
        <v>0</v>
      </c>
      <c r="Q265" s="260" t="s">
        <v>1892</v>
      </c>
      <c r="R265" s="261">
        <f>COUNTIFS(Başvuru!$C:$C,Q265,Başvuru!$F:$F,"&lt;&gt;"&amp;"")</f>
        <v>1</v>
      </c>
      <c r="S265" s="261">
        <f>RANK(R265,$R$6:$R$290,0)+COUNTIF($R$6:R265,R265)-1</f>
        <v>268</v>
      </c>
    </row>
    <row r="266" spans="2:19" ht="15" customHeight="1" x14ac:dyDescent="0.25">
      <c r="B266" s="249">
        <v>261</v>
      </c>
      <c r="C266" s="250" t="str">
        <f>IFERROR(INDEX($Q$6:$Q$290,MATCH(261,$S$6:$S$290,0)),"")</f>
        <v>Prof. Dr. Tarık TUNCAY</v>
      </c>
      <c r="D266" s="251">
        <f>IF(C266="","",COUNTIFS(Başvuru!$C:$C,C266,Başvuru!$F:$F,"&lt;&gt;"&amp;""))</f>
        <v>1</v>
      </c>
      <c r="E266" s="249" t="str">
        <f>IF(D266&gt;0,TEXT(D266/COUNTIF(Başvuru!$F:$F,"&lt;&gt;"&amp;"")*100,"0.0")&amp;"%","-")</f>
        <v>00%</v>
      </c>
      <c r="F266" s="252">
        <f>IF(C266="","",COUNTIFS(Başvuru!$C:$C,C266,Başvuru!$G:$G,"Bireysel Araştırma",Başvuru!$F:$F,"&lt;&gt;"&amp;""))</f>
        <v>1</v>
      </c>
      <c r="G266" s="252">
        <f>IF(C266="","",COUNTIFS(Başvuru!$C:$C,C266,Başvuru!$G:$G,"Uzmanlık Tezi",Başvuru!$F:$F,"&lt;&gt;"&amp;""))</f>
        <v>0</v>
      </c>
      <c r="H266" s="252">
        <f>IF(C266="","",COUNTIFS(Başvuru!$C:$C,C266,Başvuru!$G:$G,"Doktora Tezi",Başvuru!$F:$F,"&lt;&gt;"&amp;""))</f>
        <v>0</v>
      </c>
      <c r="I266" s="252">
        <f>IF(C266="","",COUNTIFS(Başvuru!$C:$C,C266,Başvuru!$G:$G,"Yüksek Lisans Tezi",Başvuru!$F:$F,"&lt;&gt;"&amp;""))</f>
        <v>0</v>
      </c>
      <c r="J266" s="253">
        <f>IF(C266="","",COUNTIFS(Başvuru!$C:$C,C266,Başvuru!$L:$L,"ONAY",Başvuru!$F:$F,"&lt;&gt;"&amp;""))</f>
        <v>0</v>
      </c>
      <c r="K266" s="254">
        <f>IF(C266="","",COUNTIFS(Başvuru!$C:$C,C266,Başvuru!$L:$L,"DÜZELTME",Başvuru!$F:$F,"&lt;&gt;"&amp;""))</f>
        <v>1</v>
      </c>
      <c r="L266" s="255">
        <f>IF(C266="","",COUNTIFS(Başvuru!$C:$C,C266,Başvuru!$L:$L,"KAEK",Başvuru!$F:$F,"&lt;&gt;"&amp;""))</f>
        <v>0</v>
      </c>
      <c r="M266" s="256">
        <f>IF(C266="","",COUNTIFS(Başvuru!$C:$C,C266,Başvuru!$L:$L,"GÖRÜŞ",Başvuru!$F:$F,"&lt;&gt;"&amp;""))</f>
        <v>0</v>
      </c>
      <c r="N266" s="257">
        <f>IF(C266="","",COUNTIFS(Başvuru!$C:$C,C266,Başvuru!$L:$L,"RET",Başvuru!$F:$F,"&lt;&gt;"&amp;""))</f>
        <v>0</v>
      </c>
      <c r="O266" s="258">
        <f>IF(C266="","",COUNTIFS(Başvuru!$C:$C,C266,Başvuru!$L:$L,"KAPSAM DIŞI",Başvuru!$F:$F,"&lt;&gt;"&amp;""))</f>
        <v>0</v>
      </c>
      <c r="P266" s="259">
        <f>IF(C266="","",COUNTIFS(Başvuru!$C:$C,C266,Başvuru!$L:$L,"GERİ ÇEKİLDİ",Başvuru!$F:$F,"&lt;&gt;"&amp;""))</f>
        <v>0</v>
      </c>
      <c r="Q266" s="260" t="s">
        <v>2291</v>
      </c>
      <c r="R266" s="261">
        <f>COUNTIFS(Başvuru!$C:$C,Q266,Başvuru!$F:$F,"&lt;&gt;"&amp;"")</f>
        <v>1</v>
      </c>
      <c r="S266" s="261">
        <f>RANK(R266,$R$6:$R$290,0)+COUNTIF($R$6:R266,R266)-1</f>
        <v>269</v>
      </c>
    </row>
    <row r="267" spans="2:19" ht="15" customHeight="1" x14ac:dyDescent="0.25">
      <c r="B267" s="262">
        <v>262</v>
      </c>
      <c r="C267" s="263" t="str">
        <f>IFERROR(INDEX($Q$6:$Q$290,MATCH(262,$S$6:$S$290,0)),"")</f>
        <v>Prof. Dr. Uğur ÜNLÜTÜRK</v>
      </c>
      <c r="D267" s="264">
        <f>IF(C267="","",COUNTIFS(Başvuru!$C:$C,C267,Başvuru!$F:$F,"&lt;&gt;"&amp;""))</f>
        <v>1</v>
      </c>
      <c r="E267" s="262" t="str">
        <f>IF(D267&gt;0,TEXT(D267/COUNTIF(Başvuru!$F:$F,"&lt;&gt;"&amp;"")*100,"0.0")&amp;"%","-")</f>
        <v>00%</v>
      </c>
      <c r="F267" s="265">
        <f>IF(C267="","",COUNTIFS(Başvuru!$C:$C,C267,Başvuru!$G:$G,"Bireysel Araştırma",Başvuru!$F:$F,"&lt;&gt;"&amp;""))</f>
        <v>1</v>
      </c>
      <c r="G267" s="265">
        <f>IF(C267="","",COUNTIFS(Başvuru!$C:$C,C267,Başvuru!$G:$G,"Uzmanlık Tezi",Başvuru!$F:$F,"&lt;&gt;"&amp;""))</f>
        <v>0</v>
      </c>
      <c r="H267" s="265">
        <f>IF(C267="","",COUNTIFS(Başvuru!$C:$C,C267,Başvuru!$G:$G,"Doktora Tezi",Başvuru!$F:$F,"&lt;&gt;"&amp;""))</f>
        <v>0</v>
      </c>
      <c r="I267" s="265">
        <f>IF(C267="","",COUNTIFS(Başvuru!$C:$C,C267,Başvuru!$G:$G,"Yüksek Lisans Tezi",Başvuru!$F:$F,"&lt;&gt;"&amp;""))</f>
        <v>0</v>
      </c>
      <c r="J267" s="266">
        <f>IF(C267="","",COUNTIFS(Başvuru!$C:$C,C267,Başvuru!$L:$L,"ONAY",Başvuru!$F:$F,"&lt;&gt;"&amp;""))</f>
        <v>0</v>
      </c>
      <c r="K267" s="267">
        <f>IF(C267="","",COUNTIFS(Başvuru!$C:$C,C267,Başvuru!$L:$L,"DÜZELTME",Başvuru!$F:$F,"&lt;&gt;"&amp;""))</f>
        <v>0</v>
      </c>
      <c r="L267" s="268">
        <f>IF(C267="","",COUNTIFS(Başvuru!$C:$C,C267,Başvuru!$L:$L,"KAEK",Başvuru!$F:$F,"&lt;&gt;"&amp;""))</f>
        <v>0</v>
      </c>
      <c r="M267" s="269">
        <f>IF(C267="","",COUNTIFS(Başvuru!$C:$C,C267,Başvuru!$L:$L,"GÖRÜŞ",Başvuru!$F:$F,"&lt;&gt;"&amp;""))</f>
        <v>0</v>
      </c>
      <c r="N267" s="270">
        <f>IF(C267="","",COUNTIFS(Başvuru!$C:$C,C267,Başvuru!$L:$L,"RET",Başvuru!$F:$F,"&lt;&gt;"&amp;""))</f>
        <v>0</v>
      </c>
      <c r="O267" s="271">
        <f>IF(C267="","",COUNTIFS(Başvuru!$C:$C,C267,Başvuru!$L:$L,"KAPSAM DIŞI",Başvuru!$F:$F,"&lt;&gt;"&amp;""))</f>
        <v>0</v>
      </c>
      <c r="P267" s="272">
        <f>IF(C267="","",COUNTIFS(Başvuru!$C:$C,C267,Başvuru!$L:$L,"GERİ ÇEKİLDİ",Başvuru!$F:$F,"&lt;&gt;"&amp;""))</f>
        <v>0</v>
      </c>
      <c r="Q267" s="260" t="s">
        <v>97</v>
      </c>
      <c r="R267" s="261">
        <f>COUNTIFS(Başvuru!$C:$C,Q267,Başvuru!$F:$F,"&lt;&gt;"&amp;"")</f>
        <v>1</v>
      </c>
      <c r="S267" s="261">
        <f>RANK(R267,$R$6:$R$290,0)+COUNTIF($R$6:R267,R267)-1</f>
        <v>270</v>
      </c>
    </row>
    <row r="268" spans="2:19" ht="15" customHeight="1" x14ac:dyDescent="0.25">
      <c r="B268" s="249">
        <v>263</v>
      </c>
      <c r="C268" s="250" t="str">
        <f>IFERROR(INDEX($Q$6:$Q$290,MATCH(263,$S$6:$S$290,0)),"")</f>
        <v>Prof. Dr. Yakut AKYÖN YILMAZ</v>
      </c>
      <c r="D268" s="251">
        <f>IF(C268="","",COUNTIFS(Başvuru!$C:$C,C268,Başvuru!$F:$F,"&lt;&gt;"&amp;""))</f>
        <v>1</v>
      </c>
      <c r="E268" s="249" t="str">
        <f>IF(D268&gt;0,TEXT(D268/COUNTIF(Başvuru!$F:$F,"&lt;&gt;"&amp;"")*100,"0.0")&amp;"%","-")</f>
        <v>00%</v>
      </c>
      <c r="F268" s="252">
        <f>IF(C268="","",COUNTIFS(Başvuru!$C:$C,C268,Başvuru!$G:$G,"Bireysel Araştırma",Başvuru!$F:$F,"&lt;&gt;"&amp;""))</f>
        <v>0</v>
      </c>
      <c r="G268" s="252">
        <f>IF(C268="","",COUNTIFS(Başvuru!$C:$C,C268,Başvuru!$G:$G,"Uzmanlık Tezi",Başvuru!$F:$F,"&lt;&gt;"&amp;""))</f>
        <v>0</v>
      </c>
      <c r="H268" s="252">
        <f>IF(C268="","",COUNTIFS(Başvuru!$C:$C,C268,Başvuru!$G:$G,"Doktora Tezi",Başvuru!$F:$F,"&lt;&gt;"&amp;""))</f>
        <v>1</v>
      </c>
      <c r="I268" s="252">
        <f>IF(C268="","",COUNTIFS(Başvuru!$C:$C,C268,Başvuru!$G:$G,"Yüksek Lisans Tezi",Başvuru!$F:$F,"&lt;&gt;"&amp;""))</f>
        <v>0</v>
      </c>
      <c r="J268" s="253">
        <f>IF(C268="","",COUNTIFS(Başvuru!$C:$C,C268,Başvuru!$L:$L,"ONAY",Başvuru!$F:$F,"&lt;&gt;"&amp;""))</f>
        <v>0</v>
      </c>
      <c r="K268" s="254">
        <f>IF(C268="","",COUNTIFS(Başvuru!$C:$C,C268,Başvuru!$L:$L,"DÜZELTME",Başvuru!$F:$F,"&lt;&gt;"&amp;""))</f>
        <v>1</v>
      </c>
      <c r="L268" s="255">
        <f>IF(C268="","",COUNTIFS(Başvuru!$C:$C,C268,Başvuru!$L:$L,"KAEK",Başvuru!$F:$F,"&lt;&gt;"&amp;""))</f>
        <v>0</v>
      </c>
      <c r="M268" s="256">
        <f>IF(C268="","",COUNTIFS(Başvuru!$C:$C,C268,Başvuru!$L:$L,"GÖRÜŞ",Başvuru!$F:$F,"&lt;&gt;"&amp;""))</f>
        <v>0</v>
      </c>
      <c r="N268" s="257">
        <f>IF(C268="","",COUNTIFS(Başvuru!$C:$C,C268,Başvuru!$L:$L,"RET",Başvuru!$F:$F,"&lt;&gt;"&amp;""))</f>
        <v>0</v>
      </c>
      <c r="O268" s="258">
        <f>IF(C268="","",COUNTIFS(Başvuru!$C:$C,C268,Başvuru!$L:$L,"KAPSAM DIŞI",Başvuru!$F:$F,"&lt;&gt;"&amp;""))</f>
        <v>0</v>
      </c>
      <c r="P268" s="259">
        <f>IF(C268="","",COUNTIFS(Başvuru!$C:$C,C268,Başvuru!$L:$L,"GERİ ÇEKİLDİ",Başvuru!$F:$F,"&lt;&gt;"&amp;""))</f>
        <v>0</v>
      </c>
      <c r="Q268" s="260" t="s">
        <v>1120</v>
      </c>
      <c r="R268" s="261">
        <f>COUNTIFS(Başvuru!$C:$C,Q268,Başvuru!$F:$F,"&lt;&gt;"&amp;"")</f>
        <v>3</v>
      </c>
      <c r="S268" s="261">
        <f>RANK(R268,$R$6:$R$290,0)+COUNTIF($R$6:R268,R268)-1</f>
        <v>59</v>
      </c>
    </row>
    <row r="269" spans="2:19" ht="15" customHeight="1" x14ac:dyDescent="0.25">
      <c r="B269" s="262">
        <v>264</v>
      </c>
      <c r="C269" s="263" t="str">
        <f>IFERROR(INDEX($Q$6:$Q$290,MATCH(264,$S$6:$S$290,0)),"")</f>
        <v>Prof. Dr. Yavuz AYHAN</v>
      </c>
      <c r="D269" s="264">
        <f>IF(C269="","",COUNTIFS(Başvuru!$C:$C,C269,Başvuru!$F:$F,"&lt;&gt;"&amp;""))</f>
        <v>1</v>
      </c>
      <c r="E269" s="262" t="str">
        <f>IF(D269&gt;0,TEXT(D269/COUNTIF(Başvuru!$F:$F,"&lt;&gt;"&amp;"")*100,"0.0")&amp;"%","-")</f>
        <v>00%</v>
      </c>
      <c r="F269" s="265">
        <f>IF(C269="","",COUNTIFS(Başvuru!$C:$C,C269,Başvuru!$G:$G,"Bireysel Araştırma",Başvuru!$F:$F,"&lt;&gt;"&amp;""))</f>
        <v>1</v>
      </c>
      <c r="G269" s="265">
        <f>IF(C269="","",COUNTIFS(Başvuru!$C:$C,C269,Başvuru!$G:$G,"Uzmanlık Tezi",Başvuru!$F:$F,"&lt;&gt;"&amp;""))</f>
        <v>0</v>
      </c>
      <c r="H269" s="265">
        <f>IF(C269="","",COUNTIFS(Başvuru!$C:$C,C269,Başvuru!$G:$G,"Doktora Tezi",Başvuru!$F:$F,"&lt;&gt;"&amp;""))</f>
        <v>0</v>
      </c>
      <c r="I269" s="265">
        <f>IF(C269="","",COUNTIFS(Başvuru!$C:$C,C269,Başvuru!$G:$G,"Yüksek Lisans Tezi",Başvuru!$F:$F,"&lt;&gt;"&amp;""))</f>
        <v>0</v>
      </c>
      <c r="J269" s="266">
        <f>IF(C269="","",COUNTIFS(Başvuru!$C:$C,C269,Başvuru!$L:$L,"ONAY",Başvuru!$F:$F,"&lt;&gt;"&amp;""))</f>
        <v>0</v>
      </c>
      <c r="K269" s="267">
        <f>IF(C269="","",COUNTIFS(Başvuru!$C:$C,C269,Başvuru!$L:$L,"DÜZELTME",Başvuru!$F:$F,"&lt;&gt;"&amp;""))</f>
        <v>1</v>
      </c>
      <c r="L269" s="268">
        <f>IF(C269="","",COUNTIFS(Başvuru!$C:$C,C269,Başvuru!$L:$L,"KAEK",Başvuru!$F:$F,"&lt;&gt;"&amp;""))</f>
        <v>0</v>
      </c>
      <c r="M269" s="269">
        <f>IF(C269="","",COUNTIFS(Başvuru!$C:$C,C269,Başvuru!$L:$L,"GÖRÜŞ",Başvuru!$F:$F,"&lt;&gt;"&amp;""))</f>
        <v>0</v>
      </c>
      <c r="N269" s="270">
        <f>IF(C269="","",COUNTIFS(Başvuru!$C:$C,C269,Başvuru!$L:$L,"RET",Başvuru!$F:$F,"&lt;&gt;"&amp;""))</f>
        <v>0</v>
      </c>
      <c r="O269" s="271">
        <f>IF(C269="","",COUNTIFS(Başvuru!$C:$C,C269,Başvuru!$L:$L,"KAPSAM DIŞI",Başvuru!$F:$F,"&lt;&gt;"&amp;""))</f>
        <v>0</v>
      </c>
      <c r="P269" s="272">
        <f>IF(C269="","",COUNTIFS(Başvuru!$C:$C,C269,Başvuru!$L:$L,"GERİ ÇEKİLDİ",Başvuru!$F:$F,"&lt;&gt;"&amp;""))</f>
        <v>0</v>
      </c>
      <c r="Q269" s="260" t="s">
        <v>522</v>
      </c>
      <c r="R269" s="261">
        <f>COUNTIFS(Başvuru!$C:$C,Q269,Başvuru!$F:$F,"&lt;&gt;"&amp;"")</f>
        <v>1</v>
      </c>
      <c r="S269" s="261">
        <f>RANK(R269,$R$6:$R$290,0)+COUNTIF($R$6:R269,R269)-1</f>
        <v>271</v>
      </c>
    </row>
    <row r="270" spans="2:19" ht="15" customHeight="1" x14ac:dyDescent="0.25">
      <c r="B270" s="249">
        <v>265</v>
      </c>
      <c r="C270" s="250" t="str">
        <f>IFERROR(INDEX($Q$6:$Q$290,MATCH(265,$S$6:$S$290,0)),"")</f>
        <v>Prof. Dr. Zafer Selçuk TUNCER</v>
      </c>
      <c r="D270" s="251">
        <f>IF(C270="","",COUNTIFS(Başvuru!$C:$C,C270,Başvuru!$F:$F,"&lt;&gt;"&amp;""))</f>
        <v>1</v>
      </c>
      <c r="E270" s="249" t="str">
        <f>IF(D270&gt;0,TEXT(D270/COUNTIF(Başvuru!$F:$F,"&lt;&gt;"&amp;"")*100,"0.0")&amp;"%","-")</f>
        <v>00%</v>
      </c>
      <c r="F270" s="252">
        <f>IF(C270="","",COUNTIFS(Başvuru!$C:$C,C270,Başvuru!$G:$G,"Bireysel Araştırma",Başvuru!$F:$F,"&lt;&gt;"&amp;""))</f>
        <v>1</v>
      </c>
      <c r="G270" s="252">
        <f>IF(C270="","",COUNTIFS(Başvuru!$C:$C,C270,Başvuru!$G:$G,"Uzmanlık Tezi",Başvuru!$F:$F,"&lt;&gt;"&amp;""))</f>
        <v>0</v>
      </c>
      <c r="H270" s="252">
        <f>IF(C270="","",COUNTIFS(Başvuru!$C:$C,C270,Başvuru!$G:$G,"Doktora Tezi",Başvuru!$F:$F,"&lt;&gt;"&amp;""))</f>
        <v>0</v>
      </c>
      <c r="I270" s="252">
        <f>IF(C270="","",COUNTIFS(Başvuru!$C:$C,C270,Başvuru!$G:$G,"Yüksek Lisans Tezi",Başvuru!$F:$F,"&lt;&gt;"&amp;""))</f>
        <v>0</v>
      </c>
      <c r="J270" s="253">
        <f>IF(C270="","",COUNTIFS(Başvuru!$C:$C,C270,Başvuru!$L:$L,"ONAY",Başvuru!$F:$F,"&lt;&gt;"&amp;""))</f>
        <v>0</v>
      </c>
      <c r="K270" s="254">
        <f>IF(C270="","",COUNTIFS(Başvuru!$C:$C,C270,Başvuru!$L:$L,"DÜZELTME",Başvuru!$F:$F,"&lt;&gt;"&amp;""))</f>
        <v>0</v>
      </c>
      <c r="L270" s="255">
        <f>IF(C270="","",COUNTIFS(Başvuru!$C:$C,C270,Başvuru!$L:$L,"KAEK",Başvuru!$F:$F,"&lt;&gt;"&amp;""))</f>
        <v>0</v>
      </c>
      <c r="M270" s="256">
        <f>IF(C270="","",COUNTIFS(Başvuru!$C:$C,C270,Başvuru!$L:$L,"GÖRÜŞ",Başvuru!$F:$F,"&lt;&gt;"&amp;""))</f>
        <v>0</v>
      </c>
      <c r="N270" s="257">
        <f>IF(C270="","",COUNTIFS(Başvuru!$C:$C,C270,Başvuru!$L:$L,"RET",Başvuru!$F:$F,"&lt;&gt;"&amp;""))</f>
        <v>1</v>
      </c>
      <c r="O270" s="258">
        <f>IF(C270="","",COUNTIFS(Başvuru!$C:$C,C270,Başvuru!$L:$L,"KAPSAM DIŞI",Başvuru!$F:$F,"&lt;&gt;"&amp;""))</f>
        <v>0</v>
      </c>
      <c r="P270" s="259">
        <f>IF(C270="","",COUNTIFS(Başvuru!$C:$C,C270,Başvuru!$L:$L,"GERİ ÇEKİLDİ",Başvuru!$F:$F,"&lt;&gt;"&amp;""))</f>
        <v>0</v>
      </c>
      <c r="Q270" s="260" t="s">
        <v>1235</v>
      </c>
      <c r="R270" s="261">
        <f>COUNTIFS(Başvuru!$C:$C,Q270,Başvuru!$F:$F,"&lt;&gt;"&amp;"")</f>
        <v>4</v>
      </c>
      <c r="S270" s="261">
        <f>RANK(R270,$R$6:$R$290,0)+COUNTIF($R$6:R270,R270)-1</f>
        <v>36</v>
      </c>
    </row>
    <row r="271" spans="2:19" ht="15" customHeight="1" x14ac:dyDescent="0.25">
      <c r="B271" s="262">
        <v>266</v>
      </c>
      <c r="C271" s="263" t="str">
        <f>IFERROR(INDEX($Q$6:$Q$290,MATCH(266,$S$6:$S$290,0)),"")</f>
        <v>Prof. Dr. Ömer Alper GÜRLEK</v>
      </c>
      <c r="D271" s="264">
        <f>IF(C271="","",COUNTIFS(Başvuru!$C:$C,C271,Başvuru!$F:$F,"&lt;&gt;"&amp;""))</f>
        <v>1</v>
      </c>
      <c r="E271" s="262" t="str">
        <f>IF(D271&gt;0,TEXT(D271/COUNTIF(Başvuru!$F:$F,"&lt;&gt;"&amp;"")*100,"0.0")&amp;"%","-")</f>
        <v>00%</v>
      </c>
      <c r="F271" s="265">
        <f>IF(C271="","",COUNTIFS(Başvuru!$C:$C,C271,Başvuru!$G:$G,"Bireysel Araştırma",Başvuru!$F:$F,"&lt;&gt;"&amp;""))</f>
        <v>1</v>
      </c>
      <c r="G271" s="265">
        <f>IF(C271="","",COUNTIFS(Başvuru!$C:$C,C271,Başvuru!$G:$G,"Uzmanlık Tezi",Başvuru!$F:$F,"&lt;&gt;"&amp;""))</f>
        <v>0</v>
      </c>
      <c r="H271" s="265">
        <f>IF(C271="","",COUNTIFS(Başvuru!$C:$C,C271,Başvuru!$G:$G,"Doktora Tezi",Başvuru!$F:$F,"&lt;&gt;"&amp;""))</f>
        <v>0</v>
      </c>
      <c r="I271" s="265">
        <f>IF(C271="","",COUNTIFS(Başvuru!$C:$C,C271,Başvuru!$G:$G,"Yüksek Lisans Tezi",Başvuru!$F:$F,"&lt;&gt;"&amp;""))</f>
        <v>0</v>
      </c>
      <c r="J271" s="266">
        <f>IF(C271="","",COUNTIFS(Başvuru!$C:$C,C271,Başvuru!$L:$L,"ONAY",Başvuru!$F:$F,"&lt;&gt;"&amp;""))</f>
        <v>0</v>
      </c>
      <c r="K271" s="267">
        <f>IF(C271="","",COUNTIFS(Başvuru!$C:$C,C271,Başvuru!$L:$L,"DÜZELTME",Başvuru!$F:$F,"&lt;&gt;"&amp;""))</f>
        <v>0</v>
      </c>
      <c r="L271" s="268">
        <f>IF(C271="","",COUNTIFS(Başvuru!$C:$C,C271,Başvuru!$L:$L,"KAEK",Başvuru!$F:$F,"&lt;&gt;"&amp;""))</f>
        <v>0</v>
      </c>
      <c r="M271" s="269">
        <f>IF(C271="","",COUNTIFS(Başvuru!$C:$C,C271,Başvuru!$L:$L,"GÖRÜŞ",Başvuru!$F:$F,"&lt;&gt;"&amp;""))</f>
        <v>0</v>
      </c>
      <c r="N271" s="270">
        <f>IF(C271="","",COUNTIFS(Başvuru!$C:$C,C271,Başvuru!$L:$L,"RET",Başvuru!$F:$F,"&lt;&gt;"&amp;""))</f>
        <v>0</v>
      </c>
      <c r="O271" s="271">
        <f>IF(C271="","",COUNTIFS(Başvuru!$C:$C,C271,Başvuru!$L:$L,"KAPSAM DIŞI",Başvuru!$F:$F,"&lt;&gt;"&amp;""))</f>
        <v>0</v>
      </c>
      <c r="P271" s="272">
        <f>IF(C271="","",COUNTIFS(Başvuru!$C:$C,C271,Başvuru!$L:$L,"GERİ ÇEKİLDİ",Başvuru!$F:$F,"&lt;&gt;"&amp;""))</f>
        <v>0</v>
      </c>
      <c r="Q271" s="260" t="s">
        <v>2274</v>
      </c>
      <c r="R271" s="261">
        <f>COUNTIFS(Başvuru!$C:$C,Q271,Başvuru!$F:$F,"&lt;&gt;"&amp;"")</f>
        <v>1</v>
      </c>
      <c r="S271" s="261">
        <f>RANK(R271,$R$6:$R$290,0)+COUNTIF($R$6:R271,R271)-1</f>
        <v>272</v>
      </c>
    </row>
    <row r="272" spans="2:19" ht="15" customHeight="1" x14ac:dyDescent="0.25">
      <c r="B272" s="249">
        <v>267</v>
      </c>
      <c r="C272" s="250" t="str">
        <f>IFERROR(INDEX($Q$6:$Q$290,MATCH(267,$S$6:$S$290,0)),"")</f>
        <v>Prof. Dr. Ömer UĞUR</v>
      </c>
      <c r="D272" s="251">
        <f>IF(C272="","",COUNTIFS(Başvuru!$C:$C,C272,Başvuru!$F:$F,"&lt;&gt;"&amp;""))</f>
        <v>1</v>
      </c>
      <c r="E272" s="249" t="str">
        <f>IF(D272&gt;0,TEXT(D272/COUNTIF(Başvuru!$F:$F,"&lt;&gt;"&amp;"")*100,"0.0")&amp;"%","-")</f>
        <v>00%</v>
      </c>
      <c r="F272" s="252">
        <f>IF(C272="","",COUNTIFS(Başvuru!$C:$C,C272,Başvuru!$G:$G,"Bireysel Araştırma",Başvuru!$F:$F,"&lt;&gt;"&amp;""))</f>
        <v>1</v>
      </c>
      <c r="G272" s="252">
        <f>IF(C272="","",COUNTIFS(Başvuru!$C:$C,C272,Başvuru!$G:$G,"Uzmanlık Tezi",Başvuru!$F:$F,"&lt;&gt;"&amp;""))</f>
        <v>0</v>
      </c>
      <c r="H272" s="252">
        <f>IF(C272="","",COUNTIFS(Başvuru!$C:$C,C272,Başvuru!$G:$G,"Doktora Tezi",Başvuru!$F:$F,"&lt;&gt;"&amp;""))</f>
        <v>0</v>
      </c>
      <c r="I272" s="252">
        <f>IF(C272="","",COUNTIFS(Başvuru!$C:$C,C272,Başvuru!$G:$G,"Yüksek Lisans Tezi",Başvuru!$F:$F,"&lt;&gt;"&amp;""))</f>
        <v>0</v>
      </c>
      <c r="J272" s="253">
        <f>IF(C272="","",COUNTIFS(Başvuru!$C:$C,C272,Başvuru!$L:$L,"ONAY",Başvuru!$F:$F,"&lt;&gt;"&amp;""))</f>
        <v>1</v>
      </c>
      <c r="K272" s="254">
        <f>IF(C272="","",COUNTIFS(Başvuru!$C:$C,C272,Başvuru!$L:$L,"DÜZELTME",Başvuru!$F:$F,"&lt;&gt;"&amp;""))</f>
        <v>0</v>
      </c>
      <c r="L272" s="255">
        <f>IF(C272="","",COUNTIFS(Başvuru!$C:$C,C272,Başvuru!$L:$L,"KAEK",Başvuru!$F:$F,"&lt;&gt;"&amp;""))</f>
        <v>0</v>
      </c>
      <c r="M272" s="256">
        <f>IF(C272="","",COUNTIFS(Başvuru!$C:$C,C272,Başvuru!$L:$L,"GÖRÜŞ",Başvuru!$F:$F,"&lt;&gt;"&amp;""))</f>
        <v>0</v>
      </c>
      <c r="N272" s="257">
        <f>IF(C272="","",COUNTIFS(Başvuru!$C:$C,C272,Başvuru!$L:$L,"RET",Başvuru!$F:$F,"&lt;&gt;"&amp;""))</f>
        <v>0</v>
      </c>
      <c r="O272" s="258">
        <f>IF(C272="","",COUNTIFS(Başvuru!$C:$C,C272,Başvuru!$L:$L,"KAPSAM DIŞI",Başvuru!$F:$F,"&lt;&gt;"&amp;""))</f>
        <v>0</v>
      </c>
      <c r="P272" s="259">
        <f>IF(C272="","",COUNTIFS(Başvuru!$C:$C,C272,Başvuru!$L:$L,"GERİ ÇEKİLDİ",Başvuru!$F:$F,"&lt;&gt;"&amp;""))</f>
        <v>0</v>
      </c>
      <c r="Q272" s="260" t="s">
        <v>531</v>
      </c>
      <c r="R272" s="261">
        <f>COUNTIFS(Başvuru!$C:$C,Q272,Başvuru!$F:$F,"&lt;&gt;"&amp;"")</f>
        <v>1</v>
      </c>
      <c r="S272" s="261">
        <f>RANK(R272,$R$6:$R$290,0)+COUNTIF($R$6:R272,R272)-1</f>
        <v>273</v>
      </c>
    </row>
    <row r="273" spans="2:19" ht="15" customHeight="1" x14ac:dyDescent="0.25">
      <c r="B273" s="262">
        <v>268</v>
      </c>
      <c r="C273" s="263" t="str">
        <f>IFERROR(INDEX($Q$6:$Q$290,MATCH(268,$S$6:$S$290,0)),"")</f>
        <v>Prof. Dr. Ömrüm UZUN</v>
      </c>
      <c r="D273" s="264">
        <f>IF(C273="","",COUNTIFS(Başvuru!$C:$C,C273,Başvuru!$F:$F,"&lt;&gt;"&amp;""))</f>
        <v>1</v>
      </c>
      <c r="E273" s="262" t="str">
        <f>IF(D273&gt;0,TEXT(D273/COUNTIF(Başvuru!$F:$F,"&lt;&gt;"&amp;"")*100,"0.0")&amp;"%","-")</f>
        <v>00%</v>
      </c>
      <c r="F273" s="265">
        <f>IF(C273="","",COUNTIFS(Başvuru!$C:$C,C273,Başvuru!$G:$G,"Bireysel Araştırma",Başvuru!$F:$F,"&lt;&gt;"&amp;""))</f>
        <v>1</v>
      </c>
      <c r="G273" s="265">
        <f>IF(C273="","",COUNTIFS(Başvuru!$C:$C,C273,Başvuru!$G:$G,"Uzmanlık Tezi",Başvuru!$F:$F,"&lt;&gt;"&amp;""))</f>
        <v>0</v>
      </c>
      <c r="H273" s="265">
        <f>IF(C273="","",COUNTIFS(Başvuru!$C:$C,C273,Başvuru!$G:$G,"Doktora Tezi",Başvuru!$F:$F,"&lt;&gt;"&amp;""))</f>
        <v>0</v>
      </c>
      <c r="I273" s="265">
        <f>IF(C273="","",COUNTIFS(Başvuru!$C:$C,C273,Başvuru!$G:$G,"Yüksek Lisans Tezi",Başvuru!$F:$F,"&lt;&gt;"&amp;""))</f>
        <v>0</v>
      </c>
      <c r="J273" s="266">
        <f>IF(C273="","",COUNTIFS(Başvuru!$C:$C,C273,Başvuru!$L:$L,"ONAY",Başvuru!$F:$F,"&lt;&gt;"&amp;""))</f>
        <v>1</v>
      </c>
      <c r="K273" s="267">
        <f>IF(C273="","",COUNTIFS(Başvuru!$C:$C,C273,Başvuru!$L:$L,"DÜZELTME",Başvuru!$F:$F,"&lt;&gt;"&amp;""))</f>
        <v>0</v>
      </c>
      <c r="L273" s="268">
        <f>IF(C273="","",COUNTIFS(Başvuru!$C:$C,C273,Başvuru!$L:$L,"KAEK",Başvuru!$F:$F,"&lt;&gt;"&amp;""))</f>
        <v>0</v>
      </c>
      <c r="M273" s="269">
        <f>IF(C273="","",COUNTIFS(Başvuru!$C:$C,C273,Başvuru!$L:$L,"GÖRÜŞ",Başvuru!$F:$F,"&lt;&gt;"&amp;""))</f>
        <v>0</v>
      </c>
      <c r="N273" s="270">
        <f>IF(C273="","",COUNTIFS(Başvuru!$C:$C,C273,Başvuru!$L:$L,"RET",Başvuru!$F:$F,"&lt;&gt;"&amp;""))</f>
        <v>0</v>
      </c>
      <c r="O273" s="271">
        <f>IF(C273="","",COUNTIFS(Başvuru!$C:$C,C273,Başvuru!$L:$L,"KAPSAM DIŞI",Başvuru!$F:$F,"&lt;&gt;"&amp;""))</f>
        <v>0</v>
      </c>
      <c r="P273" s="272">
        <f>IF(C273="","",COUNTIFS(Başvuru!$C:$C,C273,Başvuru!$L:$L,"GERİ ÇEKİLDİ",Başvuru!$F:$F,"&lt;&gt;"&amp;""))</f>
        <v>0</v>
      </c>
      <c r="Q273" s="260" t="s">
        <v>2106</v>
      </c>
      <c r="R273" s="261">
        <f>COUNTIFS(Başvuru!$C:$C,Q273,Başvuru!$F:$F,"&lt;&gt;"&amp;"")</f>
        <v>4</v>
      </c>
      <c r="S273" s="261">
        <f>RANK(R273,$R$6:$R$290,0)+COUNTIF($R$6:R273,R273)-1</f>
        <v>37</v>
      </c>
    </row>
    <row r="274" spans="2:19" ht="15" customHeight="1" x14ac:dyDescent="0.25">
      <c r="B274" s="249">
        <v>269</v>
      </c>
      <c r="C274" s="250" t="str">
        <f>IFERROR(INDEX($Q$6:$Q$290,MATCH(269,$S$6:$S$290,0)),"")</f>
        <v>Prof. Dr. Ömür ÇAĞLAR</v>
      </c>
      <c r="D274" s="251">
        <f>IF(C274="","",COUNTIFS(Başvuru!$C:$C,C274,Başvuru!$F:$F,"&lt;&gt;"&amp;""))</f>
        <v>1</v>
      </c>
      <c r="E274" s="249" t="str">
        <f>IF(D274&gt;0,TEXT(D274/COUNTIF(Başvuru!$F:$F,"&lt;&gt;"&amp;"")*100,"0.0")&amp;"%","-")</f>
        <v>00%</v>
      </c>
      <c r="F274" s="252">
        <f>IF(C274="","",COUNTIFS(Başvuru!$C:$C,C274,Başvuru!$G:$G,"Bireysel Araştırma",Başvuru!$F:$F,"&lt;&gt;"&amp;""))</f>
        <v>1</v>
      </c>
      <c r="G274" s="252">
        <f>IF(C274="","",COUNTIFS(Başvuru!$C:$C,C274,Başvuru!$G:$G,"Uzmanlık Tezi",Başvuru!$F:$F,"&lt;&gt;"&amp;""))</f>
        <v>0</v>
      </c>
      <c r="H274" s="252">
        <f>IF(C274="","",COUNTIFS(Başvuru!$C:$C,C274,Başvuru!$G:$G,"Doktora Tezi",Başvuru!$F:$F,"&lt;&gt;"&amp;""))</f>
        <v>0</v>
      </c>
      <c r="I274" s="252">
        <f>IF(C274="","",COUNTIFS(Başvuru!$C:$C,C274,Başvuru!$G:$G,"Yüksek Lisans Tezi",Başvuru!$F:$F,"&lt;&gt;"&amp;""))</f>
        <v>0</v>
      </c>
      <c r="J274" s="253">
        <f>IF(C274="","",COUNTIFS(Başvuru!$C:$C,C274,Başvuru!$L:$L,"ONAY",Başvuru!$F:$F,"&lt;&gt;"&amp;""))</f>
        <v>1</v>
      </c>
      <c r="K274" s="254">
        <f>IF(C274="","",COUNTIFS(Başvuru!$C:$C,C274,Başvuru!$L:$L,"DÜZELTME",Başvuru!$F:$F,"&lt;&gt;"&amp;""))</f>
        <v>0</v>
      </c>
      <c r="L274" s="255">
        <f>IF(C274="","",COUNTIFS(Başvuru!$C:$C,C274,Başvuru!$L:$L,"KAEK",Başvuru!$F:$F,"&lt;&gt;"&amp;""))</f>
        <v>0</v>
      </c>
      <c r="M274" s="256">
        <f>IF(C274="","",COUNTIFS(Başvuru!$C:$C,C274,Başvuru!$L:$L,"GÖRÜŞ",Başvuru!$F:$F,"&lt;&gt;"&amp;""))</f>
        <v>0</v>
      </c>
      <c r="N274" s="257">
        <f>IF(C274="","",COUNTIFS(Başvuru!$C:$C,C274,Başvuru!$L:$L,"RET",Başvuru!$F:$F,"&lt;&gt;"&amp;""))</f>
        <v>0</v>
      </c>
      <c r="O274" s="258">
        <f>IF(C274="","",COUNTIFS(Başvuru!$C:$C,C274,Başvuru!$L:$L,"KAPSAM DIŞI",Başvuru!$F:$F,"&lt;&gt;"&amp;""))</f>
        <v>0</v>
      </c>
      <c r="P274" s="259">
        <f>IF(C274="","",COUNTIFS(Başvuru!$C:$C,C274,Başvuru!$L:$L,"GERİ ÇEKİLDİ",Başvuru!$F:$F,"&lt;&gt;"&amp;""))</f>
        <v>0</v>
      </c>
      <c r="Q274" s="260" t="s">
        <v>1441</v>
      </c>
      <c r="R274" s="261">
        <f>COUNTIFS(Başvuru!$C:$C,Q274,Başvuru!$F:$F,"&lt;&gt;"&amp;"")</f>
        <v>2</v>
      </c>
      <c r="S274" s="261">
        <f>RANK(R274,$R$6:$R$290,0)+COUNTIF($R$6:R274,R274)-1</f>
        <v>115</v>
      </c>
    </row>
    <row r="275" spans="2:19" ht="15" customHeight="1" x14ac:dyDescent="0.25">
      <c r="B275" s="262">
        <v>270</v>
      </c>
      <c r="C275" s="263" t="str">
        <f>IFERROR(INDEX($Q$6:$Q$290,MATCH(270,$S$6:$S$290,0)),"")</f>
        <v>Prof. Dr. Ömür ÇELİKBIÇAK</v>
      </c>
      <c r="D275" s="264">
        <f>IF(C275="","",COUNTIFS(Başvuru!$C:$C,C275,Başvuru!$F:$F,"&lt;&gt;"&amp;""))</f>
        <v>1</v>
      </c>
      <c r="E275" s="262" t="str">
        <f>IF(D275&gt;0,TEXT(D275/COUNTIF(Başvuru!$F:$F,"&lt;&gt;"&amp;"")*100,"0.0")&amp;"%","-")</f>
        <v>00%</v>
      </c>
      <c r="F275" s="265">
        <f>IF(C275="","",COUNTIFS(Başvuru!$C:$C,C275,Başvuru!$G:$G,"Bireysel Araştırma",Başvuru!$F:$F,"&lt;&gt;"&amp;""))</f>
        <v>0</v>
      </c>
      <c r="G275" s="265">
        <f>IF(C275="","",COUNTIFS(Başvuru!$C:$C,C275,Başvuru!$G:$G,"Uzmanlık Tezi",Başvuru!$F:$F,"&lt;&gt;"&amp;""))</f>
        <v>0</v>
      </c>
      <c r="H275" s="265">
        <f>IF(C275="","",COUNTIFS(Başvuru!$C:$C,C275,Başvuru!$G:$G,"Doktora Tezi",Başvuru!$F:$F,"&lt;&gt;"&amp;""))</f>
        <v>1</v>
      </c>
      <c r="I275" s="265">
        <f>IF(C275="","",COUNTIFS(Başvuru!$C:$C,C275,Başvuru!$G:$G,"Yüksek Lisans Tezi",Başvuru!$F:$F,"&lt;&gt;"&amp;""))</f>
        <v>0</v>
      </c>
      <c r="J275" s="266">
        <f>IF(C275="","",COUNTIFS(Başvuru!$C:$C,C275,Başvuru!$L:$L,"ONAY",Başvuru!$F:$F,"&lt;&gt;"&amp;""))</f>
        <v>0</v>
      </c>
      <c r="K275" s="267">
        <f>IF(C275="","",COUNTIFS(Başvuru!$C:$C,C275,Başvuru!$L:$L,"DÜZELTME",Başvuru!$F:$F,"&lt;&gt;"&amp;""))</f>
        <v>1</v>
      </c>
      <c r="L275" s="268">
        <f>IF(C275="","",COUNTIFS(Başvuru!$C:$C,C275,Başvuru!$L:$L,"KAEK",Başvuru!$F:$F,"&lt;&gt;"&amp;""))</f>
        <v>0</v>
      </c>
      <c r="M275" s="269">
        <f>IF(C275="","",COUNTIFS(Başvuru!$C:$C,C275,Başvuru!$L:$L,"GÖRÜŞ",Başvuru!$F:$F,"&lt;&gt;"&amp;""))</f>
        <v>0</v>
      </c>
      <c r="N275" s="270">
        <f>IF(C275="","",COUNTIFS(Başvuru!$C:$C,C275,Başvuru!$L:$L,"RET",Başvuru!$F:$F,"&lt;&gt;"&amp;""))</f>
        <v>0</v>
      </c>
      <c r="O275" s="271">
        <f>IF(C275="","",COUNTIFS(Başvuru!$C:$C,C275,Başvuru!$L:$L,"KAPSAM DIŞI",Başvuru!$F:$F,"&lt;&gt;"&amp;""))</f>
        <v>0</v>
      </c>
      <c r="P275" s="272">
        <f>IF(C275="","",COUNTIFS(Başvuru!$C:$C,C275,Başvuru!$L:$L,"GERİ ÇEKİLDİ",Başvuru!$F:$F,"&lt;&gt;"&amp;""))</f>
        <v>0</v>
      </c>
      <c r="Q275" s="260" t="s">
        <v>1997</v>
      </c>
      <c r="R275" s="261">
        <f>COUNTIFS(Başvuru!$C:$C,Q275,Başvuru!$F:$F,"&lt;&gt;"&amp;"")</f>
        <v>1</v>
      </c>
      <c r="S275" s="261">
        <f>RANK(R275,$R$6:$R$290,0)+COUNTIF($R$6:R275,R275)-1</f>
        <v>274</v>
      </c>
    </row>
    <row r="276" spans="2:19" ht="15" customHeight="1" x14ac:dyDescent="0.25">
      <c r="B276" s="249">
        <v>271</v>
      </c>
      <c r="C276" s="250" t="str">
        <f>IFERROR(INDEX($Q$6:$Q$290,MATCH(271,$S$6:$S$290,0)),"")</f>
        <v>Prof. Dr. Özlem BOYBEYİ</v>
      </c>
      <c r="D276" s="251">
        <f>IF(C276="","",COUNTIFS(Başvuru!$C:$C,C276,Başvuru!$F:$F,"&lt;&gt;"&amp;""))</f>
        <v>1</v>
      </c>
      <c r="E276" s="249" t="str">
        <f>IF(D276&gt;0,TEXT(D276/COUNTIF(Başvuru!$F:$F,"&lt;&gt;"&amp;"")*100,"0.0")&amp;"%","-")</f>
        <v>00%</v>
      </c>
      <c r="F276" s="252">
        <f>IF(C276="","",COUNTIFS(Başvuru!$C:$C,C276,Başvuru!$G:$G,"Bireysel Araştırma",Başvuru!$F:$F,"&lt;&gt;"&amp;""))</f>
        <v>1</v>
      </c>
      <c r="G276" s="252">
        <f>IF(C276="","",COUNTIFS(Başvuru!$C:$C,C276,Başvuru!$G:$G,"Uzmanlık Tezi",Başvuru!$F:$F,"&lt;&gt;"&amp;""))</f>
        <v>0</v>
      </c>
      <c r="H276" s="252">
        <f>IF(C276="","",COUNTIFS(Başvuru!$C:$C,C276,Başvuru!$G:$G,"Doktora Tezi",Başvuru!$F:$F,"&lt;&gt;"&amp;""))</f>
        <v>0</v>
      </c>
      <c r="I276" s="252">
        <f>IF(C276="","",COUNTIFS(Başvuru!$C:$C,C276,Başvuru!$G:$G,"Yüksek Lisans Tezi",Başvuru!$F:$F,"&lt;&gt;"&amp;""))</f>
        <v>0</v>
      </c>
      <c r="J276" s="253">
        <f>IF(C276="","",COUNTIFS(Başvuru!$C:$C,C276,Başvuru!$L:$L,"ONAY",Başvuru!$F:$F,"&lt;&gt;"&amp;""))</f>
        <v>0</v>
      </c>
      <c r="K276" s="254">
        <f>IF(C276="","",COUNTIFS(Başvuru!$C:$C,C276,Başvuru!$L:$L,"DÜZELTME",Başvuru!$F:$F,"&lt;&gt;"&amp;""))</f>
        <v>1</v>
      </c>
      <c r="L276" s="255">
        <f>IF(C276="","",COUNTIFS(Başvuru!$C:$C,C276,Başvuru!$L:$L,"KAEK",Başvuru!$F:$F,"&lt;&gt;"&amp;""))</f>
        <v>0</v>
      </c>
      <c r="M276" s="256">
        <f>IF(C276="","",COUNTIFS(Başvuru!$C:$C,C276,Başvuru!$L:$L,"GÖRÜŞ",Başvuru!$F:$F,"&lt;&gt;"&amp;""))</f>
        <v>0</v>
      </c>
      <c r="N276" s="257">
        <f>IF(C276="","",COUNTIFS(Başvuru!$C:$C,C276,Başvuru!$L:$L,"RET",Başvuru!$F:$F,"&lt;&gt;"&amp;""))</f>
        <v>0</v>
      </c>
      <c r="O276" s="258">
        <f>IF(C276="","",COUNTIFS(Başvuru!$C:$C,C276,Başvuru!$L:$L,"KAPSAM DIŞI",Başvuru!$F:$F,"&lt;&gt;"&amp;""))</f>
        <v>0</v>
      </c>
      <c r="P276" s="259">
        <f>IF(C276="","",COUNTIFS(Başvuru!$C:$C,C276,Başvuru!$L:$L,"GERİ ÇEKİLDİ",Başvuru!$F:$F,"&lt;&gt;"&amp;""))</f>
        <v>0</v>
      </c>
      <c r="Q276" s="260" t="s">
        <v>1195</v>
      </c>
      <c r="R276" s="261">
        <f>COUNTIFS(Başvuru!$C:$C,Q276,Başvuru!$F:$F,"&lt;&gt;"&amp;"")</f>
        <v>1</v>
      </c>
      <c r="S276" s="261">
        <f>RANK(R276,$R$6:$R$290,0)+COUNTIF($R$6:R276,R276)-1</f>
        <v>275</v>
      </c>
    </row>
    <row r="277" spans="2:19" ht="15" customHeight="1" x14ac:dyDescent="0.25">
      <c r="B277" s="262">
        <v>272</v>
      </c>
      <c r="C277" s="263" t="str">
        <f>IFERROR(INDEX($Q$6:$Q$290,MATCH(272,$S$6:$S$290,0)),"")</f>
        <v>Prof. Dr. Ülfet Pınar ERKEKOĞLU</v>
      </c>
      <c r="D277" s="264">
        <f>IF(C277="","",COUNTIFS(Başvuru!$C:$C,C277,Başvuru!$F:$F,"&lt;&gt;"&amp;""))</f>
        <v>1</v>
      </c>
      <c r="E277" s="262" t="str">
        <f>IF(D277&gt;0,TEXT(D277/COUNTIF(Başvuru!$F:$F,"&lt;&gt;"&amp;"")*100,"0.0")&amp;"%","-")</f>
        <v>00%</v>
      </c>
      <c r="F277" s="265">
        <f>IF(C277="","",COUNTIFS(Başvuru!$C:$C,C277,Başvuru!$G:$G,"Bireysel Araştırma",Başvuru!$F:$F,"&lt;&gt;"&amp;""))</f>
        <v>1</v>
      </c>
      <c r="G277" s="265">
        <f>IF(C277="","",COUNTIFS(Başvuru!$C:$C,C277,Başvuru!$G:$G,"Uzmanlık Tezi",Başvuru!$F:$F,"&lt;&gt;"&amp;""))</f>
        <v>0</v>
      </c>
      <c r="H277" s="265">
        <f>IF(C277="","",COUNTIFS(Başvuru!$C:$C,C277,Başvuru!$G:$G,"Doktora Tezi",Başvuru!$F:$F,"&lt;&gt;"&amp;""))</f>
        <v>0</v>
      </c>
      <c r="I277" s="265">
        <f>IF(C277="","",COUNTIFS(Başvuru!$C:$C,C277,Başvuru!$G:$G,"Yüksek Lisans Tezi",Başvuru!$F:$F,"&lt;&gt;"&amp;""))</f>
        <v>0</v>
      </c>
      <c r="J277" s="266">
        <f>IF(C277="","",COUNTIFS(Başvuru!$C:$C,C277,Başvuru!$L:$L,"ONAY",Başvuru!$F:$F,"&lt;&gt;"&amp;""))</f>
        <v>0</v>
      </c>
      <c r="K277" s="267">
        <f>IF(C277="","",COUNTIFS(Başvuru!$C:$C,C277,Başvuru!$L:$L,"DÜZELTME",Başvuru!$F:$F,"&lt;&gt;"&amp;""))</f>
        <v>0</v>
      </c>
      <c r="L277" s="268">
        <f>IF(C277="","",COUNTIFS(Başvuru!$C:$C,C277,Başvuru!$L:$L,"KAEK",Başvuru!$F:$F,"&lt;&gt;"&amp;""))</f>
        <v>0</v>
      </c>
      <c r="M277" s="269">
        <f>IF(C277="","",COUNTIFS(Başvuru!$C:$C,C277,Başvuru!$L:$L,"GÖRÜŞ",Başvuru!$F:$F,"&lt;&gt;"&amp;""))</f>
        <v>0</v>
      </c>
      <c r="N277" s="270">
        <f>IF(C277="","",COUNTIFS(Başvuru!$C:$C,C277,Başvuru!$L:$L,"RET",Başvuru!$F:$F,"&lt;&gt;"&amp;""))</f>
        <v>0</v>
      </c>
      <c r="O277" s="271">
        <f>IF(C277="","",COUNTIFS(Başvuru!$C:$C,C277,Başvuru!$L:$L,"KAPSAM DIŞI",Başvuru!$F:$F,"&lt;&gt;"&amp;""))</f>
        <v>0</v>
      </c>
      <c r="P277" s="272">
        <f>IF(C277="","",COUNTIFS(Başvuru!$C:$C,C277,Başvuru!$L:$L,"GERİ ÇEKİLDİ",Başvuru!$F:$F,"&lt;&gt;"&amp;""))</f>
        <v>0</v>
      </c>
      <c r="Q277" s="260" t="s">
        <v>2259</v>
      </c>
      <c r="R277" s="261">
        <f>COUNTIFS(Başvuru!$C:$C,Q277,Başvuru!$F:$F,"&lt;&gt;"&amp;"")</f>
        <v>1</v>
      </c>
      <c r="S277" s="261">
        <f>RANK(R277,$R$6:$R$290,0)+COUNTIF($R$6:R277,R277)-1</f>
        <v>276</v>
      </c>
    </row>
    <row r="278" spans="2:19" ht="15" customHeight="1" x14ac:dyDescent="0.25">
      <c r="B278" s="249">
        <v>273</v>
      </c>
      <c r="C278" s="250" t="str">
        <f>IFERROR(INDEX($Q$6:$Q$290,MATCH(273,$S$6:$S$290,0)),"")</f>
        <v>Prof. Dr. Ülkü ÜNDEĞER BUCURGAT</v>
      </c>
      <c r="D278" s="251">
        <f>IF(C278="","",COUNTIFS(Başvuru!$C:$C,C278,Başvuru!$F:$F,"&lt;&gt;"&amp;""))</f>
        <v>1</v>
      </c>
      <c r="E278" s="249" t="str">
        <f>IF(D278&gt;0,TEXT(D278/COUNTIF(Başvuru!$F:$F,"&lt;&gt;"&amp;"")*100,"0.0")&amp;"%","-")</f>
        <v>00%</v>
      </c>
      <c r="F278" s="252">
        <f>IF(C278="","",COUNTIFS(Başvuru!$C:$C,C278,Başvuru!$G:$G,"Bireysel Araştırma",Başvuru!$F:$F,"&lt;&gt;"&amp;""))</f>
        <v>0</v>
      </c>
      <c r="G278" s="252">
        <f>IF(C278="","",COUNTIFS(Başvuru!$C:$C,C278,Başvuru!$G:$G,"Uzmanlık Tezi",Başvuru!$F:$F,"&lt;&gt;"&amp;""))</f>
        <v>0</v>
      </c>
      <c r="H278" s="252">
        <f>IF(C278="","",COUNTIFS(Başvuru!$C:$C,C278,Başvuru!$G:$G,"Doktora Tezi",Başvuru!$F:$F,"&lt;&gt;"&amp;""))</f>
        <v>1</v>
      </c>
      <c r="I278" s="252">
        <f>IF(C278="","",COUNTIFS(Başvuru!$C:$C,C278,Başvuru!$G:$G,"Yüksek Lisans Tezi",Başvuru!$F:$F,"&lt;&gt;"&amp;""))</f>
        <v>0</v>
      </c>
      <c r="J278" s="253">
        <f>IF(C278="","",COUNTIFS(Başvuru!$C:$C,C278,Başvuru!$L:$L,"ONAY",Başvuru!$F:$F,"&lt;&gt;"&amp;""))</f>
        <v>0</v>
      </c>
      <c r="K278" s="254">
        <f>IF(C278="","",COUNTIFS(Başvuru!$C:$C,C278,Başvuru!$L:$L,"DÜZELTME",Başvuru!$F:$F,"&lt;&gt;"&amp;""))</f>
        <v>1</v>
      </c>
      <c r="L278" s="255">
        <f>IF(C278="","",COUNTIFS(Başvuru!$C:$C,C278,Başvuru!$L:$L,"KAEK",Başvuru!$F:$F,"&lt;&gt;"&amp;""))</f>
        <v>0</v>
      </c>
      <c r="M278" s="256">
        <f>IF(C278="","",COUNTIFS(Başvuru!$C:$C,C278,Başvuru!$L:$L,"GÖRÜŞ",Başvuru!$F:$F,"&lt;&gt;"&amp;""))</f>
        <v>0</v>
      </c>
      <c r="N278" s="257">
        <f>IF(C278="","",COUNTIFS(Başvuru!$C:$C,C278,Başvuru!$L:$L,"RET",Başvuru!$F:$F,"&lt;&gt;"&amp;""))</f>
        <v>0</v>
      </c>
      <c r="O278" s="258">
        <f>IF(C278="","",COUNTIFS(Başvuru!$C:$C,C278,Başvuru!$L:$L,"KAPSAM DIŞI",Başvuru!$F:$F,"&lt;&gt;"&amp;""))</f>
        <v>0</v>
      </c>
      <c r="P278" s="259">
        <f>IF(C278="","",COUNTIFS(Başvuru!$C:$C,C278,Başvuru!$L:$L,"GERİ ÇEKİLDİ",Başvuru!$F:$F,"&lt;&gt;"&amp;""))</f>
        <v>0</v>
      </c>
      <c r="Q278" s="260" t="s">
        <v>2045</v>
      </c>
      <c r="R278" s="261">
        <f>COUNTIFS(Başvuru!$C:$C,Q278,Başvuru!$F:$F,"&lt;&gt;"&amp;"")</f>
        <v>1</v>
      </c>
      <c r="S278" s="261">
        <f>RANK(R278,$R$6:$R$290,0)+COUNTIF($R$6:R278,R278)-1</f>
        <v>277</v>
      </c>
    </row>
    <row r="279" spans="2:19" ht="15" customHeight="1" x14ac:dyDescent="0.25">
      <c r="B279" s="262">
        <v>274</v>
      </c>
      <c r="C279" s="263" t="str">
        <f>IFERROR(INDEX($Q$6:$Q$290,MATCH(274,$S$6:$S$290,0)),"")</f>
        <v>Prof. Dr. İncilay LAY</v>
      </c>
      <c r="D279" s="264">
        <f>IF(C279="","",COUNTIFS(Başvuru!$C:$C,C279,Başvuru!$F:$F,"&lt;&gt;"&amp;""))</f>
        <v>1</v>
      </c>
      <c r="E279" s="262" t="str">
        <f>IF(D279&gt;0,TEXT(D279/COUNTIF(Başvuru!$F:$F,"&lt;&gt;"&amp;"")*100,"0.0")&amp;"%","-")</f>
        <v>00%</v>
      </c>
      <c r="F279" s="265">
        <f>IF(C279="","",COUNTIFS(Başvuru!$C:$C,C279,Başvuru!$G:$G,"Bireysel Araştırma",Başvuru!$F:$F,"&lt;&gt;"&amp;""))</f>
        <v>0</v>
      </c>
      <c r="G279" s="265">
        <f>IF(C279="","",COUNTIFS(Başvuru!$C:$C,C279,Başvuru!$G:$G,"Uzmanlık Tezi",Başvuru!$F:$F,"&lt;&gt;"&amp;""))</f>
        <v>1</v>
      </c>
      <c r="H279" s="265">
        <f>IF(C279="","",COUNTIFS(Başvuru!$C:$C,C279,Başvuru!$G:$G,"Doktora Tezi",Başvuru!$F:$F,"&lt;&gt;"&amp;""))</f>
        <v>0</v>
      </c>
      <c r="I279" s="265">
        <f>IF(C279="","",COUNTIFS(Başvuru!$C:$C,C279,Başvuru!$G:$G,"Yüksek Lisans Tezi",Başvuru!$F:$F,"&lt;&gt;"&amp;""))</f>
        <v>0</v>
      </c>
      <c r="J279" s="266">
        <f>IF(C279="","",COUNTIFS(Başvuru!$C:$C,C279,Başvuru!$L:$L,"ONAY",Başvuru!$F:$F,"&lt;&gt;"&amp;""))</f>
        <v>0</v>
      </c>
      <c r="K279" s="267">
        <f>IF(C279="","",COUNTIFS(Başvuru!$C:$C,C279,Başvuru!$L:$L,"DÜZELTME",Başvuru!$F:$F,"&lt;&gt;"&amp;""))</f>
        <v>1</v>
      </c>
      <c r="L279" s="268">
        <f>IF(C279="","",COUNTIFS(Başvuru!$C:$C,C279,Başvuru!$L:$L,"KAEK",Başvuru!$F:$F,"&lt;&gt;"&amp;""))</f>
        <v>0</v>
      </c>
      <c r="M279" s="269">
        <f>IF(C279="","",COUNTIFS(Başvuru!$C:$C,C279,Başvuru!$L:$L,"GÖRÜŞ",Başvuru!$F:$F,"&lt;&gt;"&amp;""))</f>
        <v>0</v>
      </c>
      <c r="N279" s="270">
        <f>IF(C279="","",COUNTIFS(Başvuru!$C:$C,C279,Başvuru!$L:$L,"RET",Başvuru!$F:$F,"&lt;&gt;"&amp;""))</f>
        <v>0</v>
      </c>
      <c r="O279" s="271">
        <f>IF(C279="","",COUNTIFS(Başvuru!$C:$C,C279,Başvuru!$L:$L,"KAPSAM DIŞI",Başvuru!$F:$F,"&lt;&gt;"&amp;""))</f>
        <v>0</v>
      </c>
      <c r="P279" s="272">
        <f>IF(C279="","",COUNTIFS(Başvuru!$C:$C,C279,Başvuru!$L:$L,"GERİ ÇEKİLDİ",Başvuru!$F:$F,"&lt;&gt;"&amp;""))</f>
        <v>0</v>
      </c>
      <c r="Q279" s="260" t="s">
        <v>1275</v>
      </c>
      <c r="R279" s="261">
        <f>COUNTIFS(Başvuru!$C:$C,Q279,Başvuru!$F:$F,"&lt;&gt;"&amp;"")</f>
        <v>5</v>
      </c>
      <c r="S279" s="261">
        <f>RANK(R279,$R$6:$R$290,0)+COUNTIF($R$6:R279,R279)-1</f>
        <v>21</v>
      </c>
    </row>
    <row r="280" spans="2:19" ht="15" customHeight="1" x14ac:dyDescent="0.25">
      <c r="B280" s="249">
        <v>275</v>
      </c>
      <c r="C280" s="250" t="str">
        <f>IFERROR(INDEX($Q$6:$Q$290,MATCH(275,$S$6:$S$290,0)),"")</f>
        <v>Prof. Dr. Şehnaz ALP</v>
      </c>
      <c r="D280" s="251">
        <f>IF(C280="","",COUNTIFS(Başvuru!$C:$C,C280,Başvuru!$F:$F,"&lt;&gt;"&amp;""))</f>
        <v>1</v>
      </c>
      <c r="E280" s="249" t="str">
        <f>IF(D280&gt;0,TEXT(D280/COUNTIF(Başvuru!$F:$F,"&lt;&gt;"&amp;"")*100,"0.0")&amp;"%","-")</f>
        <v>00%</v>
      </c>
      <c r="F280" s="252">
        <f>IF(C280="","",COUNTIFS(Başvuru!$C:$C,C280,Başvuru!$G:$G,"Bireysel Araştırma",Başvuru!$F:$F,"&lt;&gt;"&amp;""))</f>
        <v>0</v>
      </c>
      <c r="G280" s="252">
        <f>IF(C280="","",COUNTIFS(Başvuru!$C:$C,C280,Başvuru!$G:$G,"Uzmanlık Tezi",Başvuru!$F:$F,"&lt;&gt;"&amp;""))</f>
        <v>1</v>
      </c>
      <c r="H280" s="252">
        <f>IF(C280="","",COUNTIFS(Başvuru!$C:$C,C280,Başvuru!$G:$G,"Doktora Tezi",Başvuru!$F:$F,"&lt;&gt;"&amp;""))</f>
        <v>0</v>
      </c>
      <c r="I280" s="252">
        <f>IF(C280="","",COUNTIFS(Başvuru!$C:$C,C280,Başvuru!$G:$G,"Yüksek Lisans Tezi",Başvuru!$F:$F,"&lt;&gt;"&amp;""))</f>
        <v>0</v>
      </c>
      <c r="J280" s="253">
        <f>IF(C280="","",COUNTIFS(Başvuru!$C:$C,C280,Başvuru!$L:$L,"ONAY",Başvuru!$F:$F,"&lt;&gt;"&amp;""))</f>
        <v>1</v>
      </c>
      <c r="K280" s="254">
        <f>IF(C280="","",COUNTIFS(Başvuru!$C:$C,C280,Başvuru!$L:$L,"DÜZELTME",Başvuru!$F:$F,"&lt;&gt;"&amp;""))</f>
        <v>0</v>
      </c>
      <c r="L280" s="255">
        <f>IF(C280="","",COUNTIFS(Başvuru!$C:$C,C280,Başvuru!$L:$L,"KAEK",Başvuru!$F:$F,"&lt;&gt;"&amp;""))</f>
        <v>0</v>
      </c>
      <c r="M280" s="256">
        <f>IF(C280="","",COUNTIFS(Başvuru!$C:$C,C280,Başvuru!$L:$L,"GÖRÜŞ",Başvuru!$F:$F,"&lt;&gt;"&amp;""))</f>
        <v>0</v>
      </c>
      <c r="N280" s="257">
        <f>IF(C280="","",COUNTIFS(Başvuru!$C:$C,C280,Başvuru!$L:$L,"RET",Başvuru!$F:$F,"&lt;&gt;"&amp;""))</f>
        <v>0</v>
      </c>
      <c r="O280" s="258">
        <f>IF(C280="","",COUNTIFS(Başvuru!$C:$C,C280,Başvuru!$L:$L,"KAPSAM DIŞI",Başvuru!$F:$F,"&lt;&gt;"&amp;""))</f>
        <v>0</v>
      </c>
      <c r="P280" s="259">
        <f>IF(C280="","",COUNTIFS(Başvuru!$C:$C,C280,Başvuru!$L:$L,"GERİ ÇEKİLDİ",Başvuru!$F:$F,"&lt;&gt;"&amp;""))</f>
        <v>0</v>
      </c>
      <c r="Q280" s="260" t="s">
        <v>651</v>
      </c>
      <c r="R280" s="261">
        <f>COUNTIFS(Başvuru!$C:$C,Q280,Başvuru!$F:$F,"&lt;&gt;"&amp;"")</f>
        <v>2</v>
      </c>
      <c r="S280" s="261">
        <f>RANK(R280,$R$6:$R$290,0)+COUNTIF($R$6:R280,R280)-1</f>
        <v>116</v>
      </c>
    </row>
    <row r="281" spans="2:19" ht="15" customHeight="1" x14ac:dyDescent="0.25">
      <c r="B281" s="262">
        <v>276</v>
      </c>
      <c r="C281" s="263" t="str">
        <f>IFERROR(INDEX($Q$6:$Q$290,MATCH(276,$S$6:$S$290,0)),"")</f>
        <v>Prof. Dr. Şevket Murat ÖZBEK</v>
      </c>
      <c r="D281" s="264">
        <f>IF(C281="","",COUNTIFS(Başvuru!$C:$C,C281,Başvuru!$F:$F,"&lt;&gt;"&amp;""))</f>
        <v>1</v>
      </c>
      <c r="E281" s="262" t="str">
        <f>IF(D281&gt;0,TEXT(D281/COUNTIF(Başvuru!$F:$F,"&lt;&gt;"&amp;"")*100,"0.0")&amp;"%","-")</f>
        <v>00%</v>
      </c>
      <c r="F281" s="265">
        <f>IF(C281="","",COUNTIFS(Başvuru!$C:$C,C281,Başvuru!$G:$G,"Bireysel Araştırma",Başvuru!$F:$F,"&lt;&gt;"&amp;""))</f>
        <v>1</v>
      </c>
      <c r="G281" s="265">
        <f>IF(C281="","",COUNTIFS(Başvuru!$C:$C,C281,Başvuru!$G:$G,"Uzmanlık Tezi",Başvuru!$F:$F,"&lt;&gt;"&amp;""))</f>
        <v>0</v>
      </c>
      <c r="H281" s="265">
        <f>IF(C281="","",COUNTIFS(Başvuru!$C:$C,C281,Başvuru!$G:$G,"Doktora Tezi",Başvuru!$F:$F,"&lt;&gt;"&amp;""))</f>
        <v>0</v>
      </c>
      <c r="I281" s="265">
        <f>IF(C281="","",COUNTIFS(Başvuru!$C:$C,C281,Başvuru!$G:$G,"Yüksek Lisans Tezi",Başvuru!$F:$F,"&lt;&gt;"&amp;""))</f>
        <v>0</v>
      </c>
      <c r="J281" s="266">
        <f>IF(C281="","",COUNTIFS(Başvuru!$C:$C,C281,Başvuru!$L:$L,"ONAY",Başvuru!$F:$F,"&lt;&gt;"&amp;""))</f>
        <v>0</v>
      </c>
      <c r="K281" s="267">
        <f>IF(C281="","",COUNTIFS(Başvuru!$C:$C,C281,Başvuru!$L:$L,"DÜZELTME",Başvuru!$F:$F,"&lt;&gt;"&amp;""))</f>
        <v>1</v>
      </c>
      <c r="L281" s="268">
        <f>IF(C281="","",COUNTIFS(Başvuru!$C:$C,C281,Başvuru!$L:$L,"KAEK",Başvuru!$F:$F,"&lt;&gt;"&amp;""))</f>
        <v>0</v>
      </c>
      <c r="M281" s="269">
        <f>IF(C281="","",COUNTIFS(Başvuru!$C:$C,C281,Başvuru!$L:$L,"GÖRÜŞ",Başvuru!$F:$F,"&lt;&gt;"&amp;""))</f>
        <v>0</v>
      </c>
      <c r="N281" s="270">
        <f>IF(C281="","",COUNTIFS(Başvuru!$C:$C,C281,Başvuru!$L:$L,"RET",Başvuru!$F:$F,"&lt;&gt;"&amp;""))</f>
        <v>0</v>
      </c>
      <c r="O281" s="271">
        <f>IF(C281="","",COUNTIFS(Başvuru!$C:$C,C281,Başvuru!$L:$L,"KAPSAM DIŞI",Başvuru!$F:$F,"&lt;&gt;"&amp;""))</f>
        <v>0</v>
      </c>
      <c r="P281" s="272">
        <f>IF(C281="","",COUNTIFS(Başvuru!$C:$C,C281,Başvuru!$L:$L,"GERİ ÇEKİLDİ",Başvuru!$F:$F,"&lt;&gt;"&amp;""))</f>
        <v>0</v>
      </c>
      <c r="Q281" s="260" t="s">
        <v>291</v>
      </c>
      <c r="R281" s="261">
        <f>COUNTIFS(Başvuru!$C:$C,Q281,Başvuru!$F:$F,"&lt;&gt;"&amp;"")</f>
        <v>2</v>
      </c>
      <c r="S281" s="261">
        <f>RANK(R281,$R$6:$R$290,0)+COUNTIF($R$6:R281,R281)-1</f>
        <v>117</v>
      </c>
    </row>
    <row r="282" spans="2:19" ht="15" customHeight="1" x14ac:dyDescent="0.25">
      <c r="B282" s="249">
        <v>277</v>
      </c>
      <c r="C282" s="250" t="str">
        <f>IFERROR(INDEX($Q$6:$Q$290,MATCH(277,$S$6:$S$290,0)),"")</f>
        <v>Prof. Dr. Şevkiye Selin AYTAÇ EYÜPOĞLU</v>
      </c>
      <c r="D282" s="251">
        <f>IF(C282="","",COUNTIFS(Başvuru!$C:$C,C282,Başvuru!$F:$F,"&lt;&gt;"&amp;""))</f>
        <v>1</v>
      </c>
      <c r="E282" s="249" t="str">
        <f>IF(D282&gt;0,TEXT(D282/COUNTIF(Başvuru!$F:$F,"&lt;&gt;"&amp;"")*100,"0.0")&amp;"%","-")</f>
        <v>00%</v>
      </c>
      <c r="F282" s="252">
        <f>IF(C282="","",COUNTIFS(Başvuru!$C:$C,C282,Başvuru!$G:$G,"Bireysel Araştırma",Başvuru!$F:$F,"&lt;&gt;"&amp;""))</f>
        <v>0</v>
      </c>
      <c r="G282" s="252">
        <f>IF(C282="","",COUNTIFS(Başvuru!$C:$C,C282,Başvuru!$G:$G,"Uzmanlık Tezi",Başvuru!$F:$F,"&lt;&gt;"&amp;""))</f>
        <v>1</v>
      </c>
      <c r="H282" s="252">
        <f>IF(C282="","",COUNTIFS(Başvuru!$C:$C,C282,Başvuru!$G:$G,"Doktora Tezi",Başvuru!$F:$F,"&lt;&gt;"&amp;""))</f>
        <v>0</v>
      </c>
      <c r="I282" s="252">
        <f>IF(C282="","",COUNTIFS(Başvuru!$C:$C,C282,Başvuru!$G:$G,"Yüksek Lisans Tezi",Başvuru!$F:$F,"&lt;&gt;"&amp;""))</f>
        <v>0</v>
      </c>
      <c r="J282" s="253">
        <f>IF(C282="","",COUNTIFS(Başvuru!$C:$C,C282,Başvuru!$L:$L,"ONAY",Başvuru!$F:$F,"&lt;&gt;"&amp;""))</f>
        <v>1</v>
      </c>
      <c r="K282" s="254">
        <f>IF(C282="","",COUNTIFS(Başvuru!$C:$C,C282,Başvuru!$L:$L,"DÜZELTME",Başvuru!$F:$F,"&lt;&gt;"&amp;""))</f>
        <v>0</v>
      </c>
      <c r="L282" s="255">
        <f>IF(C282="","",COUNTIFS(Başvuru!$C:$C,C282,Başvuru!$L:$L,"KAEK",Başvuru!$F:$F,"&lt;&gt;"&amp;""))</f>
        <v>0</v>
      </c>
      <c r="M282" s="256">
        <f>IF(C282="","",COUNTIFS(Başvuru!$C:$C,C282,Başvuru!$L:$L,"GÖRÜŞ",Başvuru!$F:$F,"&lt;&gt;"&amp;""))</f>
        <v>0</v>
      </c>
      <c r="N282" s="257">
        <f>IF(C282="","",COUNTIFS(Başvuru!$C:$C,C282,Başvuru!$L:$L,"RET",Başvuru!$F:$F,"&lt;&gt;"&amp;""))</f>
        <v>0</v>
      </c>
      <c r="O282" s="258">
        <f>IF(C282="","",COUNTIFS(Başvuru!$C:$C,C282,Başvuru!$L:$L,"KAPSAM DIŞI",Başvuru!$F:$F,"&lt;&gt;"&amp;""))</f>
        <v>0</v>
      </c>
      <c r="P282" s="259">
        <f>IF(C282="","",COUNTIFS(Başvuru!$C:$C,C282,Başvuru!$L:$L,"GERİ ÇEKİLDİ",Başvuru!$F:$F,"&lt;&gt;"&amp;""))</f>
        <v>0</v>
      </c>
      <c r="Q282" s="260" t="s">
        <v>1519</v>
      </c>
      <c r="R282" s="261">
        <f>COUNTIFS(Başvuru!$C:$C,Q282,Başvuru!$F:$F,"&lt;&gt;"&amp;"")</f>
        <v>1</v>
      </c>
      <c r="S282" s="261">
        <f>RANK(R282,$R$6:$R$290,0)+COUNTIF($R$6:R282,R282)-1</f>
        <v>278</v>
      </c>
    </row>
    <row r="283" spans="2:19" ht="15" customHeight="1" x14ac:dyDescent="0.25">
      <c r="B283" s="262">
        <v>278</v>
      </c>
      <c r="C283" s="263" t="str">
        <f>IFERROR(INDEX($Q$6:$Q$290,MATCH(278,$S$6:$S$290,0)),"")</f>
        <v>Öğr. Gör. Dr. Berrin BABAOĞLU</v>
      </c>
      <c r="D283" s="264">
        <f>IF(C283="","",COUNTIFS(Başvuru!$C:$C,C283,Başvuru!$F:$F,"&lt;&gt;"&amp;""))</f>
        <v>1</v>
      </c>
      <c r="E283" s="262" t="str">
        <f>IF(D283&gt;0,TEXT(D283/COUNTIF(Başvuru!$F:$F,"&lt;&gt;"&amp;"")*100,"0.0")&amp;"%","-")</f>
        <v>00%</v>
      </c>
      <c r="F283" s="265">
        <f>IF(C283="","",COUNTIFS(Başvuru!$C:$C,C283,Başvuru!$G:$G,"Bireysel Araştırma",Başvuru!$F:$F,"&lt;&gt;"&amp;""))</f>
        <v>0</v>
      </c>
      <c r="G283" s="265">
        <f>IF(C283="","",COUNTIFS(Başvuru!$C:$C,C283,Başvuru!$G:$G,"Uzmanlık Tezi",Başvuru!$F:$F,"&lt;&gt;"&amp;""))</f>
        <v>1</v>
      </c>
      <c r="H283" s="265">
        <f>IF(C283="","",COUNTIFS(Başvuru!$C:$C,C283,Başvuru!$G:$G,"Doktora Tezi",Başvuru!$F:$F,"&lt;&gt;"&amp;""))</f>
        <v>0</v>
      </c>
      <c r="I283" s="265">
        <f>IF(C283="","",COUNTIFS(Başvuru!$C:$C,C283,Başvuru!$G:$G,"Yüksek Lisans Tezi",Başvuru!$F:$F,"&lt;&gt;"&amp;""))</f>
        <v>0</v>
      </c>
      <c r="J283" s="266">
        <f>IF(C283="","",COUNTIFS(Başvuru!$C:$C,C283,Başvuru!$L:$L,"ONAY",Başvuru!$F:$F,"&lt;&gt;"&amp;""))</f>
        <v>0</v>
      </c>
      <c r="K283" s="267">
        <f>IF(C283="","",COUNTIFS(Başvuru!$C:$C,C283,Başvuru!$L:$L,"DÜZELTME",Başvuru!$F:$F,"&lt;&gt;"&amp;""))</f>
        <v>1</v>
      </c>
      <c r="L283" s="268">
        <f>IF(C283="","",COUNTIFS(Başvuru!$C:$C,C283,Başvuru!$L:$L,"KAEK",Başvuru!$F:$F,"&lt;&gt;"&amp;""))</f>
        <v>0</v>
      </c>
      <c r="M283" s="269">
        <f>IF(C283="","",COUNTIFS(Başvuru!$C:$C,C283,Başvuru!$L:$L,"GÖRÜŞ",Başvuru!$F:$F,"&lt;&gt;"&amp;""))</f>
        <v>0</v>
      </c>
      <c r="N283" s="270">
        <f>IF(C283="","",COUNTIFS(Başvuru!$C:$C,C283,Başvuru!$L:$L,"RET",Başvuru!$F:$F,"&lt;&gt;"&amp;""))</f>
        <v>0</v>
      </c>
      <c r="O283" s="271">
        <f>IF(C283="","",COUNTIFS(Başvuru!$C:$C,C283,Başvuru!$L:$L,"KAPSAM DIŞI",Başvuru!$F:$F,"&lt;&gt;"&amp;""))</f>
        <v>0</v>
      </c>
      <c r="P283" s="272">
        <f>IF(C283="","",COUNTIFS(Başvuru!$C:$C,C283,Başvuru!$L:$L,"GERİ ÇEKİLDİ",Başvuru!$F:$F,"&lt;&gt;"&amp;""))</f>
        <v>0</v>
      </c>
      <c r="Q283" s="260" t="s">
        <v>129</v>
      </c>
      <c r="R283" s="261">
        <f>COUNTIFS(Başvuru!$C:$C,Q283,Başvuru!$F:$F,"&lt;&gt;"&amp;"")</f>
        <v>2</v>
      </c>
      <c r="S283" s="261">
        <f>RANK(R283,$R$6:$R$290,0)+COUNTIF($R$6:R283,R283)-1</f>
        <v>118</v>
      </c>
    </row>
    <row r="284" spans="2:19" ht="15" customHeight="1" x14ac:dyDescent="0.25">
      <c r="B284" s="249">
        <v>279</v>
      </c>
      <c r="C284" s="250" t="str">
        <f>IFERROR(INDEX($Q$6:$Q$290,MATCH(279,$S$6:$S$290,0)),"")</f>
        <v>Öğr. Gör. Dr. Burçay TELLİOĞLU</v>
      </c>
      <c r="D284" s="251">
        <f>IF(C284="","",COUNTIFS(Başvuru!$C:$C,C284,Başvuru!$F:$F,"&lt;&gt;"&amp;""))</f>
        <v>1</v>
      </c>
      <c r="E284" s="249" t="str">
        <f>IF(D284&gt;0,TEXT(D284/COUNTIF(Başvuru!$F:$F,"&lt;&gt;"&amp;"")*100,"0.0")&amp;"%","-")</f>
        <v>00%</v>
      </c>
      <c r="F284" s="252">
        <f>IF(C284="","",COUNTIFS(Başvuru!$C:$C,C284,Başvuru!$G:$G,"Bireysel Araştırma",Başvuru!$F:$F,"&lt;&gt;"&amp;""))</f>
        <v>1</v>
      </c>
      <c r="G284" s="252">
        <f>IF(C284="","",COUNTIFS(Başvuru!$C:$C,C284,Başvuru!$G:$G,"Uzmanlık Tezi",Başvuru!$F:$F,"&lt;&gt;"&amp;""))</f>
        <v>0</v>
      </c>
      <c r="H284" s="252">
        <f>IF(C284="","",COUNTIFS(Başvuru!$C:$C,C284,Başvuru!$G:$G,"Doktora Tezi",Başvuru!$F:$F,"&lt;&gt;"&amp;""))</f>
        <v>0</v>
      </c>
      <c r="I284" s="252">
        <f>IF(C284="","",COUNTIFS(Başvuru!$C:$C,C284,Başvuru!$G:$G,"Yüksek Lisans Tezi",Başvuru!$F:$F,"&lt;&gt;"&amp;""))</f>
        <v>0</v>
      </c>
      <c r="J284" s="253">
        <f>IF(C284="","",COUNTIFS(Başvuru!$C:$C,C284,Başvuru!$L:$L,"ONAY",Başvuru!$F:$F,"&lt;&gt;"&amp;""))</f>
        <v>0</v>
      </c>
      <c r="K284" s="254">
        <f>IF(C284="","",COUNTIFS(Başvuru!$C:$C,C284,Başvuru!$L:$L,"DÜZELTME",Başvuru!$F:$F,"&lt;&gt;"&amp;""))</f>
        <v>0</v>
      </c>
      <c r="L284" s="255">
        <f>IF(C284="","",COUNTIFS(Başvuru!$C:$C,C284,Başvuru!$L:$L,"KAEK",Başvuru!$F:$F,"&lt;&gt;"&amp;""))</f>
        <v>0</v>
      </c>
      <c r="M284" s="256">
        <f>IF(C284="","",COUNTIFS(Başvuru!$C:$C,C284,Başvuru!$L:$L,"GÖRÜŞ",Başvuru!$F:$F,"&lt;&gt;"&amp;""))</f>
        <v>1</v>
      </c>
      <c r="N284" s="257">
        <f>IF(C284="","",COUNTIFS(Başvuru!$C:$C,C284,Başvuru!$L:$L,"RET",Başvuru!$F:$F,"&lt;&gt;"&amp;""))</f>
        <v>0</v>
      </c>
      <c r="O284" s="258">
        <f>IF(C284="","",COUNTIFS(Başvuru!$C:$C,C284,Başvuru!$L:$L,"KAPSAM DIŞI",Başvuru!$F:$F,"&lt;&gt;"&amp;""))</f>
        <v>0</v>
      </c>
      <c r="P284" s="259">
        <f>IF(C284="","",COUNTIFS(Başvuru!$C:$C,C284,Başvuru!$L:$L,"GERİ ÇEKİLDİ",Başvuru!$F:$F,"&lt;&gt;"&amp;""))</f>
        <v>0</v>
      </c>
      <c r="Q284" s="260" t="s">
        <v>316</v>
      </c>
      <c r="R284" s="261">
        <f>COUNTIFS(Başvuru!$C:$C,Q284,Başvuru!$F:$F,"&lt;&gt;"&amp;"")</f>
        <v>1</v>
      </c>
      <c r="S284" s="261">
        <f>RANK(R284,$R$6:$R$290,0)+COUNTIF($R$6:R284,R284)-1</f>
        <v>279</v>
      </c>
    </row>
    <row r="285" spans="2:19" ht="15" customHeight="1" x14ac:dyDescent="0.25">
      <c r="B285" s="262">
        <v>280</v>
      </c>
      <c r="C285" s="263" t="str">
        <f>IFERROR(INDEX($Q$6:$Q$290,MATCH(280,$S$6:$S$290,0)),"")</f>
        <v>Öğr. Gör. Dr. Esin ALPDÜNDAR BULUT</v>
      </c>
      <c r="D285" s="264">
        <f>IF(C285="","",COUNTIFS(Başvuru!$C:$C,C285,Başvuru!$F:$F,"&lt;&gt;"&amp;""))</f>
        <v>1</v>
      </c>
      <c r="E285" s="262" t="str">
        <f>IF(D285&gt;0,TEXT(D285/COUNTIF(Başvuru!$F:$F,"&lt;&gt;"&amp;"")*100,"0.0")&amp;"%","-")</f>
        <v>00%</v>
      </c>
      <c r="F285" s="265">
        <f>IF(C285="","",COUNTIFS(Başvuru!$C:$C,C285,Başvuru!$G:$G,"Bireysel Araştırma",Başvuru!$F:$F,"&lt;&gt;"&amp;""))</f>
        <v>1</v>
      </c>
      <c r="G285" s="265">
        <f>IF(C285="","",COUNTIFS(Başvuru!$C:$C,C285,Başvuru!$G:$G,"Uzmanlık Tezi",Başvuru!$F:$F,"&lt;&gt;"&amp;""))</f>
        <v>0</v>
      </c>
      <c r="H285" s="265">
        <f>IF(C285="","",COUNTIFS(Başvuru!$C:$C,C285,Başvuru!$G:$G,"Doktora Tezi",Başvuru!$F:$F,"&lt;&gt;"&amp;""))</f>
        <v>0</v>
      </c>
      <c r="I285" s="265">
        <f>IF(C285="","",COUNTIFS(Başvuru!$C:$C,C285,Başvuru!$G:$G,"Yüksek Lisans Tezi",Başvuru!$F:$F,"&lt;&gt;"&amp;""))</f>
        <v>0</v>
      </c>
      <c r="J285" s="266">
        <f>IF(C285="","",COUNTIFS(Başvuru!$C:$C,C285,Başvuru!$L:$L,"ONAY",Başvuru!$F:$F,"&lt;&gt;"&amp;""))</f>
        <v>0</v>
      </c>
      <c r="K285" s="267">
        <f>IF(C285="","",COUNTIFS(Başvuru!$C:$C,C285,Başvuru!$L:$L,"DÜZELTME",Başvuru!$F:$F,"&lt;&gt;"&amp;""))</f>
        <v>1</v>
      </c>
      <c r="L285" s="268">
        <f>IF(C285="","",COUNTIFS(Başvuru!$C:$C,C285,Başvuru!$L:$L,"KAEK",Başvuru!$F:$F,"&lt;&gt;"&amp;""))</f>
        <v>0</v>
      </c>
      <c r="M285" s="269">
        <f>IF(C285="","",COUNTIFS(Başvuru!$C:$C,C285,Başvuru!$L:$L,"GÖRÜŞ",Başvuru!$F:$F,"&lt;&gt;"&amp;""))</f>
        <v>0</v>
      </c>
      <c r="N285" s="270">
        <f>IF(C285="","",COUNTIFS(Başvuru!$C:$C,C285,Başvuru!$L:$L,"RET",Başvuru!$F:$F,"&lt;&gt;"&amp;""))</f>
        <v>0</v>
      </c>
      <c r="O285" s="271">
        <f>IF(C285="","",COUNTIFS(Başvuru!$C:$C,C285,Başvuru!$L:$L,"KAPSAM DIŞI",Başvuru!$F:$F,"&lt;&gt;"&amp;""))</f>
        <v>0</v>
      </c>
      <c r="P285" s="272">
        <f>IF(C285="","",COUNTIFS(Başvuru!$C:$C,C285,Başvuru!$L:$L,"GERİ ÇEKİLDİ",Başvuru!$F:$F,"&lt;&gt;"&amp;""))</f>
        <v>0</v>
      </c>
      <c r="Q285" s="260" t="s">
        <v>1261</v>
      </c>
      <c r="R285" s="261">
        <f>COUNTIFS(Başvuru!$C:$C,Q285,Başvuru!$F:$F,"&lt;&gt;"&amp;"")</f>
        <v>1</v>
      </c>
      <c r="S285" s="261">
        <f>RANK(R285,$R$6:$R$290,0)+COUNTIF($R$6:R285,R285)-1</f>
        <v>280</v>
      </c>
    </row>
    <row r="286" spans="2:19" ht="15" customHeight="1" x14ac:dyDescent="0.25">
      <c r="B286" s="249">
        <v>281</v>
      </c>
      <c r="C286" s="250" t="str">
        <f>IFERROR(INDEX($Q$6:$Q$290,MATCH(281,$S$6:$S$290,0)),"")</f>
        <v>Öğr. Gör. Dr. Helin YÜCEDAĞ GÜNDOĞDU</v>
      </c>
      <c r="D286" s="251">
        <f>IF(C286="","",COUNTIFS(Başvuru!$C:$C,C286,Başvuru!$F:$F,"&lt;&gt;"&amp;""))</f>
        <v>1</v>
      </c>
      <c r="E286" s="249" t="str">
        <f>IF(D286&gt;0,TEXT(D286/COUNTIF(Başvuru!$F:$F,"&lt;&gt;"&amp;"")*100,"0.0")&amp;"%","-")</f>
        <v>00%</v>
      </c>
      <c r="F286" s="252">
        <f>IF(C286="","",COUNTIFS(Başvuru!$C:$C,C286,Başvuru!$G:$G,"Bireysel Araştırma",Başvuru!$F:$F,"&lt;&gt;"&amp;""))</f>
        <v>1</v>
      </c>
      <c r="G286" s="252">
        <f>IF(C286="","",COUNTIFS(Başvuru!$C:$C,C286,Başvuru!$G:$G,"Uzmanlık Tezi",Başvuru!$F:$F,"&lt;&gt;"&amp;""))</f>
        <v>0</v>
      </c>
      <c r="H286" s="252">
        <f>IF(C286="","",COUNTIFS(Başvuru!$C:$C,C286,Başvuru!$G:$G,"Doktora Tezi",Başvuru!$F:$F,"&lt;&gt;"&amp;""))</f>
        <v>0</v>
      </c>
      <c r="I286" s="252">
        <f>IF(C286="","",COUNTIFS(Başvuru!$C:$C,C286,Başvuru!$G:$G,"Yüksek Lisans Tezi",Başvuru!$F:$F,"&lt;&gt;"&amp;""))</f>
        <v>0</v>
      </c>
      <c r="J286" s="253">
        <f>IF(C286="","",COUNTIFS(Başvuru!$C:$C,C286,Başvuru!$L:$L,"ONAY",Başvuru!$F:$F,"&lt;&gt;"&amp;""))</f>
        <v>1</v>
      </c>
      <c r="K286" s="254">
        <f>IF(C286="","",COUNTIFS(Başvuru!$C:$C,C286,Başvuru!$L:$L,"DÜZELTME",Başvuru!$F:$F,"&lt;&gt;"&amp;""))</f>
        <v>0</v>
      </c>
      <c r="L286" s="255">
        <f>IF(C286="","",COUNTIFS(Başvuru!$C:$C,C286,Başvuru!$L:$L,"KAEK",Başvuru!$F:$F,"&lt;&gt;"&amp;""))</f>
        <v>0</v>
      </c>
      <c r="M286" s="256">
        <f>IF(C286="","",COUNTIFS(Başvuru!$C:$C,C286,Başvuru!$L:$L,"GÖRÜŞ",Başvuru!$F:$F,"&lt;&gt;"&amp;""))</f>
        <v>0</v>
      </c>
      <c r="N286" s="257">
        <f>IF(C286="","",COUNTIFS(Başvuru!$C:$C,C286,Başvuru!$L:$L,"RET",Başvuru!$F:$F,"&lt;&gt;"&amp;""))</f>
        <v>0</v>
      </c>
      <c r="O286" s="258">
        <f>IF(C286="","",COUNTIFS(Başvuru!$C:$C,C286,Başvuru!$L:$L,"KAPSAM DIŞI",Başvuru!$F:$F,"&lt;&gt;"&amp;""))</f>
        <v>0</v>
      </c>
      <c r="P286" s="259">
        <f>IF(C286="","",COUNTIFS(Başvuru!$C:$C,C286,Başvuru!$L:$L,"GERİ ÇEKİLDİ",Başvuru!$F:$F,"&lt;&gt;"&amp;""))</f>
        <v>0</v>
      </c>
      <c r="Q286" s="260" t="s">
        <v>1042</v>
      </c>
      <c r="R286" s="261">
        <f>COUNTIFS(Başvuru!$C:$C,Q286,Başvuru!$F:$F,"&lt;&gt;"&amp;"")</f>
        <v>1</v>
      </c>
      <c r="S286" s="261">
        <f>RANK(R286,$R$6:$R$290,0)+COUNTIF($R$6:R286,R286)-1</f>
        <v>281</v>
      </c>
    </row>
    <row r="287" spans="2:19" ht="15" customHeight="1" x14ac:dyDescent="0.25">
      <c r="B287" s="262">
        <v>282</v>
      </c>
      <c r="C287" s="263" t="str">
        <f>IFERROR(INDEX($Q$6:$Q$290,MATCH(282,$S$6:$S$290,0)),"")</f>
        <v>Öğr. Gör. Dr. Kemal SARUHAN</v>
      </c>
      <c r="D287" s="264">
        <f>IF(C287="","",COUNTIFS(Başvuru!$C:$C,C287,Başvuru!$F:$F,"&lt;&gt;"&amp;""))</f>
        <v>1</v>
      </c>
      <c r="E287" s="262" t="str">
        <f>IF(D287&gt;0,TEXT(D287/COUNTIF(Başvuru!$F:$F,"&lt;&gt;"&amp;"")*100,"0.0")&amp;"%","-")</f>
        <v>00%</v>
      </c>
      <c r="F287" s="265">
        <f>IF(C287="","",COUNTIFS(Başvuru!$C:$C,C287,Başvuru!$G:$G,"Bireysel Araştırma",Başvuru!$F:$F,"&lt;&gt;"&amp;""))</f>
        <v>1</v>
      </c>
      <c r="G287" s="265">
        <f>IF(C287="","",COUNTIFS(Başvuru!$C:$C,C287,Başvuru!$G:$G,"Uzmanlık Tezi",Başvuru!$F:$F,"&lt;&gt;"&amp;""))</f>
        <v>0</v>
      </c>
      <c r="H287" s="265">
        <f>IF(C287="","",COUNTIFS(Başvuru!$C:$C,C287,Başvuru!$G:$G,"Doktora Tezi",Başvuru!$F:$F,"&lt;&gt;"&amp;""))</f>
        <v>0</v>
      </c>
      <c r="I287" s="265">
        <f>IF(C287="","",COUNTIFS(Başvuru!$C:$C,C287,Başvuru!$G:$G,"Yüksek Lisans Tezi",Başvuru!$F:$F,"&lt;&gt;"&amp;""))</f>
        <v>0</v>
      </c>
      <c r="J287" s="266">
        <f>IF(C287="","",COUNTIFS(Başvuru!$C:$C,C287,Başvuru!$L:$L,"ONAY",Başvuru!$F:$F,"&lt;&gt;"&amp;""))</f>
        <v>0</v>
      </c>
      <c r="K287" s="267">
        <f>IF(C287="","",COUNTIFS(Başvuru!$C:$C,C287,Başvuru!$L:$L,"DÜZELTME",Başvuru!$F:$F,"&lt;&gt;"&amp;""))</f>
        <v>0</v>
      </c>
      <c r="L287" s="268">
        <f>IF(C287="","",COUNTIFS(Başvuru!$C:$C,C287,Başvuru!$L:$L,"KAEK",Başvuru!$F:$F,"&lt;&gt;"&amp;""))</f>
        <v>0</v>
      </c>
      <c r="M287" s="269">
        <f>IF(C287="","",COUNTIFS(Başvuru!$C:$C,C287,Başvuru!$L:$L,"GÖRÜŞ",Başvuru!$F:$F,"&lt;&gt;"&amp;""))</f>
        <v>0</v>
      </c>
      <c r="N287" s="270">
        <f>IF(C287="","",COUNTIFS(Başvuru!$C:$C,C287,Başvuru!$L:$L,"RET",Başvuru!$F:$F,"&lt;&gt;"&amp;""))</f>
        <v>0</v>
      </c>
      <c r="O287" s="271">
        <f>IF(C287="","",COUNTIFS(Başvuru!$C:$C,C287,Başvuru!$L:$L,"KAPSAM DIŞI",Başvuru!$F:$F,"&lt;&gt;"&amp;""))</f>
        <v>0</v>
      </c>
      <c r="P287" s="272">
        <f>IF(C287="","",COUNTIFS(Başvuru!$C:$C,C287,Başvuru!$L:$L,"GERİ ÇEKİLDİ",Başvuru!$F:$F,"&lt;&gt;"&amp;""))</f>
        <v>0</v>
      </c>
      <c r="Q287" s="260" t="s">
        <v>2552</v>
      </c>
      <c r="R287" s="261">
        <f>COUNTIFS(Başvuru!$C:$C,Q287,Başvuru!$F:$F,"&lt;&gt;"&amp;"")</f>
        <v>1</v>
      </c>
      <c r="S287" s="261">
        <f>RANK(R287,$R$6:$R$290,0)+COUNTIF($R$6:R287,R287)-1</f>
        <v>282</v>
      </c>
    </row>
    <row r="288" spans="2:19" ht="15" customHeight="1" x14ac:dyDescent="0.25">
      <c r="B288" s="249">
        <v>283</v>
      </c>
      <c r="C288" s="250" t="str">
        <f>IFERROR(INDEX($Q$6:$Q$290,MATCH(283,$S$6:$S$290,0)),"")</f>
        <v>Öğr. Gör. Dr. Pınar ÖZDEMİR YAŞAR</v>
      </c>
      <c r="D288" s="251">
        <f>IF(C288="","",COUNTIFS(Başvuru!$C:$C,C288,Başvuru!$F:$F,"&lt;&gt;"&amp;""))</f>
        <v>1</v>
      </c>
      <c r="E288" s="249" t="str">
        <f>IF(D288&gt;0,TEXT(D288/COUNTIF(Başvuru!$F:$F,"&lt;&gt;"&amp;"")*100,"0.0")&amp;"%","-")</f>
        <v>00%</v>
      </c>
      <c r="F288" s="252">
        <f>IF(C288="","",COUNTIFS(Başvuru!$C:$C,C288,Başvuru!$G:$G,"Bireysel Araştırma",Başvuru!$F:$F,"&lt;&gt;"&amp;""))</f>
        <v>1</v>
      </c>
      <c r="G288" s="252">
        <f>IF(C288="","",COUNTIFS(Başvuru!$C:$C,C288,Başvuru!$G:$G,"Uzmanlık Tezi",Başvuru!$F:$F,"&lt;&gt;"&amp;""))</f>
        <v>0</v>
      </c>
      <c r="H288" s="252">
        <f>IF(C288="","",COUNTIFS(Başvuru!$C:$C,C288,Başvuru!$G:$G,"Doktora Tezi",Başvuru!$F:$F,"&lt;&gt;"&amp;""))</f>
        <v>0</v>
      </c>
      <c r="I288" s="252">
        <f>IF(C288="","",COUNTIFS(Başvuru!$C:$C,C288,Başvuru!$G:$G,"Yüksek Lisans Tezi",Başvuru!$F:$F,"&lt;&gt;"&amp;""))</f>
        <v>0</v>
      </c>
      <c r="J288" s="253">
        <f>IF(C288="","",COUNTIFS(Başvuru!$C:$C,C288,Başvuru!$L:$L,"ONAY",Başvuru!$F:$F,"&lt;&gt;"&amp;""))</f>
        <v>0</v>
      </c>
      <c r="K288" s="254">
        <f>IF(C288="","",COUNTIFS(Başvuru!$C:$C,C288,Başvuru!$L:$L,"DÜZELTME",Başvuru!$F:$F,"&lt;&gt;"&amp;""))</f>
        <v>0</v>
      </c>
      <c r="L288" s="255">
        <f>IF(C288="","",COUNTIFS(Başvuru!$C:$C,C288,Başvuru!$L:$L,"KAEK",Başvuru!$F:$F,"&lt;&gt;"&amp;""))</f>
        <v>1</v>
      </c>
      <c r="M288" s="256">
        <f>IF(C288="","",COUNTIFS(Başvuru!$C:$C,C288,Başvuru!$L:$L,"GÖRÜŞ",Başvuru!$F:$F,"&lt;&gt;"&amp;""))</f>
        <v>0</v>
      </c>
      <c r="N288" s="257">
        <f>IF(C288="","",COUNTIFS(Başvuru!$C:$C,C288,Başvuru!$L:$L,"RET",Başvuru!$F:$F,"&lt;&gt;"&amp;""))</f>
        <v>0</v>
      </c>
      <c r="O288" s="258">
        <f>IF(C288="","",COUNTIFS(Başvuru!$C:$C,C288,Başvuru!$L:$L,"KAPSAM DIŞI",Başvuru!$F:$F,"&lt;&gt;"&amp;""))</f>
        <v>0</v>
      </c>
      <c r="P288" s="259">
        <f>IF(C288="","",COUNTIFS(Başvuru!$C:$C,C288,Başvuru!$L:$L,"GERİ ÇEKİLDİ",Başvuru!$F:$F,"&lt;&gt;"&amp;""))</f>
        <v>0</v>
      </c>
      <c r="Q288" s="260" t="s">
        <v>852</v>
      </c>
      <c r="R288" s="261">
        <f>COUNTIFS(Başvuru!$C:$C,Q288,Başvuru!$F:$F,"&lt;&gt;"&amp;"")</f>
        <v>1</v>
      </c>
      <c r="S288" s="261">
        <f>RANK(R288,$R$6:$R$290,0)+COUNTIF($R$6:R288,R288)-1</f>
        <v>283</v>
      </c>
    </row>
    <row r="289" spans="2:19" ht="15" customHeight="1" x14ac:dyDescent="0.25">
      <c r="B289" s="262">
        <v>284</v>
      </c>
      <c r="C289" s="263" t="str">
        <f>IFERROR(INDEX($Q$6:$Q$290,MATCH(284,$S$6:$S$290,0)),"")</f>
        <v>Öğr. Gör. Dr. Tuğçe TAŞKINDERE ABBASOĞLU</v>
      </c>
      <c r="D289" s="264">
        <f>IF(C289="","",COUNTIFS(Başvuru!$C:$C,C289,Başvuru!$F:$F,"&lt;&gt;"&amp;""))</f>
        <v>1</v>
      </c>
      <c r="E289" s="262" t="str">
        <f>IF(D289&gt;0,TEXT(D289/COUNTIF(Başvuru!$F:$F,"&lt;&gt;"&amp;"")*100,"0.0")&amp;"%","-")</f>
        <v>00%</v>
      </c>
      <c r="F289" s="265">
        <f>IF(C289="","",COUNTIFS(Başvuru!$C:$C,C289,Başvuru!$G:$G,"Bireysel Araştırma",Başvuru!$F:$F,"&lt;&gt;"&amp;""))</f>
        <v>1</v>
      </c>
      <c r="G289" s="265">
        <f>IF(C289="","",COUNTIFS(Başvuru!$C:$C,C289,Başvuru!$G:$G,"Uzmanlık Tezi",Başvuru!$F:$F,"&lt;&gt;"&amp;""))</f>
        <v>0</v>
      </c>
      <c r="H289" s="265">
        <f>IF(C289="","",COUNTIFS(Başvuru!$C:$C,C289,Başvuru!$G:$G,"Doktora Tezi",Başvuru!$F:$F,"&lt;&gt;"&amp;""))</f>
        <v>0</v>
      </c>
      <c r="I289" s="265">
        <f>IF(C289="","",COUNTIFS(Başvuru!$C:$C,C289,Başvuru!$G:$G,"Yüksek Lisans Tezi",Başvuru!$F:$F,"&lt;&gt;"&amp;""))</f>
        <v>0</v>
      </c>
      <c r="J289" s="266">
        <f>IF(C289="","",COUNTIFS(Başvuru!$C:$C,C289,Başvuru!$L:$L,"ONAY",Başvuru!$F:$F,"&lt;&gt;"&amp;""))</f>
        <v>1</v>
      </c>
      <c r="K289" s="267">
        <f>IF(C289="","",COUNTIFS(Başvuru!$C:$C,C289,Başvuru!$L:$L,"DÜZELTME",Başvuru!$F:$F,"&lt;&gt;"&amp;""))</f>
        <v>0</v>
      </c>
      <c r="L289" s="268">
        <f>IF(C289="","",COUNTIFS(Başvuru!$C:$C,C289,Başvuru!$L:$L,"KAEK",Başvuru!$F:$F,"&lt;&gt;"&amp;""))</f>
        <v>0</v>
      </c>
      <c r="M289" s="269">
        <f>IF(C289="","",COUNTIFS(Başvuru!$C:$C,C289,Başvuru!$L:$L,"GÖRÜŞ",Başvuru!$F:$F,"&lt;&gt;"&amp;""))</f>
        <v>0</v>
      </c>
      <c r="N289" s="270">
        <f>IF(C289="","",COUNTIFS(Başvuru!$C:$C,C289,Başvuru!$L:$L,"RET",Başvuru!$F:$F,"&lt;&gt;"&amp;""))</f>
        <v>0</v>
      </c>
      <c r="O289" s="271">
        <f>IF(C289="","",COUNTIFS(Başvuru!$C:$C,C289,Başvuru!$L:$L,"KAPSAM DIŞI",Başvuru!$F:$F,"&lt;&gt;"&amp;""))</f>
        <v>0</v>
      </c>
      <c r="P289" s="272">
        <f>IF(C289="","",COUNTIFS(Başvuru!$C:$C,C289,Başvuru!$L:$L,"GERİ ÇEKİLDİ",Başvuru!$F:$F,"&lt;&gt;"&amp;""))</f>
        <v>0</v>
      </c>
      <c r="Q289" s="260" t="s">
        <v>1652</v>
      </c>
      <c r="R289" s="261">
        <f>COUNTIFS(Başvuru!$C:$C,Q289,Başvuru!$F:$F,"&lt;&gt;"&amp;"")</f>
        <v>1</v>
      </c>
      <c r="S289" s="261">
        <f>RANK(R289,$R$6:$R$290,0)+COUNTIF($R$6:R289,R289)-1</f>
        <v>284</v>
      </c>
    </row>
    <row r="290" spans="2:19" ht="15" customHeight="1" x14ac:dyDescent="0.25">
      <c r="B290" s="249">
        <v>285</v>
      </c>
      <c r="C290" s="250" t="str">
        <f>IFERROR(INDEX($Q$6:$Q$290,MATCH(285,$S$6:$S$290,0)),"")</f>
        <v>Öğr. Gör. Dt. Diler DENİZ</v>
      </c>
      <c r="D290" s="251">
        <f>IF(C290="","",COUNTIFS(Başvuru!$C:$C,C290,Başvuru!$F:$F,"&lt;&gt;"&amp;""))</f>
        <v>1</v>
      </c>
      <c r="E290" s="249" t="str">
        <f>IF(D290&gt;0,TEXT(D290/COUNTIF(Başvuru!$F:$F,"&lt;&gt;"&amp;"")*100,"0.0")&amp;"%","-")</f>
        <v>00%</v>
      </c>
      <c r="F290" s="252">
        <f>IF(C290="","",COUNTIFS(Başvuru!$C:$C,C290,Başvuru!$G:$G,"Bireysel Araştırma",Başvuru!$F:$F,"&lt;&gt;"&amp;""))</f>
        <v>1</v>
      </c>
      <c r="G290" s="252">
        <f>IF(C290="","",COUNTIFS(Başvuru!$C:$C,C290,Başvuru!$G:$G,"Uzmanlık Tezi",Başvuru!$F:$F,"&lt;&gt;"&amp;""))</f>
        <v>0</v>
      </c>
      <c r="H290" s="252">
        <f>IF(C290="","",COUNTIFS(Başvuru!$C:$C,C290,Başvuru!$G:$G,"Doktora Tezi",Başvuru!$F:$F,"&lt;&gt;"&amp;""))</f>
        <v>0</v>
      </c>
      <c r="I290" s="252">
        <f>IF(C290="","",COUNTIFS(Başvuru!$C:$C,C290,Başvuru!$G:$G,"Yüksek Lisans Tezi",Başvuru!$F:$F,"&lt;&gt;"&amp;""))</f>
        <v>0</v>
      </c>
      <c r="J290" s="253">
        <f>IF(C290="","",COUNTIFS(Başvuru!$C:$C,C290,Başvuru!$L:$L,"ONAY",Başvuru!$F:$F,"&lt;&gt;"&amp;""))</f>
        <v>1</v>
      </c>
      <c r="K290" s="254">
        <f>IF(C290="","",COUNTIFS(Başvuru!$C:$C,C290,Başvuru!$L:$L,"DÜZELTME",Başvuru!$F:$F,"&lt;&gt;"&amp;""))</f>
        <v>0</v>
      </c>
      <c r="L290" s="255">
        <f>IF(C290="","",COUNTIFS(Başvuru!$C:$C,C290,Başvuru!$L:$L,"KAEK",Başvuru!$F:$F,"&lt;&gt;"&amp;""))</f>
        <v>0</v>
      </c>
      <c r="M290" s="256">
        <f>IF(C290="","",COUNTIFS(Başvuru!$C:$C,C290,Başvuru!$L:$L,"GÖRÜŞ",Başvuru!$F:$F,"&lt;&gt;"&amp;""))</f>
        <v>0</v>
      </c>
      <c r="N290" s="257">
        <f>IF(C290="","",COUNTIFS(Başvuru!$C:$C,C290,Başvuru!$L:$L,"RET",Başvuru!$F:$F,"&lt;&gt;"&amp;""))</f>
        <v>0</v>
      </c>
      <c r="O290" s="258">
        <f>IF(C290="","",COUNTIFS(Başvuru!$C:$C,C290,Başvuru!$L:$L,"KAPSAM DIŞI",Başvuru!$F:$F,"&lt;&gt;"&amp;""))</f>
        <v>0</v>
      </c>
      <c r="P290" s="259">
        <f>IF(C290="","",COUNTIFS(Başvuru!$C:$C,C290,Başvuru!$L:$L,"GERİ ÇEKİLDİ",Başvuru!$F:$F,"&lt;&gt;"&amp;""))</f>
        <v>0</v>
      </c>
      <c r="Q290" s="260" t="s">
        <v>1992</v>
      </c>
      <c r="R290" s="261">
        <f>COUNTIFS(Başvuru!$C:$C,Q290,Başvuru!$F:$F,"&lt;&gt;"&amp;"")</f>
        <v>1</v>
      </c>
      <c r="S290" s="261">
        <f>RANK(R290,$R$6:$R$290,0)+COUNTIF($R$6:R290,R290)-1</f>
        <v>285</v>
      </c>
    </row>
    <row r="291" spans="2:19" ht="20.100000000000001" customHeight="1" x14ac:dyDescent="0.25">
      <c r="B291" s="273"/>
      <c r="C291" s="274" t="s">
        <v>4</v>
      </c>
      <c r="D291" s="275">
        <f>COUNTIF(Başvuru!$F:$F,"&lt;&gt;"&amp;"")-1</f>
        <v>1659</v>
      </c>
      <c r="E291" s="276" t="s">
        <v>5662</v>
      </c>
      <c r="F291" s="277">
        <f>COUNTIFS(Başvuru!$G:$G,"Bireysel Araştırma",Başvuru!$F:$F,"&lt;&gt;"&amp;"")</f>
        <v>435</v>
      </c>
      <c r="G291" s="277">
        <f>COUNTIFS(Başvuru!$G:$G,"Uzmanlık Tezi",Başvuru!$F:$F,"&lt;&gt;"&amp;"")</f>
        <v>100</v>
      </c>
      <c r="H291" s="277">
        <f>COUNTIFS(Başvuru!$G:$G,"Doktora Tezi",Başvuru!$F:$F,"&lt;&gt;"&amp;"")</f>
        <v>29</v>
      </c>
      <c r="I291" s="277">
        <f>COUNTIFS(Başvuru!$G:$G,"Yüksek Lisans Tezi",Başvuru!$F:$F,"&lt;&gt;"&amp;"")</f>
        <v>14</v>
      </c>
      <c r="J291" s="278">
        <f>COUNTIFS(Başvuru!$L:$L,"ONAY",Başvuru!$F:$F,"&lt;&gt;"&amp;"")</f>
        <v>266</v>
      </c>
      <c r="K291" s="279">
        <f>COUNTIFS(Başvuru!$L:$L,"DÜZELTME",Başvuru!$F:$F,"&lt;&gt;"&amp;"")</f>
        <v>165</v>
      </c>
      <c r="L291" s="280">
        <f>COUNTIFS(Başvuru!$L:$L,"KAEK",Başvuru!$F:$F,"&lt;&gt;"&amp;"")</f>
        <v>7</v>
      </c>
      <c r="M291" s="281">
        <f>COUNTIFS(Başvuru!$L:$L,"GÖRÜŞ",Başvuru!$F:$F,"&lt;&gt;"&amp;"")</f>
        <v>23</v>
      </c>
      <c r="N291" s="282">
        <f>COUNTIFS(Başvuru!$L:$L,"RET",Başvuru!$F:$F,"&lt;&gt;"&amp;"")</f>
        <v>18</v>
      </c>
      <c r="O291" s="283">
        <f>COUNTIFS(Başvuru!$L:$L,"KAPSAM DIŞI",Başvuru!$F:$F,"&lt;&gt;"&amp;"")</f>
        <v>7</v>
      </c>
      <c r="P291" s="284">
        <f>COUNTIFS(Başvuru!$L:$L,"GERİ ÇEKİLDİ",Başvuru!$F:$F,"&lt;&gt;"&amp;"")</f>
        <v>0</v>
      </c>
    </row>
  </sheetData>
  <autoFilter ref="B5:P290" xr:uid="{00000000-0009-0000-0000-00000D000000}"/>
  <mergeCells count="2">
    <mergeCell ref="B3:P3"/>
    <mergeCell ref="B2:P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F29"/>
  <sheetViews>
    <sheetView showZeros="0" zoomScaleNormal="100" workbookViewId="0">
      <selection activeCell="E16" sqref="E16"/>
    </sheetView>
  </sheetViews>
  <sheetFormatPr defaultColWidth="9.140625" defaultRowHeight="15.75" x14ac:dyDescent="0.25"/>
  <cols>
    <col min="1" max="1" width="9.140625" style="26" customWidth="1"/>
    <col min="2" max="2" width="17.85546875" style="26" customWidth="1"/>
    <col min="3" max="3" width="18" style="26" customWidth="1"/>
    <col min="4" max="42" width="9.7109375" style="26" customWidth="1"/>
    <col min="43" max="43" width="12.85546875" style="26" customWidth="1"/>
    <col min="44" max="44" width="9.140625" style="26" customWidth="1"/>
    <col min="45" max="16384" width="9.140625" style="26"/>
  </cols>
  <sheetData>
    <row r="1" spans="1:6" x14ac:dyDescent="0.25">
      <c r="A1" s="328" t="s">
        <v>3768</v>
      </c>
      <c r="B1" s="308"/>
      <c r="C1" s="308"/>
      <c r="D1" s="308"/>
      <c r="E1" s="308"/>
      <c r="F1" s="308"/>
    </row>
    <row r="3" spans="1:6" x14ac:dyDescent="0.25">
      <c r="A3" s="160" t="s">
        <v>39</v>
      </c>
      <c r="B3" s="160" t="s">
        <v>3769</v>
      </c>
      <c r="C3" s="160" t="s">
        <v>3770</v>
      </c>
      <c r="D3" s="160" t="s">
        <v>3707</v>
      </c>
      <c r="E3" s="160" t="s">
        <v>3771</v>
      </c>
      <c r="F3" s="160" t="s">
        <v>3772</v>
      </c>
    </row>
    <row r="4" spans="1:6" x14ac:dyDescent="0.25">
      <c r="A4" s="160" t="s">
        <v>58</v>
      </c>
      <c r="B4" s="236">
        <v>46028</v>
      </c>
      <c r="C4" s="161">
        <v>55</v>
      </c>
      <c r="D4" s="161">
        <v>16</v>
      </c>
      <c r="E4" s="161">
        <v>9</v>
      </c>
      <c r="F4" s="161">
        <f t="shared" ref="F4:F26" si="0">SUM(C4:E4)</f>
        <v>80</v>
      </c>
    </row>
    <row r="5" spans="1:6" x14ac:dyDescent="0.25">
      <c r="A5" s="160" t="s">
        <v>68</v>
      </c>
      <c r="B5" s="236">
        <v>46042</v>
      </c>
      <c r="C5" s="161">
        <v>45</v>
      </c>
      <c r="D5" s="161">
        <v>13</v>
      </c>
      <c r="E5" s="161">
        <v>11</v>
      </c>
      <c r="F5" s="161">
        <f t="shared" si="0"/>
        <v>69</v>
      </c>
    </row>
    <row r="6" spans="1:6" x14ac:dyDescent="0.25">
      <c r="A6" s="160" t="s">
        <v>76</v>
      </c>
      <c r="B6" s="236">
        <v>46057</v>
      </c>
      <c r="C6" s="161">
        <v>45</v>
      </c>
      <c r="D6" s="161">
        <v>12</v>
      </c>
      <c r="E6" s="161">
        <v>15</v>
      </c>
      <c r="F6" s="161">
        <f t="shared" si="0"/>
        <v>72</v>
      </c>
    </row>
    <row r="7" spans="1:6" x14ac:dyDescent="0.25">
      <c r="A7" s="160" t="s">
        <v>85</v>
      </c>
      <c r="B7" s="236">
        <v>46070</v>
      </c>
      <c r="C7" s="161">
        <v>45</v>
      </c>
      <c r="D7" s="161">
        <v>17</v>
      </c>
      <c r="E7" s="161">
        <v>6</v>
      </c>
      <c r="F7" s="161">
        <f t="shared" si="0"/>
        <v>68</v>
      </c>
    </row>
    <row r="8" spans="1:6" x14ac:dyDescent="0.25">
      <c r="A8" s="160" t="s">
        <v>95</v>
      </c>
      <c r="B8" s="236">
        <v>46084</v>
      </c>
      <c r="C8" s="161">
        <v>35</v>
      </c>
      <c r="D8" s="161">
        <v>19</v>
      </c>
      <c r="E8" s="161">
        <v>8</v>
      </c>
      <c r="F8" s="161">
        <f t="shared" si="0"/>
        <v>62</v>
      </c>
    </row>
    <row r="9" spans="1:6" x14ac:dyDescent="0.25">
      <c r="A9" s="160" t="s">
        <v>104</v>
      </c>
      <c r="B9" s="236">
        <v>46098</v>
      </c>
      <c r="C9" s="161">
        <v>47</v>
      </c>
      <c r="D9" s="161">
        <v>21</v>
      </c>
      <c r="E9" s="161">
        <v>14</v>
      </c>
      <c r="F9" s="161">
        <f t="shared" si="0"/>
        <v>82</v>
      </c>
    </row>
    <row r="10" spans="1:6" x14ac:dyDescent="0.25">
      <c r="A10" s="160" t="s">
        <v>112</v>
      </c>
      <c r="B10" s="236">
        <v>46112</v>
      </c>
      <c r="C10" s="161">
        <v>40</v>
      </c>
      <c r="D10" s="161">
        <v>15</v>
      </c>
      <c r="E10" s="161">
        <v>11</v>
      </c>
      <c r="F10" s="161">
        <f t="shared" si="0"/>
        <v>66</v>
      </c>
    </row>
    <row r="11" spans="1:6" x14ac:dyDescent="0.25">
      <c r="A11" s="160" t="s">
        <v>120</v>
      </c>
      <c r="B11" s="236">
        <v>46126</v>
      </c>
      <c r="C11" s="161">
        <v>40</v>
      </c>
      <c r="D11" s="161">
        <v>15</v>
      </c>
      <c r="E11" s="161">
        <v>6</v>
      </c>
      <c r="F11" s="161">
        <f t="shared" si="0"/>
        <v>61</v>
      </c>
    </row>
    <row r="12" spans="1:6" x14ac:dyDescent="0.25">
      <c r="A12" s="160" t="s">
        <v>127</v>
      </c>
      <c r="B12" s="236">
        <v>46140</v>
      </c>
      <c r="C12" s="161">
        <v>48</v>
      </c>
      <c r="D12" s="161">
        <v>14</v>
      </c>
      <c r="E12" s="161">
        <v>9</v>
      </c>
      <c r="F12" s="161">
        <f t="shared" si="0"/>
        <v>71</v>
      </c>
    </row>
    <row r="13" spans="1:6" x14ac:dyDescent="0.25">
      <c r="A13" s="160" t="s">
        <v>134</v>
      </c>
      <c r="B13" s="236">
        <v>46154</v>
      </c>
      <c r="C13" s="161">
        <v>52</v>
      </c>
      <c r="D13" s="161">
        <v>16</v>
      </c>
      <c r="E13" s="161">
        <v>13</v>
      </c>
      <c r="F13" s="161">
        <f t="shared" si="0"/>
        <v>81</v>
      </c>
    </row>
    <row r="14" spans="1:6" x14ac:dyDescent="0.25">
      <c r="A14" s="160" t="s">
        <v>141</v>
      </c>
      <c r="B14" s="236">
        <v>46175</v>
      </c>
      <c r="C14" s="161">
        <v>40</v>
      </c>
      <c r="D14" s="161">
        <v>24</v>
      </c>
      <c r="E14" s="161">
        <v>10</v>
      </c>
      <c r="F14" s="161">
        <f t="shared" si="0"/>
        <v>74</v>
      </c>
    </row>
    <row r="15" spans="1:6" x14ac:dyDescent="0.25">
      <c r="A15" s="160" t="s">
        <v>147</v>
      </c>
      <c r="B15" s="236">
        <v>46196</v>
      </c>
      <c r="C15" s="161">
        <f>COUNTIFS(Başvuru!$I:$I,B15,Başvuru!$I:$I,"&lt;&gt;"&amp;"")</f>
        <v>46</v>
      </c>
      <c r="D15" s="161">
        <v>18</v>
      </c>
      <c r="E15" s="161">
        <v>10</v>
      </c>
      <c r="F15" s="161">
        <f t="shared" si="0"/>
        <v>74</v>
      </c>
    </row>
    <row r="16" spans="1:6" x14ac:dyDescent="0.25">
      <c r="A16" s="160" t="s">
        <v>155</v>
      </c>
      <c r="B16" s="236"/>
      <c r="C16" s="161"/>
      <c r="D16" s="161"/>
      <c r="E16" s="161"/>
      <c r="F16" s="161">
        <f t="shared" si="0"/>
        <v>0</v>
      </c>
    </row>
    <row r="17" spans="1:6" x14ac:dyDescent="0.25">
      <c r="A17" s="160" t="s">
        <v>162</v>
      </c>
      <c r="B17" s="236"/>
      <c r="C17" s="161"/>
      <c r="D17" s="161"/>
      <c r="E17" s="161"/>
      <c r="F17" s="161">
        <f t="shared" si="0"/>
        <v>0</v>
      </c>
    </row>
    <row r="18" spans="1:6" x14ac:dyDescent="0.25">
      <c r="A18" s="160" t="s">
        <v>169</v>
      </c>
      <c r="B18" s="236"/>
      <c r="C18" s="161"/>
      <c r="D18" s="161"/>
      <c r="E18" s="161"/>
      <c r="F18" s="161">
        <f t="shared" si="0"/>
        <v>0</v>
      </c>
    </row>
    <row r="19" spans="1:6" x14ac:dyDescent="0.25">
      <c r="A19" s="160" t="s">
        <v>177</v>
      </c>
      <c r="B19" s="236"/>
      <c r="C19" s="161"/>
      <c r="D19" s="161"/>
      <c r="E19" s="161"/>
      <c r="F19" s="161">
        <f t="shared" si="0"/>
        <v>0</v>
      </c>
    </row>
    <row r="20" spans="1:6" x14ac:dyDescent="0.25">
      <c r="A20" s="160" t="s">
        <v>183</v>
      </c>
      <c r="B20" s="236"/>
      <c r="C20" s="161"/>
      <c r="D20" s="161"/>
      <c r="E20" s="161"/>
      <c r="F20" s="161">
        <f t="shared" si="0"/>
        <v>0</v>
      </c>
    </row>
    <row r="21" spans="1:6" x14ac:dyDescent="0.25">
      <c r="A21" s="160" t="s">
        <v>190</v>
      </c>
      <c r="B21" s="236"/>
      <c r="C21" s="161"/>
      <c r="D21" s="161"/>
      <c r="E21" s="161"/>
      <c r="F21" s="161">
        <f t="shared" si="0"/>
        <v>0</v>
      </c>
    </row>
    <row r="22" spans="1:6" x14ac:dyDescent="0.25">
      <c r="A22" s="160" t="s">
        <v>197</v>
      </c>
      <c r="B22" s="236"/>
      <c r="C22" s="161"/>
      <c r="D22" s="161"/>
      <c r="E22" s="161"/>
      <c r="F22" s="161">
        <f t="shared" si="0"/>
        <v>0</v>
      </c>
    </row>
    <row r="23" spans="1:6" x14ac:dyDescent="0.25">
      <c r="A23" s="160" t="s">
        <v>204</v>
      </c>
      <c r="B23" s="236"/>
      <c r="C23" s="161"/>
      <c r="D23" s="161"/>
      <c r="E23" s="161"/>
      <c r="F23" s="161">
        <f t="shared" si="0"/>
        <v>0</v>
      </c>
    </row>
    <row r="24" spans="1:6" x14ac:dyDescent="0.25">
      <c r="A24" s="160" t="s">
        <v>209</v>
      </c>
      <c r="B24" s="236"/>
      <c r="C24" s="161"/>
      <c r="D24" s="161"/>
      <c r="E24" s="161"/>
      <c r="F24" s="161">
        <f t="shared" si="0"/>
        <v>0</v>
      </c>
    </row>
    <row r="25" spans="1:6" x14ac:dyDescent="0.25">
      <c r="A25" s="160" t="s">
        <v>217</v>
      </c>
      <c r="B25" s="236"/>
      <c r="C25" s="161"/>
      <c r="D25" s="161"/>
      <c r="E25" s="161"/>
      <c r="F25" s="161">
        <f t="shared" si="0"/>
        <v>0</v>
      </c>
    </row>
    <row r="26" spans="1:6" x14ac:dyDescent="0.25">
      <c r="A26" s="160" t="s">
        <v>223</v>
      </c>
      <c r="B26" s="236"/>
      <c r="C26" s="161"/>
      <c r="D26" s="161"/>
      <c r="E26" s="161"/>
      <c r="F26" s="161">
        <f t="shared" si="0"/>
        <v>0</v>
      </c>
    </row>
    <row r="27" spans="1:6" ht="20.25" customHeight="1" x14ac:dyDescent="0.25">
      <c r="A27" s="329" t="s">
        <v>4</v>
      </c>
      <c r="B27" s="330"/>
      <c r="C27" s="162">
        <f>SUM(C4:C26)</f>
        <v>538</v>
      </c>
      <c r="D27" s="163">
        <f>SUM(D4:D26)</f>
        <v>200</v>
      </c>
      <c r="E27" s="164">
        <f>SUM(E4:E26)</f>
        <v>122</v>
      </c>
      <c r="F27" s="162">
        <f>SUM(F4:F26)</f>
        <v>860</v>
      </c>
    </row>
    <row r="28" spans="1:6" x14ac:dyDescent="0.25">
      <c r="D28" s="331">
        <f>SUM(D27:E27)</f>
        <v>322</v>
      </c>
      <c r="E28" s="332"/>
    </row>
    <row r="29" spans="1:6" x14ac:dyDescent="0.25">
      <c r="D29" s="308">
        <f>F27-D28</f>
        <v>538</v>
      </c>
      <c r="E29" s="308"/>
    </row>
  </sheetData>
  <mergeCells count="4">
    <mergeCell ref="A1:F1"/>
    <mergeCell ref="A27:B27"/>
    <mergeCell ref="D28:E28"/>
    <mergeCell ref="D29:E29"/>
  </mergeCells>
  <conditionalFormatting sqref="B4:F26">
    <cfRule type="expression" dxfId="5"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2060"/>
    <pageSetUpPr fitToPage="1"/>
  </sheetPr>
  <dimension ref="A1:E90"/>
  <sheetViews>
    <sheetView showZeros="0" topLeftCell="A10" zoomScale="117" zoomScaleNormal="117" workbookViewId="0">
      <selection activeCell="B50" sqref="B50"/>
    </sheetView>
  </sheetViews>
  <sheetFormatPr defaultColWidth="64" defaultRowHeight="15.75" x14ac:dyDescent="0.25"/>
  <cols>
    <col min="1" max="1" width="41" style="165" customWidth="1"/>
    <col min="2" max="3" width="38.5703125" style="165" customWidth="1"/>
    <col min="4" max="4" width="64" style="166" customWidth="1"/>
    <col min="5" max="5" width="33.85546875" style="29" customWidth="1"/>
    <col min="6" max="6" width="64" style="166" customWidth="1"/>
    <col min="7" max="16384" width="64" style="166"/>
  </cols>
  <sheetData>
    <row r="1" spans="1:3" x14ac:dyDescent="0.25">
      <c r="A1" s="167" t="s">
        <v>74</v>
      </c>
      <c r="B1" s="165" t="str">
        <f t="array" ref="B1">INDEX($A:$A, (ROW()-1)*2 + COLUMN()-1)</f>
        <v>Prof. Dr. Gözde GİRGİN</v>
      </c>
      <c r="C1" s="165" t="str">
        <f t="array" ref="C1">INDEX($A:$A, (ROW()-1)*2 + COLUMN()-1)</f>
        <v>Prof. Dr. Ayşe KİN İŞLER</v>
      </c>
    </row>
    <row r="2" spans="1:3" x14ac:dyDescent="0.25">
      <c r="A2" s="165" t="s">
        <v>110</v>
      </c>
      <c r="B2" s="165" t="str">
        <f t="array" ref="B2">INDEX($A:$A, (ROW()-1)*2 + COLUMN()-1)</f>
        <v>Prof. Dr. M. Özgür UYANIK</v>
      </c>
      <c r="C2" s="165" t="str">
        <f t="array" ref="C2">INDEX($A:$A, (ROW()-1)*2 + COLUMN()-1)</f>
        <v>Prof. Dr. Ayşe KİN İŞLER</v>
      </c>
    </row>
    <row r="3" spans="1:3" x14ac:dyDescent="0.25">
      <c r="A3" s="165" t="s">
        <v>118</v>
      </c>
      <c r="B3" s="165" t="str">
        <f t="array" ref="B3">INDEX($A:$A, (ROW()-1)*2 + COLUMN()-1)</f>
        <v>Prof. Dr. Ayşe Nurten AKARSU</v>
      </c>
      <c r="C3" s="165" t="str">
        <f t="array" ref="C3">INDEX($A:$A, (ROW()-1)*2 + COLUMN()-1)</f>
        <v>Doç. Dr. Burcu ERSÖZ ALAN</v>
      </c>
    </row>
    <row r="4" spans="1:3" x14ac:dyDescent="0.25">
      <c r="A4" s="165" t="s">
        <v>110</v>
      </c>
      <c r="B4" s="165" t="str">
        <f t="array" ref="B4">INDEX($A:$A, (ROW()-1)*2 + COLUMN()-1)</f>
        <v>Doç. Dr. Kübra AYKAÇ</v>
      </c>
      <c r="C4" s="165" t="str">
        <f t="array" ref="C4">INDEX($A:$A, (ROW()-1)*2 + COLUMN()-1)</f>
        <v>Prof. Dr. Ayşe KİN İŞLER</v>
      </c>
    </row>
    <row r="5" spans="1:3" x14ac:dyDescent="0.25">
      <c r="A5" s="165" t="s">
        <v>64</v>
      </c>
      <c r="B5" s="165" t="str">
        <f t="array" ref="B5">INDEX($A:$A, (ROW()-1)*2 + COLUMN()-1)</f>
        <v>Doç. Dr. Kübra AYKAÇ</v>
      </c>
      <c r="C5" s="165" t="str">
        <f t="array" ref="C5">INDEX($A:$A, (ROW()-1)*2 + COLUMN()-1)</f>
        <v>Doç. Dr. Ekim GÜMELER</v>
      </c>
    </row>
    <row r="6" spans="1:3" x14ac:dyDescent="0.25">
      <c r="A6" s="165" t="s">
        <v>92</v>
      </c>
      <c r="B6" s="165" t="str">
        <f t="array" ref="B6">INDEX($A:$A, (ROW()-1)*2 + COLUMN()-1)</f>
        <v>Prof. Dr. Ayşe Nurten AKARSU</v>
      </c>
      <c r="C6" s="165" t="str">
        <f t="array" ref="C6">INDEX($A:$A, (ROW()-1)*2 + COLUMN()-1)</f>
        <v>Prof. Dr. Nazmiye Ebru ORTAÇ ERSOY</v>
      </c>
    </row>
    <row r="7" spans="1:3" x14ac:dyDescent="0.25">
      <c r="A7" s="165" t="s">
        <v>65</v>
      </c>
      <c r="B7" s="165" t="str">
        <f t="array" ref="B7">INDEX($A:$A, (ROW()-1)*2 + COLUMN()-1)</f>
        <v>Doç. Dr. Ekim GÜMELER</v>
      </c>
      <c r="C7" s="165" t="str">
        <f t="array" ref="C7">INDEX($A:$A, (ROW()-1)*2 + COLUMN()-1)</f>
        <v>Prof. Dr. Gözde GİRGİN</v>
      </c>
    </row>
    <row r="8" spans="1:3" x14ac:dyDescent="0.25">
      <c r="A8" s="165" t="s">
        <v>110</v>
      </c>
      <c r="B8" s="165" t="str">
        <f t="array" ref="B8">INDEX($A:$A, (ROW()-1)*2 + COLUMN()-1)</f>
        <v>Dr. Öğr. Üyesi Müge DEMİR</v>
      </c>
      <c r="C8" s="165" t="str">
        <f t="array" ref="C8">INDEX($A:$A, (ROW()-1)*2 + COLUMN()-1)</f>
        <v>Doç. Dr. Ekim GÜMELER</v>
      </c>
    </row>
    <row r="9" spans="1:3" x14ac:dyDescent="0.25">
      <c r="A9" s="165" t="s">
        <v>65</v>
      </c>
      <c r="B9" s="165" t="str">
        <f t="array" ref="B9">INDEX($A:$A, (ROW()-1)*2 + COLUMN()-1)</f>
        <v>Dr. Öğr. Üyesi Müge DEMİR</v>
      </c>
      <c r="C9" s="165" t="str">
        <f t="array" ref="C9">INDEX($A:$A, (ROW()-1)*2 + COLUMN()-1)</f>
        <v>Prof. Dr. Nazmiye Ebru ORTAÇ ERSOY</v>
      </c>
    </row>
    <row r="10" spans="1:3" x14ac:dyDescent="0.25">
      <c r="A10" s="165" t="s">
        <v>83</v>
      </c>
      <c r="B10" s="165" t="str">
        <f t="array" ref="B10">INDEX($A:$A, (ROW()-1)*2 + COLUMN()-1)</f>
        <v>Prof. Dr. Ayşe Nurten AKARSU</v>
      </c>
      <c r="C10" s="165" t="str">
        <f t="array" ref="C10">INDEX($A:$A, (ROW()-1)*2 + COLUMN()-1)</f>
        <v>Prof. Dr. Gözde GİRGİN</v>
      </c>
    </row>
    <row r="11" spans="1:3" x14ac:dyDescent="0.25">
      <c r="A11" s="165" t="s">
        <v>64</v>
      </c>
      <c r="B11" s="165" t="str">
        <f t="array" ref="B11">INDEX($A:$A, (ROW()-1)*2 + COLUMN()-1)</f>
        <v>Prof. Dr. Ayşe Nurten AKARSU</v>
      </c>
      <c r="C11" s="165" t="str">
        <f t="array" ref="C11">INDEX($A:$A, (ROW()-1)*2 + COLUMN()-1)</f>
        <v>Prof. Dr. Gözde GİRGİN</v>
      </c>
    </row>
    <row r="12" spans="1:3" x14ac:dyDescent="0.25">
      <c r="A12" s="165" t="s">
        <v>125</v>
      </c>
      <c r="B12" s="165" t="str">
        <f t="array" ref="B12">INDEX($A:$A, (ROW()-1)*2 + COLUMN()-1)</f>
        <v>Prof. Dr. M. Özgür UYANIK</v>
      </c>
      <c r="C12" s="165" t="str">
        <f t="array" ref="C12">INDEX($A:$A, (ROW()-1)*2 + COLUMN()-1)</f>
        <v>Prof. Dr. Nazmiye Ebru ORTAÇ ERSOY</v>
      </c>
    </row>
    <row r="13" spans="1:3" x14ac:dyDescent="0.25">
      <c r="A13" s="165" t="s">
        <v>83</v>
      </c>
      <c r="B13" s="165" t="str">
        <f t="array" ref="B13">INDEX($A:$A, (ROW()-1)*2 + COLUMN()-1)</f>
        <v>Prof. Dr. Ayşe KİN İŞLER</v>
      </c>
      <c r="C13" s="165" t="str">
        <f t="array" ref="C13">INDEX($A:$A, (ROW()-1)*2 + COLUMN()-1)</f>
        <v>Doç. Dr. Kübra AYKAÇ</v>
      </c>
    </row>
    <row r="14" spans="1:3" x14ac:dyDescent="0.25">
      <c r="A14" s="165" t="s">
        <v>74</v>
      </c>
      <c r="B14" s="165" t="str">
        <f t="array" ref="B14">INDEX($A:$A, (ROW()-1)*2 + COLUMN()-1)</f>
        <v>Prof. Dr. Yavuz AYHAN</v>
      </c>
      <c r="C14" s="165" t="str">
        <f t="array" ref="C14">INDEX($A:$A, (ROW()-1)*2 + COLUMN()-1)</f>
        <v>Doç. Dr. Burcu ERSÖZ ALAN</v>
      </c>
    </row>
    <row r="15" spans="1:3" x14ac:dyDescent="0.25">
      <c r="A15" s="165" t="s">
        <v>82</v>
      </c>
      <c r="B15" s="165" t="str">
        <f t="array" ref="B15">INDEX($A:$A, (ROW()-1)*2 + COLUMN()-1)</f>
        <v>Prof. Dr. Ayşe Nurten AKARSU</v>
      </c>
      <c r="C15" s="165" t="str">
        <f t="array" ref="C15">INDEX($A:$A, (ROW()-1)*2 + COLUMN()-1)</f>
        <v>Prof. Dr. Melih Önder BABAOĞLU</v>
      </c>
    </row>
    <row r="16" spans="1:3" x14ac:dyDescent="0.25">
      <c r="A16" s="165" t="s">
        <v>83</v>
      </c>
      <c r="B16" s="165" t="str">
        <f t="array" ref="B16">INDEX($A:$A, (ROW()-1)*2 + COLUMN()-1)</f>
        <v>Dr. Öğr. Üyesi Müge DEMİR</v>
      </c>
      <c r="C16" s="165" t="str">
        <f t="array" ref="C16">INDEX($A:$A, (ROW()-1)*2 + COLUMN()-1)</f>
        <v>Doç. Dr. Ekim GÜMELER</v>
      </c>
    </row>
    <row r="17" spans="1:3" x14ac:dyDescent="0.25">
      <c r="A17" s="165" t="s">
        <v>82</v>
      </c>
      <c r="B17" s="165" t="str">
        <f t="array" ref="B17">INDEX($A:$A, (ROW()-1)*2 + COLUMN()-1)</f>
        <v>Prof. Dr. Ayşe Nurten AKARSU</v>
      </c>
      <c r="C17" s="165" t="str">
        <f t="array" ref="C17">INDEX($A:$A, (ROW()-1)*2 + COLUMN()-1)</f>
        <v>Doç. Dr. Kübra AYKAÇ</v>
      </c>
    </row>
    <row r="18" spans="1:3" x14ac:dyDescent="0.25">
      <c r="A18" s="165" t="s">
        <v>125</v>
      </c>
      <c r="B18" s="165" t="str">
        <f t="array" ref="B18">INDEX($A:$A, (ROW()-1)*2 + COLUMN()-1)</f>
        <v>Prof. Dr. Melih Önder BABAOĞLU</v>
      </c>
      <c r="C18" s="165" t="str">
        <f t="array" ref="C18">INDEX($A:$A, (ROW()-1)*2 + COLUMN()-1)</f>
        <v>Prof. Dr. Ayşe KİN İŞLER</v>
      </c>
    </row>
    <row r="19" spans="1:3" x14ac:dyDescent="0.25">
      <c r="A19" s="165" t="s">
        <v>64</v>
      </c>
      <c r="B19" s="165" t="str">
        <f t="array" ref="B19">INDEX($A:$A, (ROW()-1)*2 + COLUMN()-1)</f>
        <v>Doç. Dr. Burcu ERSÖZ ALAN</v>
      </c>
      <c r="C19" s="165" t="str">
        <f t="array" ref="C19">INDEX($A:$A, (ROW()-1)*2 + COLUMN()-1)</f>
        <v>Doç. Dr. Kübra AYKAÇ</v>
      </c>
    </row>
    <row r="20" spans="1:3" x14ac:dyDescent="0.25">
      <c r="A20" s="165" t="s">
        <v>74</v>
      </c>
      <c r="B20" s="165" t="str">
        <f t="array" ref="B20">INDEX($A:$A, (ROW()-1)*2 + COLUMN()-1)</f>
        <v>Prof. Dr. M. Özgür UYANIK</v>
      </c>
      <c r="C20" s="165" t="str">
        <f t="array" ref="C20">INDEX($A:$A, (ROW()-1)*2 + COLUMN()-1)</f>
        <v>Prof. Dr. Nazmiye Ebru ORTAÇ ERSOY</v>
      </c>
    </row>
    <row r="21" spans="1:3" x14ac:dyDescent="0.25">
      <c r="A21" s="165" t="s">
        <v>64</v>
      </c>
      <c r="B21" s="165" t="str">
        <f t="array" ref="B21">INDEX($A:$A, (ROW()-1)*2 + COLUMN()-1)</f>
        <v>Prof. Dr. Melih Önder BABAOĞLU</v>
      </c>
      <c r="C21" s="165" t="str">
        <f t="array" ref="C21">INDEX($A:$A, (ROW()-1)*2 + COLUMN()-1)</f>
        <v>Prof. Dr. Gözde GİRGİN</v>
      </c>
    </row>
    <row r="22" spans="1:3" x14ac:dyDescent="0.25">
      <c r="A22" s="165" t="s">
        <v>74</v>
      </c>
      <c r="B22" s="165" t="str">
        <f t="array" ref="B22">INDEX($A:$A, (ROW()-1)*2 + COLUMN()-1)</f>
        <v>Prof. Dr. Melih Önder BABAOĞLU</v>
      </c>
      <c r="C22" s="165" t="str">
        <f t="array" ref="C22">INDEX($A:$A, (ROW()-1)*2 + COLUMN()-1)</f>
        <v>Prof. Dr. Gözde GİRGİN</v>
      </c>
    </row>
    <row r="23" spans="1:3" x14ac:dyDescent="0.25">
      <c r="A23" s="165" t="s">
        <v>118</v>
      </c>
      <c r="B23" s="165" t="str">
        <f t="array" ref="B23">INDEX($A:$A, (ROW()-1)*2 + COLUMN()-1)</f>
        <v>Prof. Dr. Nazmiye Ebru ORTAÇ ERSOY</v>
      </c>
      <c r="C23" s="165" t="str">
        <f t="array" ref="C23">INDEX($A:$A, (ROW()-1)*2 + COLUMN()-1)</f>
        <v>Prof. Dr. Yavuz AYHAN</v>
      </c>
    </row>
    <row r="24" spans="1:3" x14ac:dyDescent="0.25">
      <c r="A24" s="165" t="s">
        <v>125</v>
      </c>
      <c r="B24" s="165" t="str">
        <f t="array" ref="B24">INDEX($A:$A, (ROW()-1)*2 + COLUMN()-1)</f>
        <v>Dr. Öğr. Üyesi Müge DEMİR</v>
      </c>
      <c r="C24" s="165" t="str">
        <f t="array" ref="C24">INDEX($A:$A, (ROW()-1)*2 + COLUMN()-1)</f>
        <v>Doç. Dr. Ekim GÜMELER</v>
      </c>
    </row>
    <row r="25" spans="1:3" x14ac:dyDescent="0.25">
      <c r="A25" s="165" t="s">
        <v>110</v>
      </c>
      <c r="B25" s="165" t="str">
        <f t="array" ref="B25">INDEX($A:$A, (ROW()-1)*2 + COLUMN()-1)</f>
        <v>Doç. Dr. Kübra AYKAÇ</v>
      </c>
      <c r="C25" s="165" t="str">
        <f t="array" ref="C25">INDEX($A:$A, (ROW()-1)*2 + COLUMN()-1)</f>
        <v>Prof. Dr. Ayşe KİN İŞLER</v>
      </c>
    </row>
    <row r="26" spans="1:3" x14ac:dyDescent="0.25">
      <c r="A26" s="165" t="s">
        <v>65</v>
      </c>
      <c r="B26" s="165" t="str">
        <f t="array" ref="B26">INDEX($A:$A, (ROW()-1)*2 + COLUMN()-1)</f>
        <v>Prof. Dr. Melih Önder BABAOĞLU</v>
      </c>
      <c r="C26" s="165" t="str">
        <f t="array" ref="C26">INDEX($A:$A, (ROW()-1)*2 + COLUMN()-1)</f>
        <v>Prof. Dr. Nazmiye Ebru ORTAÇ ERSOY</v>
      </c>
    </row>
    <row r="27" spans="1:3" x14ac:dyDescent="0.25">
      <c r="A27" s="165" t="s">
        <v>101</v>
      </c>
      <c r="B27" s="165" t="str">
        <f t="array" ref="B27">INDEX($A:$A, (ROW()-1)*2 + COLUMN()-1)</f>
        <v>Prof. Dr. Yavuz AYHAN</v>
      </c>
      <c r="C27" s="165" t="str">
        <f t="array" ref="C27">INDEX($A:$A, (ROW()-1)*2 + COLUMN()-1)</f>
        <v>Dr. Öğr. Üyesi Müge DEMİR</v>
      </c>
    </row>
    <row r="28" spans="1:3" x14ac:dyDescent="0.25">
      <c r="A28" s="165" t="s">
        <v>92</v>
      </c>
      <c r="B28" s="165" t="str">
        <f t="array" ref="B28">INDEX($A:$A, (ROW()-1)*2 + COLUMN()-1)</f>
        <v>Prof. Dr. M. Özgür UYANIK</v>
      </c>
      <c r="C28" s="165" t="str">
        <f t="array" ref="C28">INDEX($A:$A, (ROW()-1)*2 + COLUMN()-1)</f>
        <v>Doç. Dr. Burcu ERSÖZ ALAN</v>
      </c>
    </row>
    <row r="29" spans="1:3" x14ac:dyDescent="0.25">
      <c r="A29" s="165" t="s">
        <v>64</v>
      </c>
      <c r="B29" s="165" t="str">
        <f t="array" ref="B29">INDEX($A:$A, (ROW()-1)*2 + COLUMN()-1)</f>
        <v>Doç. Dr. Ekim GÜMELER</v>
      </c>
      <c r="C29" s="165" t="str">
        <f t="array" ref="C29">INDEX($A:$A, (ROW()-1)*2 + COLUMN()-1)</f>
        <v>Prof. Dr. M. Özgür UYANIK</v>
      </c>
    </row>
    <row r="30" spans="1:3" x14ac:dyDescent="0.25">
      <c r="A30" s="165" t="s">
        <v>102</v>
      </c>
      <c r="B30" s="165" t="str">
        <f t="array" ref="B30">INDEX($A:$A, (ROW()-1)*2 + COLUMN()-1)</f>
        <v>Prof. Dr. Nazmiye Ebru ORTAÇ ERSOY</v>
      </c>
      <c r="C30" s="165" t="str">
        <f t="array" ref="C30">INDEX($A:$A, (ROW()-1)*2 + COLUMN()-1)</f>
        <v>Prof. Dr. M. Özgür UYANIK</v>
      </c>
    </row>
    <row r="31" spans="1:3" x14ac:dyDescent="0.25">
      <c r="A31" s="165" t="s">
        <v>82</v>
      </c>
      <c r="B31" s="165" t="str">
        <f t="array" ref="B31">INDEX($A:$A, (ROW()-1)*2 + COLUMN()-1)</f>
        <v>Prof. Dr. Yavuz AYHAN</v>
      </c>
      <c r="C31" s="165" t="str">
        <f t="array" ref="C31">INDEX($A:$A, (ROW()-1)*2 + COLUMN()-1)</f>
        <v>Prof. Dr. Gözde GİRGİN</v>
      </c>
    </row>
    <row r="32" spans="1:3" x14ac:dyDescent="0.25">
      <c r="A32" s="165" t="s">
        <v>83</v>
      </c>
      <c r="B32" s="165" t="str">
        <f t="array" ref="B32">INDEX($A:$A, (ROW()-1)*2 + COLUMN()-1)</f>
        <v>Doç. Dr. Ekim GÜMELER</v>
      </c>
      <c r="C32" s="165" t="str">
        <f t="array" ref="C32">INDEX($A:$A, (ROW()-1)*2 + COLUMN()-1)</f>
        <v>Prof. Dr. Yavuz AYHAN</v>
      </c>
    </row>
    <row r="33" spans="1:3" x14ac:dyDescent="0.25">
      <c r="A33" s="165" t="s">
        <v>64</v>
      </c>
      <c r="B33" s="165" t="str">
        <f t="array" ref="B33">INDEX($A:$A, (ROW()-1)*2 + COLUMN()-1)</f>
        <v>Prof. Dr. Melih Önder BABAOĞLU</v>
      </c>
      <c r="C33" s="165" t="str">
        <f t="array" ref="C33">INDEX($A:$A, (ROW()-1)*2 + COLUMN()-1)</f>
        <v>Doç. Dr. Burcu ERSÖZ ALAN</v>
      </c>
    </row>
    <row r="34" spans="1:3" x14ac:dyDescent="0.25">
      <c r="A34" s="165" t="s">
        <v>65</v>
      </c>
      <c r="B34" s="165" t="str">
        <f t="array" ref="B34">INDEX($A:$A, (ROW()-1)*2 + COLUMN()-1)</f>
        <v>Prof. Dr. Yavuz AYHAN</v>
      </c>
      <c r="C34" s="165" t="str">
        <f t="array" ref="C34">INDEX($A:$A, (ROW()-1)*2 + COLUMN()-1)</f>
        <v>Dr. Öğr. Üyesi Müge DEMİR</v>
      </c>
    </row>
    <row r="35" spans="1:3" x14ac:dyDescent="0.25">
      <c r="A35" s="165" t="s">
        <v>102</v>
      </c>
      <c r="B35" s="165" t="str">
        <f t="array" ref="B35">INDEX($A:$A, (ROW()-1)*2 + COLUMN()-1)</f>
        <v>Prof. Dr. Ayşe Nurten AKARSU</v>
      </c>
      <c r="C35" s="165" t="str">
        <f t="array" ref="C35">INDEX($A:$A, (ROW()-1)*2 + COLUMN()-1)</f>
        <v>Prof. Dr. Ayşe KİN İŞLER</v>
      </c>
    </row>
    <row r="36" spans="1:3" x14ac:dyDescent="0.25">
      <c r="A36" s="165" t="s">
        <v>110</v>
      </c>
      <c r="B36" s="165" t="str">
        <f t="array" ref="B36">INDEX($A:$A, (ROW()-1)*2 + COLUMN()-1)</f>
        <v>Dr. Öğr. Üyesi Müge DEMİR</v>
      </c>
      <c r="C36" s="165" t="str">
        <f t="array" ref="C36">INDEX($A:$A, (ROW()-1)*2 + COLUMN()-1)</f>
        <v>Prof. Dr. Yavuz AYHAN</v>
      </c>
    </row>
    <row r="37" spans="1:3" x14ac:dyDescent="0.25">
      <c r="A37" s="165" t="s">
        <v>92</v>
      </c>
      <c r="B37" s="165" t="str">
        <f t="array" ref="B37">INDEX($A:$A, (ROW()-1)*2 + COLUMN()-1)</f>
        <v>Prof. Dr. M. Özgür UYANIK</v>
      </c>
      <c r="C37" s="165" t="str">
        <f t="array" ref="C37">INDEX($A:$A, (ROW()-1)*2 + COLUMN()-1)</f>
        <v>Doç. Dr. Kübra AYKAÇ</v>
      </c>
    </row>
    <row r="38" spans="1:3" x14ac:dyDescent="0.25">
      <c r="A38" s="165" t="s">
        <v>65</v>
      </c>
      <c r="B38" s="165" t="str">
        <f t="array" ref="B38">INDEX($A:$A, (ROW()-1)*2 + COLUMN()-1)</f>
        <v>Doç. Dr. Burcu ERSÖZ ALAN</v>
      </c>
      <c r="C38" s="165" t="str">
        <f t="array" ref="C38">INDEX($A:$A, (ROW()-1)*2 + COLUMN()-1)</f>
        <v>Prof. Dr. Ayşe KİN İŞLER</v>
      </c>
    </row>
    <row r="39" spans="1:3" x14ac:dyDescent="0.25">
      <c r="A39" s="165" t="s">
        <v>118</v>
      </c>
      <c r="B39" s="165" t="str">
        <f t="array" ref="B39">INDEX($A:$A, (ROW()-1)*2 + COLUMN()-1)</f>
        <v>Prof. Dr. Yavuz AYHAN</v>
      </c>
      <c r="C39" s="165" t="str">
        <f t="array" ref="C39">INDEX($A:$A, (ROW()-1)*2 + COLUMN()-1)</f>
        <v>Doç. Dr. Burcu ERSÖZ ALAN</v>
      </c>
    </row>
    <row r="40" spans="1:3" x14ac:dyDescent="0.25">
      <c r="A40" s="165" t="s">
        <v>125</v>
      </c>
      <c r="B40" s="165" t="str">
        <f t="array" ref="B40">INDEX($A:$A, (ROW()-1)*2 + COLUMN()-1)</f>
        <v>Prof. Dr. M. Özgür UYANIK</v>
      </c>
      <c r="C40" s="165" t="str">
        <f t="array" ref="C40">INDEX($A:$A, (ROW()-1)*2 + COLUMN()-1)</f>
        <v>Prof. Dr. Ayşe Nurten AKARSU</v>
      </c>
    </row>
    <row r="41" spans="1:3" x14ac:dyDescent="0.25">
      <c r="A41" s="165" t="s">
        <v>102</v>
      </c>
      <c r="B41" s="165" t="str">
        <f t="array" ref="B41">INDEX($A:$A, (ROW()-1)*2 + COLUMN()-1)</f>
        <v>Prof. Dr. Melih Önder BABAOĞLU</v>
      </c>
      <c r="C41" s="165" t="str">
        <f t="array" ref="C41">INDEX($A:$A, (ROW()-1)*2 + COLUMN()-1)</f>
        <v>Doç. Dr. Ekim GÜMELER</v>
      </c>
    </row>
    <row r="42" spans="1:3" x14ac:dyDescent="0.25">
      <c r="A42" s="165" t="s">
        <v>74</v>
      </c>
      <c r="B42" s="165" t="str">
        <f t="array" ref="B42">INDEX($A:$A, (ROW()-1)*2 + COLUMN()-1)</f>
        <v>Doç. Dr. Burcu ERSÖZ ALAN</v>
      </c>
      <c r="C42" s="165" t="str">
        <f t="array" ref="C42">INDEX($A:$A, (ROW()-1)*2 + COLUMN()-1)</f>
        <v>Doç. Dr. Kübra AYKAÇ</v>
      </c>
    </row>
    <row r="43" spans="1:3" x14ac:dyDescent="0.25">
      <c r="A43" s="165" t="s">
        <v>102</v>
      </c>
      <c r="B43" s="165" t="str">
        <f t="array" ref="B43">INDEX($A:$A, (ROW()-1)*2 + COLUMN()-1)</f>
        <v>Dr. Öğr. Üyesi Müge DEMİR</v>
      </c>
      <c r="C43" s="165" t="str">
        <f t="array" ref="C43">INDEX($A:$A, (ROW()-1)*2 + COLUMN()-1)</f>
        <v>Prof. Dr. Melih Önder BABAOĞLU</v>
      </c>
    </row>
    <row r="44" spans="1:3" x14ac:dyDescent="0.25">
      <c r="A44" s="165" t="s">
        <v>74</v>
      </c>
      <c r="B44" s="165" t="str">
        <f t="array" ref="B44">INDEX($A:$A, (ROW()-1)*2 + COLUMN()-1)</f>
        <v>Prof. Dr. Nazmiye Ebru ORTAÇ ERSOY</v>
      </c>
      <c r="C44" s="165" t="str">
        <f t="array" ref="C44">INDEX($A:$A, (ROW()-1)*2 + COLUMN()-1)</f>
        <v>Prof. Dr. Gözde GİRGİN</v>
      </c>
    </row>
    <row r="45" spans="1:3" x14ac:dyDescent="0.25">
      <c r="A45" s="165" t="s">
        <v>125</v>
      </c>
      <c r="B45" s="165" t="str">
        <f t="array" ref="B45">INDEX($A:$A, (ROW()-1)*2 + COLUMN()-1)</f>
        <v>Doç. Dr. Ekim GÜMELER</v>
      </c>
      <c r="C45" s="165" t="str">
        <f t="array" ref="C45">INDEX($A:$A, (ROW()-1)*2 + COLUMN()-1)</f>
        <v>Prof. Dr. Ayşe KİN İŞLER</v>
      </c>
    </row>
    <row r="46" spans="1:3" x14ac:dyDescent="0.25">
      <c r="A46" s="165" t="s">
        <v>101</v>
      </c>
      <c r="B46" s="165">
        <f t="array" ref="B46">INDEX($A:$A, (ROW()-1)*2 + COLUMN()-1)</f>
        <v>0</v>
      </c>
      <c r="C46" s="165">
        <f t="array" ref="C46">INDEX($A:$A, (ROW()-1)*2 + COLUMN()-1)</f>
        <v>0</v>
      </c>
    </row>
    <row r="47" spans="1:3" x14ac:dyDescent="0.25">
      <c r="A47" s="165" t="s">
        <v>82</v>
      </c>
      <c r="B47" s="165">
        <f t="array" ref="B47">INDEX($A:$A, (ROW()-1)*2 + COLUMN()-1)</f>
        <v>0</v>
      </c>
      <c r="C47" s="165">
        <f t="array" ref="C47">INDEX($A:$A, (ROW()-1)*2 + COLUMN()-1)</f>
        <v>0</v>
      </c>
    </row>
    <row r="48" spans="1:3" x14ac:dyDescent="0.25">
      <c r="A48" s="165" t="s">
        <v>83</v>
      </c>
      <c r="B48" s="165">
        <f t="array" ref="B48">INDEX($A:$A, (ROW()-1)*2 + COLUMN()-1)</f>
        <v>0</v>
      </c>
      <c r="C48" s="165">
        <f t="array" ref="C48">INDEX($A:$A, (ROW()-1)*2 + COLUMN()-1)</f>
        <v>0</v>
      </c>
    </row>
    <row r="49" spans="1:3" x14ac:dyDescent="0.25">
      <c r="A49" s="165" t="s">
        <v>65</v>
      </c>
      <c r="B49" s="165">
        <f t="array" ref="B49">INDEX($A:$A, (ROW()-1)*2 + COLUMN()-1)</f>
        <v>0</v>
      </c>
      <c r="C49" s="165">
        <f t="array" ref="C49">INDEX($A:$A, (ROW()-1)*2 + COLUMN()-1)</f>
        <v>0</v>
      </c>
    </row>
    <row r="50" spans="1:3" x14ac:dyDescent="0.25">
      <c r="A50" s="165" t="s">
        <v>110</v>
      </c>
      <c r="B50" s="165">
        <f t="array" ref="B50">INDEX($A:$A, (ROW()-1)*2 + COLUMN()-1)</f>
        <v>0</v>
      </c>
      <c r="C50" s="165">
        <f t="array" ref="C50">INDEX($A:$A, (ROW()-1)*2 + COLUMN()-1)</f>
        <v>0</v>
      </c>
    </row>
    <row r="51" spans="1:3" x14ac:dyDescent="0.25">
      <c r="A51" s="165" t="s">
        <v>102</v>
      </c>
      <c r="B51" s="165">
        <f t="array" ref="B51">INDEX($A:$A, (ROW()-1)*2 + COLUMN()-1)</f>
        <v>0</v>
      </c>
      <c r="C51" s="165">
        <f t="array" ref="C51">INDEX($A:$A, (ROW()-1)*2 + COLUMN()-1)</f>
        <v>0</v>
      </c>
    </row>
    <row r="52" spans="1:3" x14ac:dyDescent="0.25">
      <c r="A52" s="165" t="s">
        <v>125</v>
      </c>
      <c r="B52" s="165">
        <f t="array" ref="B52">INDEX($A:$A, (ROW()-1)*2 + COLUMN()-1)</f>
        <v>0</v>
      </c>
      <c r="C52" s="165">
        <f t="array" ref="C52">INDEX($A:$A, (ROW()-1)*2 + COLUMN()-1)</f>
        <v>0</v>
      </c>
    </row>
    <row r="53" spans="1:3" x14ac:dyDescent="0.25">
      <c r="A53" s="165" t="s">
        <v>101</v>
      </c>
      <c r="B53" s="165">
        <f t="array" ref="B53">INDEX($A:$A, (ROW()-1)*2 + COLUMN()-1)</f>
        <v>0</v>
      </c>
      <c r="C53" s="165">
        <f t="array" ref="C53">INDEX($A:$A, (ROW()-1)*2 + COLUMN()-1)</f>
        <v>0</v>
      </c>
    </row>
    <row r="54" spans="1:3" x14ac:dyDescent="0.25">
      <c r="A54" s="165" t="s">
        <v>82</v>
      </c>
      <c r="B54" s="165">
        <f t="array" ref="B54">INDEX($A:$A, (ROW()-1)*2 + COLUMN()-1)</f>
        <v>0</v>
      </c>
      <c r="C54" s="165">
        <f t="array" ref="C54">INDEX($A:$A, (ROW()-1)*2 + COLUMN()-1)</f>
        <v>0</v>
      </c>
    </row>
    <row r="55" spans="1:3" x14ac:dyDescent="0.25">
      <c r="A55" s="165" t="s">
        <v>118</v>
      </c>
      <c r="B55" s="165">
        <f t="array" ref="B55">INDEX($A:$A, (ROW()-1)*2 + COLUMN()-1)</f>
        <v>0</v>
      </c>
      <c r="C55" s="165">
        <f t="array" ref="C55">INDEX($A:$A, (ROW()-1)*2 + COLUMN()-1)</f>
        <v>0</v>
      </c>
    </row>
    <row r="56" spans="1:3" x14ac:dyDescent="0.25">
      <c r="A56" s="165" t="s">
        <v>92</v>
      </c>
      <c r="B56" s="165">
        <f t="array" ref="B56">INDEX($A:$A, (ROW()-1)*2 + COLUMN()-1)</f>
        <v>0</v>
      </c>
      <c r="C56" s="165">
        <f t="array" ref="C56">INDEX($A:$A, (ROW()-1)*2 + COLUMN()-1)</f>
        <v>0</v>
      </c>
    </row>
    <row r="57" spans="1:3" x14ac:dyDescent="0.25">
      <c r="A57" s="165" t="s">
        <v>83</v>
      </c>
      <c r="B57" s="165">
        <f t="array" ref="B57">INDEX($A:$A, (ROW()-1)*2 + COLUMN()-1)</f>
        <v>0</v>
      </c>
      <c r="C57" s="165">
        <f t="array" ref="C57">INDEX($A:$A, (ROW()-1)*2 + COLUMN()-1)</f>
        <v>0</v>
      </c>
    </row>
    <row r="58" spans="1:3" x14ac:dyDescent="0.25">
      <c r="A58" s="165" t="s">
        <v>118</v>
      </c>
      <c r="B58" s="165">
        <f t="array" ref="B58">INDEX($A:$A, (ROW()-1)*2 + COLUMN()-1)</f>
        <v>0</v>
      </c>
      <c r="C58" s="165">
        <f t="array" ref="C58">INDEX($A:$A, (ROW()-1)*2 + COLUMN()-1)</f>
        <v>0</v>
      </c>
    </row>
    <row r="59" spans="1:3" x14ac:dyDescent="0.25">
      <c r="A59" s="165" t="s">
        <v>125</v>
      </c>
      <c r="B59" s="165">
        <f t="array" ref="B59">INDEX($A:$A, (ROW()-1)*2 + COLUMN()-1)</f>
        <v>0</v>
      </c>
      <c r="C59" s="165">
        <f t="array" ref="C59">INDEX($A:$A, (ROW()-1)*2 + COLUMN()-1)</f>
        <v>0</v>
      </c>
    </row>
    <row r="60" spans="1:3" x14ac:dyDescent="0.25">
      <c r="A60" s="165" t="s">
        <v>118</v>
      </c>
      <c r="B60" s="165">
        <f t="array" ref="B60">INDEX($A:$A, (ROW()-1)*2 + COLUMN()-1)</f>
        <v>0</v>
      </c>
      <c r="C60" s="165">
        <f t="array" ref="C60">INDEX($A:$A, (ROW()-1)*2 + COLUMN()-1)</f>
        <v>0</v>
      </c>
    </row>
    <row r="61" spans="1:3" x14ac:dyDescent="0.25">
      <c r="A61" s="165" t="s">
        <v>101</v>
      </c>
      <c r="B61" s="165">
        <f t="array" ref="B61">INDEX($A:$A, (ROW()-1)*2 + COLUMN()-1)</f>
        <v>0</v>
      </c>
      <c r="C61" s="165">
        <f t="array" ref="C61">INDEX($A:$A, (ROW()-1)*2 + COLUMN()-1)</f>
        <v>0</v>
      </c>
    </row>
    <row r="62" spans="1:3" x14ac:dyDescent="0.25">
      <c r="A62" s="165" t="s">
        <v>74</v>
      </c>
      <c r="B62" s="165">
        <f t="array" ref="B62">INDEX($A:$A, (ROW()-1)*2 + COLUMN()-1)</f>
        <v>0</v>
      </c>
      <c r="C62" s="165">
        <f t="array" ref="C62">INDEX($A:$A, (ROW()-1)*2 + COLUMN()-1)</f>
        <v>0</v>
      </c>
    </row>
    <row r="63" spans="1:3" x14ac:dyDescent="0.25">
      <c r="A63" s="165" t="s">
        <v>83</v>
      </c>
    </row>
    <row r="64" spans="1:3" x14ac:dyDescent="0.25">
      <c r="A64" s="165" t="s">
        <v>101</v>
      </c>
    </row>
    <row r="65" spans="1:1" x14ac:dyDescent="0.25">
      <c r="A65" s="165" t="s">
        <v>102</v>
      </c>
    </row>
    <row r="66" spans="1:1" x14ac:dyDescent="0.25">
      <c r="A66" s="165" t="s">
        <v>92</v>
      </c>
    </row>
    <row r="67" spans="1:1" x14ac:dyDescent="0.25">
      <c r="A67" s="165" t="s">
        <v>101</v>
      </c>
    </row>
    <row r="68" spans="1:1" x14ac:dyDescent="0.25">
      <c r="A68" s="165" t="s">
        <v>82</v>
      </c>
    </row>
    <row r="69" spans="1:1" x14ac:dyDescent="0.25">
      <c r="A69" s="165" t="s">
        <v>64</v>
      </c>
    </row>
    <row r="70" spans="1:1" x14ac:dyDescent="0.25">
      <c r="A70" s="165" t="s">
        <v>110</v>
      </c>
    </row>
    <row r="71" spans="1:1" x14ac:dyDescent="0.25">
      <c r="A71" s="165" t="s">
        <v>82</v>
      </c>
    </row>
    <row r="72" spans="1:1" x14ac:dyDescent="0.25">
      <c r="A72" s="165" t="s">
        <v>101</v>
      </c>
    </row>
    <row r="73" spans="1:1" x14ac:dyDescent="0.25">
      <c r="A73" s="165" t="s">
        <v>118</v>
      </c>
    </row>
    <row r="74" spans="1:1" x14ac:dyDescent="0.25">
      <c r="A74" s="165" t="s">
        <v>65</v>
      </c>
    </row>
    <row r="75" spans="1:1" x14ac:dyDescent="0.25">
      <c r="A75" s="165" t="s">
        <v>92</v>
      </c>
    </row>
    <row r="76" spans="1:1" x14ac:dyDescent="0.25">
      <c r="A76" s="165" t="s">
        <v>110</v>
      </c>
    </row>
    <row r="77" spans="1:1" x14ac:dyDescent="0.25">
      <c r="A77" s="165" t="s">
        <v>101</v>
      </c>
    </row>
    <row r="78" spans="1:1" x14ac:dyDescent="0.25">
      <c r="A78" s="165" t="s">
        <v>92</v>
      </c>
    </row>
    <row r="79" spans="1:1" x14ac:dyDescent="0.25">
      <c r="A79" s="165" t="s">
        <v>118</v>
      </c>
    </row>
    <row r="80" spans="1:1" x14ac:dyDescent="0.25">
      <c r="A80" s="165" t="s">
        <v>64</v>
      </c>
    </row>
    <row r="81" spans="1:1" x14ac:dyDescent="0.25">
      <c r="A81" s="165" t="s">
        <v>102</v>
      </c>
    </row>
    <row r="82" spans="1:1" x14ac:dyDescent="0.25">
      <c r="A82" s="165" t="s">
        <v>83</v>
      </c>
    </row>
    <row r="83" spans="1:1" x14ac:dyDescent="0.25">
      <c r="A83" s="165" t="s">
        <v>92</v>
      </c>
    </row>
    <row r="84" spans="1:1" x14ac:dyDescent="0.25">
      <c r="A84" s="165" t="s">
        <v>65</v>
      </c>
    </row>
    <row r="85" spans="1:1" x14ac:dyDescent="0.25">
      <c r="A85" s="165" t="s">
        <v>82</v>
      </c>
    </row>
    <row r="86" spans="1:1" x14ac:dyDescent="0.25">
      <c r="A86" s="165" t="s">
        <v>102</v>
      </c>
    </row>
    <row r="87" spans="1:1" x14ac:dyDescent="0.25">
      <c r="A87" s="165" t="s">
        <v>125</v>
      </c>
    </row>
    <row r="88" spans="1:1" x14ac:dyDescent="0.25">
      <c r="A88" s="165" t="s">
        <v>74</v>
      </c>
    </row>
    <row r="89" spans="1:1" x14ac:dyDescent="0.25">
      <c r="A89" s="165" t="s">
        <v>83</v>
      </c>
    </row>
    <row r="90" spans="1:1" x14ac:dyDescent="0.25">
      <c r="A90" s="165" t="s">
        <v>110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3" customWidth="1"/>
    <col min="2" max="2" width="18.85546875" style="23" customWidth="1"/>
    <col min="3" max="3" width="46.28515625" style="23" customWidth="1"/>
    <col min="4" max="4" width="50.7109375" style="24" customWidth="1"/>
    <col min="5" max="5" width="9.140625" style="26" customWidth="1"/>
    <col min="6" max="16384" width="9.140625" style="26"/>
  </cols>
  <sheetData>
    <row r="1" spans="1:4" ht="31.5" customHeight="1" x14ac:dyDescent="0.25">
      <c r="A1" s="168" t="s">
        <v>58</v>
      </c>
      <c r="B1" s="168" t="s">
        <v>3773</v>
      </c>
      <c r="C1" s="169" t="s">
        <v>3774</v>
      </c>
      <c r="D1" s="57" t="s">
        <v>2621</v>
      </c>
    </row>
    <row r="2" spans="1:4" ht="31.5" customHeight="1" x14ac:dyDescent="0.25">
      <c r="A2" s="168" t="s">
        <v>68</v>
      </c>
      <c r="B2" s="168" t="s">
        <v>3775</v>
      </c>
      <c r="C2" s="169" t="s">
        <v>3776</v>
      </c>
      <c r="D2" s="57" t="s">
        <v>2622</v>
      </c>
    </row>
    <row r="3" spans="1:4" ht="47.25" customHeight="1" x14ac:dyDescent="0.25">
      <c r="A3" s="168" t="s">
        <v>76</v>
      </c>
      <c r="B3" s="168" t="s">
        <v>3777</v>
      </c>
      <c r="C3" s="169" t="s">
        <v>1380</v>
      </c>
      <c r="D3" s="57" t="s">
        <v>2623</v>
      </c>
    </row>
    <row r="4" spans="1:4" ht="63" customHeight="1" x14ac:dyDescent="0.25">
      <c r="A4" s="168" t="s">
        <v>85</v>
      </c>
      <c r="B4" s="168" t="s">
        <v>3778</v>
      </c>
      <c r="C4" s="169" t="s">
        <v>1380</v>
      </c>
      <c r="D4" s="57" t="s">
        <v>2624</v>
      </c>
    </row>
    <row r="5" spans="1:4" ht="47.25" customHeight="1" x14ac:dyDescent="0.25">
      <c r="A5" s="168" t="s">
        <v>95</v>
      </c>
      <c r="B5" s="168" t="s">
        <v>3779</v>
      </c>
      <c r="C5" s="169" t="s">
        <v>447</v>
      </c>
      <c r="D5" s="57" t="s">
        <v>2625</v>
      </c>
    </row>
    <row r="6" spans="1:4" ht="31.5" customHeight="1" x14ac:dyDescent="0.25">
      <c r="A6" s="168" t="s">
        <v>104</v>
      </c>
      <c r="B6" s="168" t="s">
        <v>3780</v>
      </c>
      <c r="C6" s="169" t="s">
        <v>1356</v>
      </c>
      <c r="D6" s="57" t="s">
        <v>2626</v>
      </c>
    </row>
    <row r="7" spans="1:4" ht="31.5" customHeight="1" x14ac:dyDescent="0.25">
      <c r="A7" s="168" t="s">
        <v>112</v>
      </c>
      <c r="B7" s="168" t="s">
        <v>3781</v>
      </c>
      <c r="C7" s="169" t="s">
        <v>1612</v>
      </c>
      <c r="D7" s="57" t="s">
        <v>2627</v>
      </c>
    </row>
    <row r="8" spans="1:4" ht="47.25" customHeight="1" x14ac:dyDescent="0.25">
      <c r="A8" s="168" t="s">
        <v>120</v>
      </c>
      <c r="B8" s="168" t="s">
        <v>3782</v>
      </c>
      <c r="C8" s="169" t="s">
        <v>1612</v>
      </c>
      <c r="D8" s="57" t="s">
        <v>2628</v>
      </c>
    </row>
    <row r="9" spans="1:4" ht="31.5" customHeight="1" x14ac:dyDescent="0.25">
      <c r="A9" s="168" t="s">
        <v>127</v>
      </c>
      <c r="B9" s="168" t="s">
        <v>3783</v>
      </c>
      <c r="C9" s="169" t="s">
        <v>3784</v>
      </c>
      <c r="D9" s="57" t="s">
        <v>2629</v>
      </c>
    </row>
    <row r="10" spans="1:4" ht="47.25" customHeight="1" x14ac:dyDescent="0.25">
      <c r="A10" s="168" t="s">
        <v>134</v>
      </c>
      <c r="B10" s="168" t="s">
        <v>3785</v>
      </c>
      <c r="C10" s="169" t="s">
        <v>704</v>
      </c>
      <c r="D10" s="57" t="s">
        <v>2630</v>
      </c>
    </row>
    <row r="11" spans="1:4" ht="63" customHeight="1" x14ac:dyDescent="0.25">
      <c r="A11" s="168" t="s">
        <v>141</v>
      </c>
      <c r="B11" s="168" t="s">
        <v>3786</v>
      </c>
      <c r="C11" s="169" t="s">
        <v>3787</v>
      </c>
      <c r="D11" s="57" t="s">
        <v>2631</v>
      </c>
    </row>
    <row r="12" spans="1:4" ht="31.5" customHeight="1" x14ac:dyDescent="0.25">
      <c r="A12" s="168" t="s">
        <v>147</v>
      </c>
      <c r="B12" s="168" t="s">
        <v>3788</v>
      </c>
      <c r="C12" s="169" t="s">
        <v>407</v>
      </c>
      <c r="D12" s="57" t="s">
        <v>2632</v>
      </c>
    </row>
    <row r="13" spans="1:4" ht="31.5" customHeight="1" x14ac:dyDescent="0.25">
      <c r="A13" s="168" t="s">
        <v>155</v>
      </c>
      <c r="B13" s="168" t="s">
        <v>3789</v>
      </c>
      <c r="C13" s="169" t="s">
        <v>1134</v>
      </c>
      <c r="D13" s="57" t="s">
        <v>2633</v>
      </c>
    </row>
    <row r="14" spans="1:4" ht="31.5" customHeight="1" x14ac:dyDescent="0.25">
      <c r="A14" s="168" t="s">
        <v>162</v>
      </c>
      <c r="B14" s="168" t="s">
        <v>3790</v>
      </c>
      <c r="C14" s="169" t="s">
        <v>3791</v>
      </c>
      <c r="D14" s="57" t="s">
        <v>2634</v>
      </c>
    </row>
    <row r="15" spans="1:4" ht="31.5" customHeight="1" x14ac:dyDescent="0.25">
      <c r="A15" s="168" t="s">
        <v>169</v>
      </c>
      <c r="B15" s="168" t="s">
        <v>3792</v>
      </c>
      <c r="C15" s="169" t="s">
        <v>3791</v>
      </c>
      <c r="D15" s="57" t="s">
        <v>2635</v>
      </c>
    </row>
    <row r="16" spans="1:4" ht="31.5" customHeight="1" x14ac:dyDescent="0.25">
      <c r="A16" s="168" t="s">
        <v>177</v>
      </c>
      <c r="B16" s="168" t="s">
        <v>3793</v>
      </c>
      <c r="C16" s="169" t="s">
        <v>280</v>
      </c>
      <c r="D16" s="57" t="s">
        <v>2636</v>
      </c>
    </row>
    <row r="17" spans="1:4" ht="47.25" customHeight="1" x14ac:dyDescent="0.25">
      <c r="A17" s="168" t="s">
        <v>183</v>
      </c>
      <c r="B17" s="168" t="s">
        <v>3794</v>
      </c>
      <c r="C17" s="169" t="s">
        <v>517</v>
      </c>
      <c r="D17" s="57" t="s">
        <v>2637</v>
      </c>
    </row>
    <row r="18" spans="1:4" ht="31.5" customHeight="1" x14ac:dyDescent="0.25">
      <c r="A18" s="168" t="s">
        <v>190</v>
      </c>
      <c r="B18" s="168" t="s">
        <v>3795</v>
      </c>
      <c r="C18" s="169" t="s">
        <v>199</v>
      </c>
      <c r="D18" s="57" t="s">
        <v>2638</v>
      </c>
    </row>
    <row r="19" spans="1:4" ht="47.25" customHeight="1" x14ac:dyDescent="0.25">
      <c r="A19" s="168" t="s">
        <v>197</v>
      </c>
      <c r="B19" s="168" t="s">
        <v>3796</v>
      </c>
      <c r="C19" s="169" t="s">
        <v>3797</v>
      </c>
      <c r="D19" s="57" t="s">
        <v>2639</v>
      </c>
    </row>
    <row r="20" spans="1:4" ht="47.25" customHeight="1" x14ac:dyDescent="0.25">
      <c r="A20" s="168" t="s">
        <v>204</v>
      </c>
      <c r="B20" s="168" t="s">
        <v>3798</v>
      </c>
      <c r="C20" s="169" t="s">
        <v>588</v>
      </c>
      <c r="D20" s="57" t="s">
        <v>2640</v>
      </c>
    </row>
    <row r="21" spans="1:4" ht="47.25" customHeight="1" x14ac:dyDescent="0.25">
      <c r="A21" s="168" t="s">
        <v>209</v>
      </c>
      <c r="B21" s="168" t="s">
        <v>3799</v>
      </c>
      <c r="C21" s="169" t="s">
        <v>632</v>
      </c>
      <c r="D21" s="57" t="s">
        <v>2641</v>
      </c>
    </row>
    <row r="22" spans="1:4" ht="47.25" customHeight="1" x14ac:dyDescent="0.25">
      <c r="A22" s="168" t="s">
        <v>217</v>
      </c>
      <c r="B22" s="168" t="s">
        <v>3800</v>
      </c>
      <c r="C22" s="169" t="s">
        <v>3801</v>
      </c>
      <c r="D22" s="57" t="s">
        <v>2642</v>
      </c>
    </row>
    <row r="23" spans="1:4" ht="31.5" customHeight="1" x14ac:dyDescent="0.25">
      <c r="A23" s="168" t="s">
        <v>223</v>
      </c>
      <c r="B23" s="168" t="s">
        <v>3802</v>
      </c>
      <c r="C23" s="169" t="s">
        <v>3801</v>
      </c>
      <c r="D23" s="57" t="s">
        <v>2643</v>
      </c>
    </row>
    <row r="24" spans="1:4" ht="31.5" customHeight="1" x14ac:dyDescent="0.25">
      <c r="A24" s="168" t="s">
        <v>231</v>
      </c>
      <c r="B24" s="168" t="s">
        <v>3803</v>
      </c>
      <c r="C24" s="169" t="s">
        <v>3801</v>
      </c>
      <c r="D24" s="57" t="s">
        <v>2644</v>
      </c>
    </row>
    <row r="25" spans="1:4" ht="31.5" customHeight="1" x14ac:dyDescent="0.25">
      <c r="A25" s="168" t="s">
        <v>238</v>
      </c>
      <c r="B25" s="168" t="s">
        <v>3804</v>
      </c>
      <c r="C25" s="169" t="s">
        <v>3801</v>
      </c>
      <c r="D25" s="57" t="s">
        <v>2645</v>
      </c>
    </row>
    <row r="26" spans="1:4" ht="31.5" customHeight="1" x14ac:dyDescent="0.25">
      <c r="A26" s="168" t="s">
        <v>245</v>
      </c>
      <c r="B26" s="168" t="s">
        <v>3805</v>
      </c>
      <c r="C26" s="169" t="s">
        <v>3806</v>
      </c>
      <c r="D26" s="57" t="s">
        <v>2646</v>
      </c>
    </row>
    <row r="27" spans="1:4" ht="47.25" customHeight="1" x14ac:dyDescent="0.25">
      <c r="A27" s="168" t="s">
        <v>252</v>
      </c>
      <c r="B27" s="168" t="s">
        <v>3807</v>
      </c>
      <c r="C27" s="169" t="s">
        <v>1454</v>
      </c>
      <c r="D27" s="57" t="s">
        <v>2647</v>
      </c>
    </row>
    <row r="28" spans="1:4" ht="47.25" customHeight="1" x14ac:dyDescent="0.25">
      <c r="A28" s="168" t="s">
        <v>257</v>
      </c>
      <c r="B28" s="168" t="s">
        <v>3808</v>
      </c>
      <c r="C28" s="169" t="s">
        <v>1454</v>
      </c>
      <c r="D28" s="57" t="s">
        <v>2648</v>
      </c>
    </row>
    <row r="29" spans="1:4" ht="47.25" customHeight="1" x14ac:dyDescent="0.25">
      <c r="A29" s="168" t="s">
        <v>263</v>
      </c>
      <c r="B29" s="168" t="s">
        <v>3809</v>
      </c>
      <c r="C29" s="169" t="s">
        <v>3810</v>
      </c>
      <c r="D29" s="57" t="s">
        <v>2649</v>
      </c>
    </row>
    <row r="30" spans="1:4" ht="31.5" customHeight="1" x14ac:dyDescent="0.25">
      <c r="A30" s="168" t="s">
        <v>269</v>
      </c>
      <c r="B30" s="168" t="s">
        <v>3811</v>
      </c>
      <c r="C30" s="169" t="s">
        <v>3810</v>
      </c>
      <c r="D30" s="57" t="s">
        <v>2650</v>
      </c>
    </row>
    <row r="31" spans="1:4" ht="63" customHeight="1" x14ac:dyDescent="0.25">
      <c r="A31" s="168" t="s">
        <v>274</v>
      </c>
      <c r="B31" s="168" t="s">
        <v>3812</v>
      </c>
      <c r="C31" s="169" t="s">
        <v>576</v>
      </c>
      <c r="D31" s="57" t="s">
        <v>2651</v>
      </c>
    </row>
    <row r="32" spans="1:4" ht="47.25" customHeight="1" x14ac:dyDescent="0.25">
      <c r="A32" s="168" t="s">
        <v>278</v>
      </c>
      <c r="B32" s="168" t="s">
        <v>3813</v>
      </c>
      <c r="C32" s="169" t="s">
        <v>993</v>
      </c>
      <c r="D32" s="57" t="s">
        <v>2652</v>
      </c>
    </row>
    <row r="33" spans="1:4" ht="63" customHeight="1" x14ac:dyDescent="0.25">
      <c r="A33" s="168" t="s">
        <v>284</v>
      </c>
      <c r="B33" s="168" t="s">
        <v>3814</v>
      </c>
      <c r="C33" s="169" t="s">
        <v>3815</v>
      </c>
      <c r="D33" s="57" t="s">
        <v>2653</v>
      </c>
    </row>
    <row r="34" spans="1:4" ht="47.25" customHeight="1" x14ac:dyDescent="0.25">
      <c r="A34" s="168" t="s">
        <v>289</v>
      </c>
      <c r="B34" s="168" t="s">
        <v>3816</v>
      </c>
      <c r="C34" s="169" t="s">
        <v>106</v>
      </c>
      <c r="D34" s="57" t="s">
        <v>2654</v>
      </c>
    </row>
    <row r="35" spans="1:4" ht="47.25" customHeight="1" x14ac:dyDescent="0.25">
      <c r="A35" s="168" t="s">
        <v>296</v>
      </c>
      <c r="B35" s="168" t="s">
        <v>3817</v>
      </c>
      <c r="C35" s="169" t="s">
        <v>106</v>
      </c>
      <c r="D35" s="57" t="s">
        <v>2655</v>
      </c>
    </row>
    <row r="36" spans="1:4" ht="47.25" customHeight="1" x14ac:dyDescent="0.25">
      <c r="A36" s="168" t="s">
        <v>301</v>
      </c>
      <c r="B36" s="168" t="s">
        <v>3818</v>
      </c>
      <c r="C36" s="169" t="s">
        <v>3819</v>
      </c>
      <c r="D36" s="57" t="s">
        <v>2656</v>
      </c>
    </row>
    <row r="37" spans="1:4" ht="47.25" customHeight="1" x14ac:dyDescent="0.25">
      <c r="A37" s="168" t="s">
        <v>308</v>
      </c>
      <c r="B37" s="168" t="s">
        <v>3820</v>
      </c>
      <c r="C37" s="169" t="s">
        <v>1686</v>
      </c>
      <c r="D37" s="57" t="s">
        <v>2657</v>
      </c>
    </row>
    <row r="38" spans="1:4" ht="47.25" customHeight="1" x14ac:dyDescent="0.25">
      <c r="A38" s="168" t="s">
        <v>314</v>
      </c>
      <c r="B38" s="168" t="s">
        <v>3821</v>
      </c>
      <c r="C38" s="169" t="s">
        <v>1686</v>
      </c>
      <c r="D38" s="57" t="s">
        <v>2658</v>
      </c>
    </row>
    <row r="39" spans="1:4" ht="63" customHeight="1" x14ac:dyDescent="0.25">
      <c r="A39" s="168" t="s">
        <v>321</v>
      </c>
      <c r="B39" s="168" t="s">
        <v>3822</v>
      </c>
      <c r="C39" s="169" t="s">
        <v>3823</v>
      </c>
      <c r="D39" s="57" t="s">
        <v>2659</v>
      </c>
    </row>
    <row r="40" spans="1:4" ht="78.75" customHeight="1" x14ac:dyDescent="0.25">
      <c r="A40" s="168" t="s">
        <v>328</v>
      </c>
      <c r="B40" s="168" t="s">
        <v>3824</v>
      </c>
      <c r="C40" s="169" t="s">
        <v>3823</v>
      </c>
      <c r="D40" s="57" t="s">
        <v>2660</v>
      </c>
    </row>
    <row r="41" spans="1:4" ht="31.5" customHeight="1" x14ac:dyDescent="0.25">
      <c r="A41" s="168" t="s">
        <v>333</v>
      </c>
      <c r="B41" s="168" t="s">
        <v>3825</v>
      </c>
      <c r="C41" s="169" t="s">
        <v>656</v>
      </c>
      <c r="D41" s="57" t="s">
        <v>2661</v>
      </c>
    </row>
    <row r="42" spans="1:4" ht="47.25" customHeight="1" x14ac:dyDescent="0.25">
      <c r="A42" s="168" t="s">
        <v>338</v>
      </c>
      <c r="B42" s="168" t="s">
        <v>3826</v>
      </c>
      <c r="C42" s="169" t="s">
        <v>3827</v>
      </c>
      <c r="D42" s="57" t="s">
        <v>2662</v>
      </c>
    </row>
    <row r="43" spans="1:4" ht="63" customHeight="1" x14ac:dyDescent="0.25">
      <c r="A43" s="168" t="s">
        <v>342</v>
      </c>
      <c r="B43" s="168" t="s">
        <v>3828</v>
      </c>
      <c r="C43" s="169" t="s">
        <v>3829</v>
      </c>
      <c r="D43" s="57" t="s">
        <v>2663</v>
      </c>
    </row>
    <row r="44" spans="1:4" ht="63" customHeight="1" x14ac:dyDescent="0.25">
      <c r="A44" s="168" t="s">
        <v>345</v>
      </c>
      <c r="B44" s="168" t="s">
        <v>3830</v>
      </c>
      <c r="C44" s="169" t="s">
        <v>3831</v>
      </c>
      <c r="D44" s="57" t="s">
        <v>2664</v>
      </c>
    </row>
    <row r="45" spans="1:4" ht="31.5" customHeight="1" x14ac:dyDescent="0.25">
      <c r="A45" s="168" t="s">
        <v>350</v>
      </c>
      <c r="B45" s="168" t="s">
        <v>3832</v>
      </c>
      <c r="C45" s="169" t="s">
        <v>402</v>
      </c>
      <c r="D45" s="57" t="s">
        <v>2665</v>
      </c>
    </row>
    <row r="46" spans="1:4" ht="31.5" customHeight="1" x14ac:dyDescent="0.25">
      <c r="A46" s="168" t="s">
        <v>356</v>
      </c>
      <c r="B46" s="168" t="s">
        <v>3833</v>
      </c>
      <c r="C46" s="169" t="s">
        <v>157</v>
      </c>
      <c r="D46" s="57" t="s">
        <v>2666</v>
      </c>
    </row>
    <row r="47" spans="1:4" ht="31.5" customHeight="1" x14ac:dyDescent="0.25">
      <c r="A47" s="168" t="s">
        <v>361</v>
      </c>
      <c r="B47" s="168" t="s">
        <v>3834</v>
      </c>
      <c r="C47" s="169" t="s">
        <v>157</v>
      </c>
      <c r="D47" s="57" t="s">
        <v>2667</v>
      </c>
    </row>
    <row r="48" spans="1:4" ht="31.5" customHeight="1" x14ac:dyDescent="0.25">
      <c r="A48" s="168" t="s">
        <v>366</v>
      </c>
      <c r="B48" s="168" t="s">
        <v>3835</v>
      </c>
      <c r="C48" s="169" t="s">
        <v>2538</v>
      </c>
      <c r="D48" s="57" t="s">
        <v>2668</v>
      </c>
    </row>
    <row r="49" spans="1:4" ht="31.5" customHeight="1" x14ac:dyDescent="0.25">
      <c r="A49" s="168" t="s">
        <v>372</v>
      </c>
      <c r="B49" s="168" t="s">
        <v>3836</v>
      </c>
      <c r="C49" s="169" t="s">
        <v>3837</v>
      </c>
      <c r="D49" s="57" t="s">
        <v>2669</v>
      </c>
    </row>
    <row r="50" spans="1:4" ht="31.5" customHeight="1" x14ac:dyDescent="0.25">
      <c r="A50" s="168" t="s">
        <v>378</v>
      </c>
      <c r="B50" s="168" t="s">
        <v>3838</v>
      </c>
      <c r="C50" s="169" t="s">
        <v>3839</v>
      </c>
      <c r="D50" s="57" t="s">
        <v>2670</v>
      </c>
    </row>
    <row r="51" spans="1:4" ht="31.5" customHeight="1" x14ac:dyDescent="0.25">
      <c r="A51" s="168" t="s">
        <v>384</v>
      </c>
      <c r="B51" s="168" t="s">
        <v>3840</v>
      </c>
      <c r="C51" s="169" t="s">
        <v>3774</v>
      </c>
      <c r="D51" s="57" t="s">
        <v>2671</v>
      </c>
    </row>
    <row r="52" spans="1:4" ht="47.25" customHeight="1" x14ac:dyDescent="0.25">
      <c r="A52" s="168" t="s">
        <v>389</v>
      </c>
      <c r="B52" s="168" t="s">
        <v>3841</v>
      </c>
      <c r="C52" s="169" t="s">
        <v>3842</v>
      </c>
      <c r="D52" s="57" t="s">
        <v>2672</v>
      </c>
    </row>
    <row r="53" spans="1:4" ht="31.5" customHeight="1" x14ac:dyDescent="0.25">
      <c r="A53" s="168" t="s">
        <v>395</v>
      </c>
      <c r="B53" s="168" t="s">
        <v>3843</v>
      </c>
      <c r="C53" s="169" t="s">
        <v>3844</v>
      </c>
      <c r="D53" s="57" t="s">
        <v>2673</v>
      </c>
    </row>
    <row r="54" spans="1:4" ht="63" customHeight="1" x14ac:dyDescent="0.25">
      <c r="A54" s="168" t="s">
        <v>400</v>
      </c>
      <c r="B54" s="168" t="s">
        <v>3845</v>
      </c>
      <c r="C54" s="169" t="s">
        <v>3846</v>
      </c>
      <c r="D54" s="57" t="s">
        <v>2674</v>
      </c>
    </row>
    <row r="55" spans="1:4" ht="47.25" customHeight="1" x14ac:dyDescent="0.25">
      <c r="A55" s="168" t="s">
        <v>405</v>
      </c>
      <c r="B55" s="168" t="s">
        <v>3847</v>
      </c>
      <c r="C55" s="169" t="s">
        <v>330</v>
      </c>
      <c r="D55" s="57" t="s">
        <v>2675</v>
      </c>
    </row>
    <row r="56" spans="1:4" ht="47.25" customHeight="1" x14ac:dyDescent="0.25">
      <c r="A56" s="168" t="s">
        <v>410</v>
      </c>
      <c r="B56" s="168" t="s">
        <v>3848</v>
      </c>
      <c r="C56" s="169" t="s">
        <v>3849</v>
      </c>
      <c r="D56" s="57" t="s">
        <v>2676</v>
      </c>
    </row>
    <row r="57" spans="1:4" ht="31.5" customHeight="1" x14ac:dyDescent="0.25">
      <c r="A57" s="168" t="s">
        <v>416</v>
      </c>
      <c r="B57" s="168" t="s">
        <v>3850</v>
      </c>
      <c r="C57" s="170" t="s">
        <v>3851</v>
      </c>
      <c r="D57" s="57" t="s">
        <v>2677</v>
      </c>
    </row>
    <row r="58" spans="1:4" ht="31.5" customHeight="1" x14ac:dyDescent="0.25">
      <c r="A58" s="168" t="s">
        <v>422</v>
      </c>
      <c r="B58" s="168" t="s">
        <v>3852</v>
      </c>
      <c r="C58" s="169" t="s">
        <v>3853</v>
      </c>
      <c r="D58" s="57" t="s">
        <v>2678</v>
      </c>
    </row>
    <row r="59" spans="1:4" ht="47.25" customHeight="1" x14ac:dyDescent="0.25">
      <c r="A59" s="168" t="s">
        <v>429</v>
      </c>
      <c r="B59" s="168" t="s">
        <v>3854</v>
      </c>
      <c r="C59" s="169" t="s">
        <v>3855</v>
      </c>
      <c r="D59" s="57" t="s">
        <v>2679</v>
      </c>
    </row>
    <row r="60" spans="1:4" ht="31.5" customHeight="1" x14ac:dyDescent="0.25">
      <c r="A60" s="168" t="s">
        <v>435</v>
      </c>
      <c r="B60" s="168" t="s">
        <v>3856</v>
      </c>
      <c r="C60" s="169" t="s">
        <v>1530</v>
      </c>
      <c r="D60" s="57" t="s">
        <v>2680</v>
      </c>
    </row>
    <row r="61" spans="1:4" ht="47.25" customHeight="1" x14ac:dyDescent="0.25">
      <c r="A61" s="168" t="s">
        <v>439</v>
      </c>
      <c r="B61" s="168" t="s">
        <v>3857</v>
      </c>
      <c r="C61" s="169" t="s">
        <v>3858</v>
      </c>
      <c r="D61" s="57" t="s">
        <v>2681</v>
      </c>
    </row>
    <row r="62" spans="1:4" ht="63" customHeight="1" x14ac:dyDescent="0.25">
      <c r="A62" s="168" t="s">
        <v>445</v>
      </c>
      <c r="B62" s="168" t="s">
        <v>3859</v>
      </c>
      <c r="C62" s="169" t="s">
        <v>542</v>
      </c>
      <c r="D62" s="57" t="s">
        <v>2682</v>
      </c>
    </row>
    <row r="63" spans="1:4" ht="31.5" customHeight="1" x14ac:dyDescent="0.25">
      <c r="A63" s="168" t="s">
        <v>450</v>
      </c>
      <c r="B63" s="168" t="s">
        <v>3860</v>
      </c>
      <c r="C63" s="169" t="s">
        <v>3861</v>
      </c>
      <c r="D63" s="57" t="s">
        <v>2683</v>
      </c>
    </row>
    <row r="64" spans="1:4" ht="47.25" customHeight="1" x14ac:dyDescent="0.25">
      <c r="A64" s="168" t="s">
        <v>455</v>
      </c>
      <c r="B64" s="168" t="s">
        <v>3862</v>
      </c>
      <c r="C64" s="169" t="s">
        <v>3863</v>
      </c>
      <c r="D64" s="57" t="s">
        <v>2684</v>
      </c>
    </row>
    <row r="65" spans="1:4" ht="31.5" customHeight="1" x14ac:dyDescent="0.25">
      <c r="A65" s="168" t="s">
        <v>461</v>
      </c>
      <c r="B65" s="168" t="s">
        <v>3864</v>
      </c>
      <c r="C65" s="169" t="s">
        <v>3865</v>
      </c>
      <c r="D65" s="57" t="s">
        <v>2685</v>
      </c>
    </row>
    <row r="66" spans="1:4" ht="31.5" customHeight="1" x14ac:dyDescent="0.25">
      <c r="A66" s="168" t="s">
        <v>465</v>
      </c>
      <c r="B66" s="168" t="s">
        <v>3866</v>
      </c>
      <c r="C66" s="169" t="s">
        <v>3867</v>
      </c>
      <c r="D66" s="57" t="s">
        <v>2686</v>
      </c>
    </row>
    <row r="67" spans="1:4" ht="63" customHeight="1" x14ac:dyDescent="0.25">
      <c r="A67" s="168" t="s">
        <v>470</v>
      </c>
      <c r="B67" s="168" t="s">
        <v>3868</v>
      </c>
      <c r="C67" s="170" t="s">
        <v>3867</v>
      </c>
      <c r="D67" s="57" t="s">
        <v>2687</v>
      </c>
    </row>
    <row r="68" spans="1:4" ht="47.25" customHeight="1" x14ac:dyDescent="0.25">
      <c r="A68" s="168" t="s">
        <v>475</v>
      </c>
      <c r="B68" s="168" t="s">
        <v>3869</v>
      </c>
      <c r="C68" s="169" t="s">
        <v>310</v>
      </c>
      <c r="D68" s="57" t="s">
        <v>2688</v>
      </c>
    </row>
    <row r="69" spans="1:4" ht="31.5" customHeight="1" x14ac:dyDescent="0.25">
      <c r="A69" s="168" t="s">
        <v>479</v>
      </c>
      <c r="B69" s="168" t="s">
        <v>3870</v>
      </c>
      <c r="C69" s="169" t="s">
        <v>3871</v>
      </c>
      <c r="D69" s="57" t="s">
        <v>2689</v>
      </c>
    </row>
    <row r="70" spans="1:4" ht="31.5" customHeight="1" x14ac:dyDescent="0.25">
      <c r="A70" s="168" t="s">
        <v>483</v>
      </c>
      <c r="B70" s="168" t="s">
        <v>3872</v>
      </c>
      <c r="C70" s="169" t="s">
        <v>407</v>
      </c>
      <c r="D70" s="57" t="s">
        <v>2690</v>
      </c>
    </row>
    <row r="71" spans="1:4" ht="31.5" customHeight="1" x14ac:dyDescent="0.25">
      <c r="A71" s="168" t="s">
        <v>488</v>
      </c>
      <c r="B71" s="168" t="s">
        <v>3873</v>
      </c>
      <c r="C71" s="169" t="s">
        <v>1862</v>
      </c>
      <c r="D71" s="57" t="s">
        <v>2691</v>
      </c>
    </row>
    <row r="72" spans="1:4" ht="31.5" customHeight="1" x14ac:dyDescent="0.25">
      <c r="A72" s="168" t="s">
        <v>494</v>
      </c>
      <c r="B72" s="39" t="s">
        <v>3874</v>
      </c>
      <c r="C72" s="40" t="s">
        <v>685</v>
      </c>
      <c r="D72" s="41" t="s">
        <v>2692</v>
      </c>
    </row>
    <row r="73" spans="1:4" ht="63" customHeight="1" x14ac:dyDescent="0.25">
      <c r="A73" s="168" t="s">
        <v>499</v>
      </c>
      <c r="B73" s="39" t="s">
        <v>3875</v>
      </c>
      <c r="C73" s="40" t="s">
        <v>3876</v>
      </c>
      <c r="D73" s="41" t="s">
        <v>2693</v>
      </c>
    </row>
    <row r="74" spans="1:4" ht="63" customHeight="1" x14ac:dyDescent="0.25">
      <c r="A74" s="168" t="s">
        <v>503</v>
      </c>
      <c r="B74" s="39" t="s">
        <v>3877</v>
      </c>
      <c r="C74" s="40" t="s">
        <v>1686</v>
      </c>
      <c r="D74" s="41" t="s">
        <v>2694</v>
      </c>
    </row>
    <row r="75" spans="1:4" ht="31.5" customHeight="1" x14ac:dyDescent="0.25">
      <c r="A75" s="168" t="s">
        <v>509</v>
      </c>
      <c r="B75" s="39" t="s">
        <v>3878</v>
      </c>
      <c r="C75" s="40" t="s">
        <v>1617</v>
      </c>
      <c r="D75" s="41" t="s">
        <v>2695</v>
      </c>
    </row>
    <row r="76" spans="1:4" ht="47.25" customHeight="1" x14ac:dyDescent="0.25">
      <c r="A76" s="168" t="s">
        <v>515</v>
      </c>
      <c r="B76" s="39" t="s">
        <v>3879</v>
      </c>
      <c r="C76" s="40" t="s">
        <v>2538</v>
      </c>
      <c r="D76" s="41" t="s">
        <v>2696</v>
      </c>
    </row>
    <row r="77" spans="1:4" ht="31.5" customHeight="1" x14ac:dyDescent="0.25">
      <c r="A77" s="168" t="s">
        <v>520</v>
      </c>
      <c r="B77" s="39" t="s">
        <v>3880</v>
      </c>
      <c r="C77" s="40" t="s">
        <v>3881</v>
      </c>
      <c r="D77" s="41" t="s">
        <v>2697</v>
      </c>
    </row>
    <row r="78" spans="1:4" ht="31.5" customHeight="1" x14ac:dyDescent="0.25">
      <c r="A78" s="168" t="s">
        <v>525</v>
      </c>
      <c r="B78" s="39" t="s">
        <v>3882</v>
      </c>
      <c r="C78" s="40" t="s">
        <v>993</v>
      </c>
      <c r="D78" s="41" t="s">
        <v>2698</v>
      </c>
    </row>
    <row r="79" spans="1:4" ht="63" customHeight="1" x14ac:dyDescent="0.25">
      <c r="A79" s="168" t="s">
        <v>529</v>
      </c>
      <c r="B79" s="39" t="s">
        <v>3883</v>
      </c>
      <c r="C79" s="40" t="s">
        <v>3884</v>
      </c>
      <c r="D79" s="41" t="s">
        <v>2699</v>
      </c>
    </row>
    <row r="80" spans="1:4" ht="31.5" customHeight="1" x14ac:dyDescent="0.25">
      <c r="A80" s="39" t="s">
        <v>127</v>
      </c>
      <c r="B80" s="39" t="s">
        <v>3885</v>
      </c>
      <c r="C80" s="40" t="s">
        <v>699</v>
      </c>
      <c r="D80" s="41" t="s">
        <v>2700</v>
      </c>
    </row>
    <row r="81" spans="1:4" ht="47.25" customHeight="1" x14ac:dyDescent="0.25">
      <c r="A81" s="39" t="s">
        <v>134</v>
      </c>
      <c r="B81" s="39" t="s">
        <v>3886</v>
      </c>
      <c r="C81" s="40" t="s">
        <v>3887</v>
      </c>
      <c r="D81" s="41" t="s">
        <v>2701</v>
      </c>
    </row>
    <row r="82" spans="1:4" ht="47.25" customHeight="1" x14ac:dyDescent="0.25">
      <c r="A82" s="39" t="s">
        <v>141</v>
      </c>
      <c r="B82" s="39" t="s">
        <v>3888</v>
      </c>
      <c r="C82" s="40" t="s">
        <v>3889</v>
      </c>
      <c r="D82" s="41" t="s">
        <v>2702</v>
      </c>
    </row>
    <row r="83" spans="1:4" ht="47.25" customHeight="1" x14ac:dyDescent="0.25">
      <c r="A83" s="39" t="s">
        <v>147</v>
      </c>
      <c r="B83" s="39" t="s">
        <v>3890</v>
      </c>
      <c r="C83" s="40" t="s">
        <v>3891</v>
      </c>
      <c r="D83" s="41" t="s">
        <v>2703</v>
      </c>
    </row>
    <row r="84" spans="1:4" ht="47.25" customHeight="1" x14ac:dyDescent="0.25">
      <c r="A84" s="39" t="s">
        <v>155</v>
      </c>
      <c r="B84" s="39" t="s">
        <v>3892</v>
      </c>
      <c r="C84" s="40" t="s">
        <v>3893</v>
      </c>
      <c r="D84" s="41" t="s">
        <v>2704</v>
      </c>
    </row>
    <row r="85" spans="1:4" ht="31.5" customHeight="1" x14ac:dyDescent="0.25">
      <c r="A85" s="39" t="s">
        <v>162</v>
      </c>
      <c r="B85" s="39" t="s">
        <v>3894</v>
      </c>
      <c r="C85" s="40" t="s">
        <v>3895</v>
      </c>
      <c r="D85" s="41" t="s">
        <v>2705</v>
      </c>
    </row>
    <row r="86" spans="1:4" ht="47.25" customHeight="1" x14ac:dyDescent="0.25">
      <c r="A86" s="39" t="s">
        <v>169</v>
      </c>
      <c r="B86" s="39" t="s">
        <v>3896</v>
      </c>
      <c r="C86" s="40" t="s">
        <v>780</v>
      </c>
      <c r="D86" s="41" t="s">
        <v>2706</v>
      </c>
    </row>
    <row r="87" spans="1:4" ht="31.5" customHeight="1" x14ac:dyDescent="0.25">
      <c r="A87" s="39" t="s">
        <v>177</v>
      </c>
      <c r="B87" s="39" t="s">
        <v>3897</v>
      </c>
      <c r="C87" s="40" t="s">
        <v>3898</v>
      </c>
      <c r="D87" s="41" t="s">
        <v>2707</v>
      </c>
    </row>
    <row r="88" spans="1:4" ht="47.25" customHeight="1" x14ac:dyDescent="0.25">
      <c r="A88" s="39" t="s">
        <v>183</v>
      </c>
      <c r="B88" s="39" t="s">
        <v>3899</v>
      </c>
      <c r="C88" s="40" t="s">
        <v>3900</v>
      </c>
      <c r="D88" s="41" t="s">
        <v>2708</v>
      </c>
    </row>
    <row r="89" spans="1:4" ht="47.25" customHeight="1" x14ac:dyDescent="0.25">
      <c r="A89" s="39" t="s">
        <v>190</v>
      </c>
      <c r="B89" s="39" t="s">
        <v>3901</v>
      </c>
      <c r="C89" s="40" t="s">
        <v>3902</v>
      </c>
      <c r="D89" s="41" t="s">
        <v>2709</v>
      </c>
    </row>
    <row r="90" spans="1:4" ht="47.25" customHeight="1" x14ac:dyDescent="0.25">
      <c r="A90" s="39" t="s">
        <v>197</v>
      </c>
      <c r="B90" s="39" t="s">
        <v>3903</v>
      </c>
      <c r="C90" s="40" t="s">
        <v>3904</v>
      </c>
      <c r="D90" s="41" t="s">
        <v>2710</v>
      </c>
    </row>
    <row r="91" spans="1:4" ht="47.25" customHeight="1" x14ac:dyDescent="0.25">
      <c r="A91" s="39" t="s">
        <v>204</v>
      </c>
      <c r="B91" s="39" t="s">
        <v>3905</v>
      </c>
      <c r="C91" s="40" t="s">
        <v>3906</v>
      </c>
      <c r="D91" s="41" t="s">
        <v>2711</v>
      </c>
    </row>
    <row r="92" spans="1:4" ht="47.25" customHeight="1" x14ac:dyDescent="0.25">
      <c r="A92" s="39" t="s">
        <v>209</v>
      </c>
      <c r="B92" s="39" t="s">
        <v>3907</v>
      </c>
      <c r="C92" s="40" t="s">
        <v>952</v>
      </c>
      <c r="D92" s="41" t="s">
        <v>2712</v>
      </c>
    </row>
    <row r="93" spans="1:4" ht="78.75" customHeight="1" x14ac:dyDescent="0.25">
      <c r="A93" s="39" t="s">
        <v>217</v>
      </c>
      <c r="B93" s="39" t="s">
        <v>3908</v>
      </c>
      <c r="C93" s="40" t="s">
        <v>767</v>
      </c>
      <c r="D93" s="41" t="s">
        <v>2713</v>
      </c>
    </row>
    <row r="94" spans="1:4" ht="78.75" customHeight="1" x14ac:dyDescent="0.25">
      <c r="A94" s="39" t="s">
        <v>223</v>
      </c>
      <c r="B94" s="39" t="s">
        <v>3909</v>
      </c>
      <c r="C94" s="40" t="s">
        <v>3910</v>
      </c>
      <c r="D94" s="41" t="s">
        <v>2714</v>
      </c>
    </row>
    <row r="95" spans="1:4" ht="31.5" customHeight="1" x14ac:dyDescent="0.25">
      <c r="A95" s="39" t="s">
        <v>231</v>
      </c>
      <c r="B95" s="39" t="s">
        <v>3911</v>
      </c>
      <c r="C95" s="40" t="s">
        <v>3912</v>
      </c>
      <c r="D95" s="41" t="s">
        <v>2715</v>
      </c>
    </row>
    <row r="96" spans="1:4" ht="31.5" customHeight="1" x14ac:dyDescent="0.25">
      <c r="A96" s="39" t="s">
        <v>238</v>
      </c>
      <c r="B96" s="39" t="s">
        <v>3913</v>
      </c>
      <c r="C96" s="40" t="s">
        <v>3914</v>
      </c>
      <c r="D96" s="41" t="s">
        <v>2716</v>
      </c>
    </row>
    <row r="97" spans="1:4" ht="63" customHeight="1" x14ac:dyDescent="0.25">
      <c r="A97" s="39" t="s">
        <v>245</v>
      </c>
      <c r="B97" s="39" t="s">
        <v>3915</v>
      </c>
      <c r="C97" s="40" t="s">
        <v>424</v>
      </c>
      <c r="D97" s="41" t="s">
        <v>2717</v>
      </c>
    </row>
    <row r="98" spans="1:4" ht="31.5" customHeight="1" x14ac:dyDescent="0.25">
      <c r="A98" s="39" t="s">
        <v>252</v>
      </c>
      <c r="B98" s="39" t="s">
        <v>3916</v>
      </c>
      <c r="C98" s="40" t="s">
        <v>3917</v>
      </c>
      <c r="D98" s="41" t="s">
        <v>2718</v>
      </c>
    </row>
    <row r="99" spans="1:4" ht="47.25" customHeight="1" x14ac:dyDescent="0.25">
      <c r="A99" s="39" t="s">
        <v>257</v>
      </c>
      <c r="B99" s="39" t="s">
        <v>3918</v>
      </c>
      <c r="C99" s="40" t="s">
        <v>1134</v>
      </c>
      <c r="D99" s="41" t="s">
        <v>2719</v>
      </c>
    </row>
    <row r="100" spans="1:4" ht="47.25" customHeight="1" x14ac:dyDescent="0.25">
      <c r="A100" s="39" t="s">
        <v>263</v>
      </c>
      <c r="B100" s="39" t="s">
        <v>3919</v>
      </c>
      <c r="C100" s="40" t="s">
        <v>106</v>
      </c>
      <c r="D100" s="41" t="s">
        <v>2720</v>
      </c>
    </row>
    <row r="101" spans="1:4" ht="63" customHeight="1" x14ac:dyDescent="0.25">
      <c r="A101" s="39" t="s">
        <v>269</v>
      </c>
      <c r="B101" s="39" t="s">
        <v>3920</v>
      </c>
      <c r="C101" s="40" t="s">
        <v>122</v>
      </c>
      <c r="D101" s="41" t="s">
        <v>2721</v>
      </c>
    </row>
    <row r="102" spans="1:4" ht="31.5" customHeight="1" x14ac:dyDescent="0.25">
      <c r="A102" s="39" t="s">
        <v>274</v>
      </c>
      <c r="B102" s="39" t="s">
        <v>3921</v>
      </c>
      <c r="C102" s="40" t="s">
        <v>780</v>
      </c>
      <c r="D102" s="41" t="s">
        <v>2722</v>
      </c>
    </row>
    <row r="103" spans="1:4" ht="47.25" customHeight="1" x14ac:dyDescent="0.25">
      <c r="A103" s="39" t="s">
        <v>278</v>
      </c>
      <c r="B103" s="39" t="s">
        <v>3922</v>
      </c>
      <c r="C103" s="40" t="s">
        <v>561</v>
      </c>
      <c r="D103" s="41" t="s">
        <v>2723</v>
      </c>
    </row>
    <row r="104" spans="1:4" ht="63" customHeight="1" x14ac:dyDescent="0.25">
      <c r="A104" s="39" t="s">
        <v>284</v>
      </c>
      <c r="B104" s="39" t="s">
        <v>3923</v>
      </c>
      <c r="C104" s="40" t="s">
        <v>3924</v>
      </c>
      <c r="D104" s="41" t="s">
        <v>2724</v>
      </c>
    </row>
    <row r="105" spans="1:4" ht="47.25" customHeight="1" x14ac:dyDescent="0.25">
      <c r="A105" s="39" t="s">
        <v>289</v>
      </c>
      <c r="B105" s="39" t="s">
        <v>3925</v>
      </c>
      <c r="C105" s="40" t="s">
        <v>3926</v>
      </c>
      <c r="D105" s="41" t="s">
        <v>2725</v>
      </c>
    </row>
    <row r="106" spans="1:4" ht="47.25" customHeight="1" x14ac:dyDescent="0.25">
      <c r="A106" s="39" t="s">
        <v>296</v>
      </c>
      <c r="B106" s="39" t="s">
        <v>3927</v>
      </c>
      <c r="C106" s="40" t="s">
        <v>3926</v>
      </c>
      <c r="D106" s="41" t="s">
        <v>2726</v>
      </c>
    </row>
    <row r="107" spans="1:4" ht="47.25" customHeight="1" x14ac:dyDescent="0.25">
      <c r="A107" s="39" t="s">
        <v>301</v>
      </c>
      <c r="B107" s="39" t="s">
        <v>3928</v>
      </c>
      <c r="C107" s="40" t="s">
        <v>537</v>
      </c>
      <c r="D107" s="41" t="s">
        <v>2727</v>
      </c>
    </row>
    <row r="108" spans="1:4" ht="47.25" customHeight="1" x14ac:dyDescent="0.25">
      <c r="A108" s="39" t="s">
        <v>308</v>
      </c>
      <c r="B108" s="39" t="s">
        <v>3929</v>
      </c>
      <c r="C108" s="40" t="s">
        <v>537</v>
      </c>
      <c r="D108" s="41" t="s">
        <v>2728</v>
      </c>
    </row>
    <row r="109" spans="1:4" ht="47.25" customHeight="1" x14ac:dyDescent="0.25">
      <c r="A109" s="39" t="s">
        <v>314</v>
      </c>
      <c r="B109" s="39" t="s">
        <v>3930</v>
      </c>
      <c r="C109" s="40" t="s">
        <v>1134</v>
      </c>
      <c r="D109" s="41" t="s">
        <v>2729</v>
      </c>
    </row>
    <row r="110" spans="1:4" ht="31.5" customHeight="1" x14ac:dyDescent="0.25">
      <c r="A110" s="39" t="s">
        <v>321</v>
      </c>
      <c r="B110" s="39" t="s">
        <v>3931</v>
      </c>
      <c r="C110" s="40" t="s">
        <v>680</v>
      </c>
      <c r="D110" s="41" t="s">
        <v>2730</v>
      </c>
    </row>
    <row r="111" spans="1:4" ht="31.5" customHeight="1" x14ac:dyDescent="0.25">
      <c r="A111" s="39" t="s">
        <v>328</v>
      </c>
      <c r="B111" s="39" t="s">
        <v>3932</v>
      </c>
      <c r="C111" s="40" t="s">
        <v>680</v>
      </c>
      <c r="D111" s="41" t="s">
        <v>2731</v>
      </c>
    </row>
    <row r="112" spans="1:4" ht="63" customHeight="1" x14ac:dyDescent="0.25">
      <c r="A112" s="39" t="s">
        <v>333</v>
      </c>
      <c r="B112" s="39" t="s">
        <v>3933</v>
      </c>
      <c r="C112" s="40" t="s">
        <v>1380</v>
      </c>
      <c r="D112" s="41" t="s">
        <v>2732</v>
      </c>
    </row>
    <row r="113" spans="1:4" ht="47.25" customHeight="1" x14ac:dyDescent="0.25">
      <c r="A113" s="39" t="s">
        <v>338</v>
      </c>
      <c r="B113" s="39" t="s">
        <v>3934</v>
      </c>
      <c r="C113" s="40" t="s">
        <v>685</v>
      </c>
      <c r="D113" s="41" t="s">
        <v>2733</v>
      </c>
    </row>
    <row r="114" spans="1:4" ht="47.25" customHeight="1" x14ac:dyDescent="0.25">
      <c r="A114" s="39" t="s">
        <v>342</v>
      </c>
      <c r="B114" s="39" t="s">
        <v>3935</v>
      </c>
      <c r="C114" s="40" t="s">
        <v>467</v>
      </c>
      <c r="D114" s="41" t="s">
        <v>2734</v>
      </c>
    </row>
    <row r="115" spans="1:4" ht="47.25" customHeight="1" x14ac:dyDescent="0.25">
      <c r="A115" s="39" t="s">
        <v>345</v>
      </c>
      <c r="B115" s="39" t="s">
        <v>3936</v>
      </c>
      <c r="C115" s="40" t="s">
        <v>3937</v>
      </c>
      <c r="D115" s="41" t="s">
        <v>2735</v>
      </c>
    </row>
    <row r="116" spans="1:4" ht="63" customHeight="1" x14ac:dyDescent="0.25">
      <c r="A116" s="39" t="s">
        <v>350</v>
      </c>
      <c r="B116" s="39" t="s">
        <v>3938</v>
      </c>
      <c r="C116" s="40" t="s">
        <v>3939</v>
      </c>
      <c r="D116" s="41" t="s">
        <v>2736</v>
      </c>
    </row>
    <row r="117" spans="1:4" ht="31.5" customHeight="1" x14ac:dyDescent="0.25">
      <c r="A117" s="39" t="s">
        <v>356</v>
      </c>
      <c r="B117" s="39" t="s">
        <v>3940</v>
      </c>
      <c r="C117" s="40" t="s">
        <v>192</v>
      </c>
      <c r="D117" s="41" t="s">
        <v>2737</v>
      </c>
    </row>
    <row r="118" spans="1:4" ht="31.5" customHeight="1" x14ac:dyDescent="0.25">
      <c r="A118" s="39" t="s">
        <v>361</v>
      </c>
      <c r="B118" s="39" t="s">
        <v>3941</v>
      </c>
      <c r="C118" s="40" t="s">
        <v>2432</v>
      </c>
      <c r="D118" s="41" t="s">
        <v>2738</v>
      </c>
    </row>
    <row r="119" spans="1:4" ht="63" customHeight="1" x14ac:dyDescent="0.25">
      <c r="A119" s="39" t="s">
        <v>366</v>
      </c>
      <c r="B119" s="39" t="s">
        <v>3942</v>
      </c>
      <c r="C119" s="40" t="s">
        <v>1525</v>
      </c>
      <c r="D119" s="41" t="s">
        <v>2739</v>
      </c>
    </row>
    <row r="120" spans="1:4" ht="47.25" customHeight="1" x14ac:dyDescent="0.25">
      <c r="A120" s="39" t="s">
        <v>372</v>
      </c>
      <c r="B120" s="39" t="s">
        <v>3943</v>
      </c>
      <c r="C120" s="40" t="s">
        <v>110</v>
      </c>
      <c r="D120" s="41" t="s">
        <v>2740</v>
      </c>
    </row>
    <row r="121" spans="1:4" ht="47.25" customHeight="1" x14ac:dyDescent="0.25">
      <c r="A121" s="39" t="s">
        <v>378</v>
      </c>
      <c r="B121" s="39" t="s">
        <v>3944</v>
      </c>
      <c r="C121" s="40" t="s">
        <v>330</v>
      </c>
      <c r="D121" s="41" t="s">
        <v>2741</v>
      </c>
    </row>
    <row r="122" spans="1:4" ht="31.5" customHeight="1" x14ac:dyDescent="0.25">
      <c r="A122" s="39" t="s">
        <v>384</v>
      </c>
      <c r="B122" s="39" t="s">
        <v>3945</v>
      </c>
      <c r="C122" s="40" t="s">
        <v>3946</v>
      </c>
      <c r="D122" s="41" t="s">
        <v>2742</v>
      </c>
    </row>
    <row r="123" spans="1:4" ht="63" customHeight="1" x14ac:dyDescent="0.25">
      <c r="A123" s="39" t="s">
        <v>389</v>
      </c>
      <c r="B123" s="39" t="s">
        <v>3947</v>
      </c>
      <c r="C123" s="40" t="s">
        <v>2359</v>
      </c>
      <c r="D123" s="41" t="s">
        <v>2743</v>
      </c>
    </row>
    <row r="124" spans="1:4" ht="78.75" customHeight="1" x14ac:dyDescent="0.25">
      <c r="A124" s="39" t="s">
        <v>395</v>
      </c>
      <c r="B124" s="39" t="s">
        <v>3948</v>
      </c>
      <c r="C124" s="40" t="s">
        <v>3949</v>
      </c>
      <c r="D124" s="41" t="s">
        <v>2744</v>
      </c>
    </row>
    <row r="125" spans="1:4" ht="31.5" customHeight="1" x14ac:dyDescent="0.25">
      <c r="A125" s="39" t="s">
        <v>400</v>
      </c>
      <c r="B125" s="39" t="s">
        <v>3950</v>
      </c>
      <c r="C125" s="40" t="s">
        <v>3951</v>
      </c>
      <c r="D125" s="41" t="s">
        <v>2745</v>
      </c>
    </row>
    <row r="126" spans="1:4" ht="31.5" customHeight="1" x14ac:dyDescent="0.25">
      <c r="A126" s="39" t="s">
        <v>405</v>
      </c>
      <c r="B126" s="39" t="s">
        <v>3952</v>
      </c>
      <c r="C126" s="40" t="s">
        <v>310</v>
      </c>
      <c r="D126" s="41" t="s">
        <v>2746</v>
      </c>
    </row>
    <row r="127" spans="1:4" ht="31.5" customHeight="1" x14ac:dyDescent="0.25">
      <c r="A127" s="39" t="s">
        <v>410</v>
      </c>
      <c r="B127" s="39" t="s">
        <v>3953</v>
      </c>
      <c r="C127" s="40" t="s">
        <v>192</v>
      </c>
      <c r="D127" s="41" t="s">
        <v>2747</v>
      </c>
    </row>
    <row r="128" spans="1:4" ht="31.5" customHeight="1" x14ac:dyDescent="0.25">
      <c r="A128" s="39" t="s">
        <v>416</v>
      </c>
      <c r="B128" s="39" t="s">
        <v>3954</v>
      </c>
      <c r="C128" s="40" t="s">
        <v>3955</v>
      </c>
      <c r="D128" s="41" t="s">
        <v>2748</v>
      </c>
    </row>
    <row r="129" spans="1:4" ht="31.5" customHeight="1" x14ac:dyDescent="0.25">
      <c r="A129" s="39" t="s">
        <v>422</v>
      </c>
      <c r="B129" s="39" t="s">
        <v>3956</v>
      </c>
      <c r="C129" s="40" t="s">
        <v>3957</v>
      </c>
      <c r="D129" s="41" t="s">
        <v>2749</v>
      </c>
    </row>
    <row r="130" spans="1:4" ht="31.5" customHeight="1" x14ac:dyDescent="0.25">
      <c r="A130" s="39" t="s">
        <v>429</v>
      </c>
      <c r="B130" s="39" t="s">
        <v>3958</v>
      </c>
      <c r="C130" s="40" t="s">
        <v>407</v>
      </c>
      <c r="D130" s="41" t="s">
        <v>2750</v>
      </c>
    </row>
    <row r="131" spans="1:4" ht="47.25" customHeight="1" x14ac:dyDescent="0.25">
      <c r="A131" s="39" t="s">
        <v>435</v>
      </c>
      <c r="B131" s="39" t="s">
        <v>3959</v>
      </c>
      <c r="C131" s="40" t="s">
        <v>122</v>
      </c>
      <c r="D131" s="41" t="s">
        <v>2751</v>
      </c>
    </row>
    <row r="132" spans="1:4" ht="47.25" customHeight="1" x14ac:dyDescent="0.25">
      <c r="A132" s="39" t="s">
        <v>439</v>
      </c>
      <c r="B132" s="39" t="s">
        <v>3960</v>
      </c>
      <c r="C132" s="40" t="s">
        <v>3961</v>
      </c>
      <c r="D132" s="41" t="s">
        <v>2752</v>
      </c>
    </row>
    <row r="133" spans="1:4" ht="47.25" customHeight="1" x14ac:dyDescent="0.25">
      <c r="A133" s="39" t="s">
        <v>445</v>
      </c>
      <c r="B133" s="39" t="s">
        <v>3962</v>
      </c>
      <c r="C133" s="40" t="s">
        <v>3961</v>
      </c>
      <c r="D133" s="41" t="s">
        <v>2753</v>
      </c>
    </row>
    <row r="134" spans="1:4" ht="78.75" customHeight="1" x14ac:dyDescent="0.25">
      <c r="A134" s="39" t="s">
        <v>450</v>
      </c>
      <c r="B134" s="39" t="s">
        <v>3963</v>
      </c>
      <c r="C134" s="40" t="s">
        <v>3964</v>
      </c>
      <c r="D134" s="41" t="s">
        <v>2754</v>
      </c>
    </row>
    <row r="135" spans="1:4" ht="47.25" customHeight="1" x14ac:dyDescent="0.25">
      <c r="A135" s="39" t="s">
        <v>455</v>
      </c>
      <c r="B135" s="39" t="s">
        <v>3965</v>
      </c>
      <c r="C135" s="40" t="s">
        <v>2045</v>
      </c>
      <c r="D135" s="41" t="s">
        <v>2755</v>
      </c>
    </row>
    <row r="136" spans="1:4" ht="47.25" customHeight="1" x14ac:dyDescent="0.25">
      <c r="A136" s="39" t="s">
        <v>461</v>
      </c>
      <c r="B136" s="39" t="s">
        <v>3966</v>
      </c>
      <c r="C136" s="40" t="s">
        <v>3967</v>
      </c>
      <c r="D136" s="41" t="s">
        <v>2756</v>
      </c>
    </row>
    <row r="137" spans="1:4" ht="47.25" customHeight="1" x14ac:dyDescent="0.25">
      <c r="A137" s="39" t="s">
        <v>465</v>
      </c>
      <c r="B137" s="39" t="s">
        <v>3968</v>
      </c>
      <c r="C137" s="40" t="s">
        <v>3969</v>
      </c>
      <c r="D137" s="41" t="s">
        <v>2757</v>
      </c>
    </row>
    <row r="138" spans="1:4" ht="47.25" customHeight="1" x14ac:dyDescent="0.25">
      <c r="A138" s="39" t="s">
        <v>470</v>
      </c>
      <c r="B138" s="39" t="s">
        <v>3970</v>
      </c>
      <c r="C138" s="40" t="s">
        <v>3969</v>
      </c>
      <c r="D138" s="41" t="s">
        <v>2758</v>
      </c>
    </row>
    <row r="139" spans="1:4" ht="31.5" customHeight="1" x14ac:dyDescent="0.25">
      <c r="A139" s="39" t="s">
        <v>475</v>
      </c>
      <c r="B139" s="39" t="s">
        <v>3971</v>
      </c>
      <c r="C139" s="40" t="s">
        <v>3972</v>
      </c>
      <c r="D139" s="41" t="s">
        <v>2759</v>
      </c>
    </row>
    <row r="140" spans="1:4" ht="47.25" customHeight="1" x14ac:dyDescent="0.25">
      <c r="A140" s="39" t="s">
        <v>479</v>
      </c>
      <c r="B140" s="39" t="s">
        <v>3973</v>
      </c>
      <c r="C140" s="40" t="s">
        <v>3972</v>
      </c>
      <c r="D140" s="41" t="s">
        <v>2760</v>
      </c>
    </row>
    <row r="141" spans="1:4" ht="31.5" customHeight="1" x14ac:dyDescent="0.25">
      <c r="A141" s="39" t="s">
        <v>483</v>
      </c>
      <c r="B141" s="39" t="s">
        <v>3974</v>
      </c>
      <c r="C141" s="40" t="s">
        <v>3972</v>
      </c>
      <c r="D141" s="41" t="s">
        <v>2761</v>
      </c>
    </row>
    <row r="142" spans="1:4" ht="110.25" customHeight="1" x14ac:dyDescent="0.25">
      <c r="A142" s="39" t="s">
        <v>488</v>
      </c>
      <c r="B142" s="39" t="s">
        <v>3975</v>
      </c>
      <c r="C142" s="40" t="s">
        <v>3976</v>
      </c>
      <c r="D142" s="41" t="s">
        <v>2762</v>
      </c>
    </row>
    <row r="143" spans="1:4" ht="31.5" customHeight="1" x14ac:dyDescent="0.25">
      <c r="A143" s="39" t="s">
        <v>494</v>
      </c>
      <c r="B143" s="39" t="s">
        <v>3977</v>
      </c>
      <c r="C143" s="40" t="s">
        <v>828</v>
      </c>
      <c r="D143" s="41" t="s">
        <v>2763</v>
      </c>
    </row>
    <row r="144" spans="1:4" ht="47.25" customHeight="1" x14ac:dyDescent="0.25">
      <c r="A144" s="39" t="s">
        <v>499</v>
      </c>
      <c r="B144" s="39" t="s">
        <v>3978</v>
      </c>
      <c r="C144" s="40" t="s">
        <v>561</v>
      </c>
      <c r="D144" s="41" t="s">
        <v>2764</v>
      </c>
    </row>
    <row r="145" spans="1:4" ht="31.5" customHeight="1" x14ac:dyDescent="0.25">
      <c r="A145" s="39" t="s">
        <v>503</v>
      </c>
      <c r="B145" s="39" t="s">
        <v>3979</v>
      </c>
      <c r="C145" s="40" t="s">
        <v>561</v>
      </c>
      <c r="D145" s="41" t="s">
        <v>2765</v>
      </c>
    </row>
    <row r="146" spans="1:4" ht="47.25" customHeight="1" x14ac:dyDescent="0.25">
      <c r="A146" s="39" t="s">
        <v>509</v>
      </c>
      <c r="B146" s="39" t="s">
        <v>3980</v>
      </c>
      <c r="C146" s="40" t="s">
        <v>3906</v>
      </c>
      <c r="D146" s="41" t="s">
        <v>2766</v>
      </c>
    </row>
    <row r="147" spans="1:4" ht="63" customHeight="1" x14ac:dyDescent="0.25">
      <c r="A147" s="39" t="s">
        <v>515</v>
      </c>
      <c r="B147" s="39" t="s">
        <v>3981</v>
      </c>
      <c r="C147" s="40" t="s">
        <v>3982</v>
      </c>
      <c r="D147" s="41" t="s">
        <v>2767</v>
      </c>
    </row>
    <row r="148" spans="1:4" ht="63" customHeight="1" x14ac:dyDescent="0.25">
      <c r="A148" s="39" t="s">
        <v>520</v>
      </c>
      <c r="B148" s="39" t="s">
        <v>3983</v>
      </c>
      <c r="C148" s="40" t="s">
        <v>247</v>
      </c>
      <c r="D148" s="41" t="s">
        <v>2768</v>
      </c>
    </row>
    <row r="149" spans="1:4" ht="31.5" customHeight="1" x14ac:dyDescent="0.25">
      <c r="A149" s="39" t="s">
        <v>525</v>
      </c>
      <c r="B149" s="39" t="s">
        <v>3984</v>
      </c>
      <c r="C149" s="40" t="s">
        <v>1225</v>
      </c>
      <c r="D149" s="41" t="s">
        <v>2769</v>
      </c>
    </row>
    <row r="150" spans="1:4" ht="47.25" customHeight="1" x14ac:dyDescent="0.25">
      <c r="A150" s="39" t="s">
        <v>529</v>
      </c>
      <c r="B150" s="39" t="s">
        <v>3985</v>
      </c>
      <c r="C150" s="40" t="s">
        <v>970</v>
      </c>
      <c r="D150" s="41" t="s">
        <v>2770</v>
      </c>
    </row>
    <row r="151" spans="1:4" ht="47.25" customHeight="1" x14ac:dyDescent="0.25">
      <c r="A151" s="39" t="s">
        <v>535</v>
      </c>
      <c r="B151" s="39" t="s">
        <v>3986</v>
      </c>
      <c r="C151" s="40" t="s">
        <v>457</v>
      </c>
      <c r="D151" s="41" t="s">
        <v>2771</v>
      </c>
    </row>
    <row r="152" spans="1:4" ht="47.25" customHeight="1" x14ac:dyDescent="0.25">
      <c r="A152" s="39" t="s">
        <v>540</v>
      </c>
      <c r="B152" s="39" t="s">
        <v>3987</v>
      </c>
      <c r="C152" s="40" t="s">
        <v>606</v>
      </c>
      <c r="D152" s="41" t="s">
        <v>2772</v>
      </c>
    </row>
    <row r="153" spans="1:4" ht="47.25" customHeight="1" x14ac:dyDescent="0.25">
      <c r="A153" s="39" t="s">
        <v>545</v>
      </c>
      <c r="B153" s="39" t="s">
        <v>3988</v>
      </c>
      <c r="C153" s="40" t="s">
        <v>3989</v>
      </c>
      <c r="D153" s="41" t="s">
        <v>2773</v>
      </c>
    </row>
    <row r="154" spans="1:4" ht="47.25" customHeight="1" x14ac:dyDescent="0.25">
      <c r="A154" s="39" t="s">
        <v>550</v>
      </c>
      <c r="B154" s="39" t="s">
        <v>3990</v>
      </c>
      <c r="C154" s="40" t="s">
        <v>347</v>
      </c>
      <c r="D154" s="41" t="s">
        <v>2774</v>
      </c>
    </row>
    <row r="155" spans="1:4" ht="47.25" customHeight="1" x14ac:dyDescent="0.25">
      <c r="A155" s="39" t="s">
        <v>555</v>
      </c>
      <c r="B155" s="39" t="s">
        <v>3991</v>
      </c>
      <c r="C155" s="40" t="s">
        <v>3992</v>
      </c>
      <c r="D155" s="41" t="s">
        <v>2775</v>
      </c>
    </row>
    <row r="156" spans="1:4" ht="63" customHeight="1" x14ac:dyDescent="0.25">
      <c r="A156" s="39" t="s">
        <v>559</v>
      </c>
      <c r="B156" s="39" t="s">
        <v>3993</v>
      </c>
      <c r="C156" s="40" t="s">
        <v>3994</v>
      </c>
      <c r="D156" s="41" t="s">
        <v>2776</v>
      </c>
    </row>
    <row r="157" spans="1:4" ht="63" customHeight="1" x14ac:dyDescent="0.25">
      <c r="A157" s="39" t="s">
        <v>564</v>
      </c>
      <c r="B157" s="39" t="s">
        <v>3995</v>
      </c>
      <c r="C157" s="40" t="s">
        <v>3992</v>
      </c>
      <c r="D157" s="41" t="s">
        <v>2777</v>
      </c>
    </row>
    <row r="158" spans="1:4" ht="78.75" customHeight="1" x14ac:dyDescent="0.25">
      <c r="A158" s="39" t="s">
        <v>570</v>
      </c>
      <c r="B158" s="39" t="s">
        <v>3996</v>
      </c>
      <c r="C158" s="40" t="s">
        <v>3997</v>
      </c>
      <c r="D158" s="41" t="s">
        <v>2778</v>
      </c>
    </row>
    <row r="159" spans="1:4" ht="47.25" customHeight="1" x14ac:dyDescent="0.25">
      <c r="A159" s="39" t="s">
        <v>574</v>
      </c>
      <c r="B159" s="39" t="s">
        <v>3998</v>
      </c>
      <c r="C159" s="40" t="s">
        <v>1953</v>
      </c>
      <c r="D159" s="41" t="s">
        <v>2779</v>
      </c>
    </row>
    <row r="160" spans="1:4" ht="31.5" customHeight="1" x14ac:dyDescent="0.25">
      <c r="A160" s="39" t="s">
        <v>579</v>
      </c>
      <c r="B160" s="39" t="s">
        <v>3999</v>
      </c>
      <c r="C160" s="40" t="s">
        <v>1091</v>
      </c>
      <c r="D160" s="41" t="s">
        <v>2780</v>
      </c>
    </row>
    <row r="161" spans="1:4" ht="31.5" customHeight="1" x14ac:dyDescent="0.25">
      <c r="A161" s="39" t="s">
        <v>582</v>
      </c>
      <c r="B161" s="39" t="s">
        <v>4000</v>
      </c>
      <c r="C161" s="40" t="s">
        <v>4001</v>
      </c>
      <c r="D161" s="41" t="s">
        <v>2781</v>
      </c>
    </row>
    <row r="162" spans="1:4" x14ac:dyDescent="0.25">
      <c r="A162" s="39" t="s">
        <v>586</v>
      </c>
      <c r="B162" s="39" t="s">
        <v>4002</v>
      </c>
      <c r="C162" s="40" t="s">
        <v>2088</v>
      </c>
      <c r="D162" s="41" t="s">
        <v>2782</v>
      </c>
    </row>
    <row r="163" spans="1:4" ht="31.5" customHeight="1" x14ac:dyDescent="0.25">
      <c r="A163" s="39" t="s">
        <v>591</v>
      </c>
      <c r="B163" s="39" t="s">
        <v>4003</v>
      </c>
      <c r="C163" s="40" t="s">
        <v>2189</v>
      </c>
      <c r="D163" s="41" t="s">
        <v>2783</v>
      </c>
    </row>
    <row r="164" spans="1:4" ht="47.25" customHeight="1" x14ac:dyDescent="0.25">
      <c r="A164" s="39" t="s">
        <v>595</v>
      </c>
      <c r="B164" s="39" t="s">
        <v>4004</v>
      </c>
      <c r="C164" s="40" t="s">
        <v>4005</v>
      </c>
      <c r="D164" s="41" t="s">
        <v>2784</v>
      </c>
    </row>
    <row r="165" spans="1:4" ht="47.25" customHeight="1" x14ac:dyDescent="0.25">
      <c r="A165" s="39" t="s">
        <v>599</v>
      </c>
      <c r="B165" s="39" t="s">
        <v>4006</v>
      </c>
      <c r="C165" s="51" t="s">
        <v>4007</v>
      </c>
      <c r="D165" s="41" t="s">
        <v>2785</v>
      </c>
    </row>
    <row r="166" spans="1:4" ht="47.25" customHeight="1" x14ac:dyDescent="0.25">
      <c r="A166" s="39" t="s">
        <v>604</v>
      </c>
      <c r="B166" s="39" t="s">
        <v>4008</v>
      </c>
      <c r="C166" s="40" t="s">
        <v>4009</v>
      </c>
      <c r="D166" s="41" t="s">
        <v>2786</v>
      </c>
    </row>
    <row r="167" spans="1:4" ht="47.25" customHeight="1" x14ac:dyDescent="0.25">
      <c r="A167" s="39" t="s">
        <v>609</v>
      </c>
      <c r="B167" s="39" t="s">
        <v>4010</v>
      </c>
      <c r="C167" s="40" t="s">
        <v>4011</v>
      </c>
      <c r="D167" s="41" t="s">
        <v>2787</v>
      </c>
    </row>
    <row r="168" spans="1:4" ht="47.25" customHeight="1" x14ac:dyDescent="0.25">
      <c r="A168" s="39" t="s">
        <v>615</v>
      </c>
      <c r="B168" s="39" t="s">
        <v>4012</v>
      </c>
      <c r="C168" s="40" t="s">
        <v>1380</v>
      </c>
      <c r="D168" s="41" t="s">
        <v>2788</v>
      </c>
    </row>
    <row r="169" spans="1:4" ht="47.25" customHeight="1" x14ac:dyDescent="0.25">
      <c r="A169" s="39" t="s">
        <v>619</v>
      </c>
      <c r="B169" s="39" t="s">
        <v>4013</v>
      </c>
      <c r="C169" s="40" t="s">
        <v>993</v>
      </c>
      <c r="D169" s="41" t="s">
        <v>2789</v>
      </c>
    </row>
    <row r="170" spans="1:4" ht="31.5" customHeight="1" x14ac:dyDescent="0.25">
      <c r="A170" s="39" t="s">
        <v>622</v>
      </c>
      <c r="B170" s="39" t="s">
        <v>4014</v>
      </c>
      <c r="C170" s="40" t="s">
        <v>1134</v>
      </c>
      <c r="D170" s="41" t="s">
        <v>2790</v>
      </c>
    </row>
    <row r="171" spans="1:4" ht="47.25" customHeight="1" x14ac:dyDescent="0.25">
      <c r="A171" s="39" t="s">
        <v>626</v>
      </c>
      <c r="B171" s="39" t="s">
        <v>4015</v>
      </c>
      <c r="C171" s="40" t="s">
        <v>1953</v>
      </c>
      <c r="D171" s="41" t="s">
        <v>2791</v>
      </c>
    </row>
    <row r="172" spans="1:4" ht="47.25" customHeight="1" x14ac:dyDescent="0.25">
      <c r="A172" s="39" t="s">
        <v>630</v>
      </c>
      <c r="B172" s="39" t="s">
        <v>4016</v>
      </c>
      <c r="C172" s="40" t="s">
        <v>725</v>
      </c>
      <c r="D172" s="41" t="s">
        <v>2792</v>
      </c>
    </row>
    <row r="173" spans="1:4" ht="47.25" customHeight="1" x14ac:dyDescent="0.25">
      <c r="A173" s="39" t="s">
        <v>635</v>
      </c>
      <c r="B173" s="39" t="s">
        <v>4017</v>
      </c>
      <c r="C173" s="40" t="s">
        <v>3906</v>
      </c>
      <c r="D173" s="41" t="s">
        <v>2793</v>
      </c>
    </row>
    <row r="174" spans="1:4" ht="47.25" customHeight="1" x14ac:dyDescent="0.25">
      <c r="A174" s="39" t="s">
        <v>640</v>
      </c>
      <c r="B174" s="39" t="s">
        <v>4018</v>
      </c>
      <c r="C174" s="40" t="s">
        <v>2347</v>
      </c>
      <c r="D174" s="41" t="s">
        <v>2794</v>
      </c>
    </row>
    <row r="175" spans="1:4" ht="31.5" customHeight="1" x14ac:dyDescent="0.25">
      <c r="A175" s="39" t="s">
        <v>644</v>
      </c>
      <c r="B175" s="39" t="s">
        <v>4019</v>
      </c>
      <c r="C175" s="40" t="s">
        <v>1555</v>
      </c>
      <c r="D175" s="41" t="s">
        <v>2795</v>
      </c>
    </row>
    <row r="176" spans="1:4" ht="31.5" customHeight="1" x14ac:dyDescent="0.25">
      <c r="A176" s="39" t="s">
        <v>649</v>
      </c>
      <c r="B176" s="39" t="s">
        <v>4020</v>
      </c>
      <c r="C176" s="40" t="s">
        <v>1157</v>
      </c>
      <c r="D176" s="41" t="s">
        <v>2796</v>
      </c>
    </row>
    <row r="177" spans="1:4" ht="47.25" customHeight="1" x14ac:dyDescent="0.25">
      <c r="A177" s="39" t="s">
        <v>654</v>
      </c>
      <c r="B177" s="39" t="s">
        <v>4021</v>
      </c>
      <c r="C177" s="40" t="s">
        <v>4022</v>
      </c>
      <c r="D177" s="41" t="s">
        <v>2797</v>
      </c>
    </row>
    <row r="178" spans="1:4" ht="63" customHeight="1" x14ac:dyDescent="0.25">
      <c r="A178" s="39" t="s">
        <v>659</v>
      </c>
      <c r="B178" s="39" t="s">
        <v>4023</v>
      </c>
      <c r="C178" s="40" t="s">
        <v>1157</v>
      </c>
      <c r="D178" s="41" t="s">
        <v>2798</v>
      </c>
    </row>
    <row r="179" spans="1:4" ht="31.5" customHeight="1" x14ac:dyDescent="0.25">
      <c r="A179" s="39" t="s">
        <v>664</v>
      </c>
      <c r="B179" s="39" t="s">
        <v>4024</v>
      </c>
      <c r="C179" s="40" t="s">
        <v>4025</v>
      </c>
      <c r="D179" s="41" t="s">
        <v>2799</v>
      </c>
    </row>
    <row r="180" spans="1:4" ht="31.5" customHeight="1" x14ac:dyDescent="0.25">
      <c r="A180" s="39" t="s">
        <v>669</v>
      </c>
      <c r="B180" s="39" t="s">
        <v>4026</v>
      </c>
      <c r="C180" s="40" t="s">
        <v>4027</v>
      </c>
      <c r="D180" s="41" t="s">
        <v>2800</v>
      </c>
    </row>
    <row r="181" spans="1:4" ht="63" customHeight="1" x14ac:dyDescent="0.25">
      <c r="A181" s="39" t="s">
        <v>674</v>
      </c>
      <c r="B181" s="39" t="s">
        <v>4028</v>
      </c>
      <c r="C181" s="40" t="s">
        <v>4029</v>
      </c>
      <c r="D181" s="41" t="s">
        <v>2801</v>
      </c>
    </row>
    <row r="182" spans="1:4" ht="47.25" customHeight="1" x14ac:dyDescent="0.25">
      <c r="A182" s="39" t="s">
        <v>678</v>
      </c>
      <c r="B182" s="39" t="s">
        <v>4030</v>
      </c>
      <c r="C182" s="40" t="s">
        <v>4031</v>
      </c>
      <c r="D182" s="41" t="s">
        <v>2802</v>
      </c>
    </row>
    <row r="183" spans="1:4" ht="31.5" customHeight="1" x14ac:dyDescent="0.25">
      <c r="A183" s="39" t="s">
        <v>683</v>
      </c>
      <c r="B183" s="39" t="s">
        <v>4032</v>
      </c>
      <c r="C183" s="40" t="s">
        <v>4031</v>
      </c>
      <c r="D183" s="41" t="s">
        <v>2803</v>
      </c>
    </row>
    <row r="184" spans="1:4" ht="47.25" customHeight="1" x14ac:dyDescent="0.25">
      <c r="A184" s="39" t="s">
        <v>688</v>
      </c>
      <c r="B184" s="39" t="s">
        <v>4033</v>
      </c>
      <c r="C184" s="40" t="s">
        <v>4034</v>
      </c>
      <c r="D184" s="41" t="s">
        <v>2804</v>
      </c>
    </row>
    <row r="185" spans="1:4" ht="47.25" customHeight="1" x14ac:dyDescent="0.25">
      <c r="A185" s="39" t="s">
        <v>693</v>
      </c>
      <c r="B185" s="39" t="s">
        <v>4035</v>
      </c>
      <c r="C185" s="40" t="s">
        <v>4036</v>
      </c>
      <c r="D185" s="41" t="s">
        <v>2805</v>
      </c>
    </row>
    <row r="186" spans="1:4" ht="31.5" customHeight="1" x14ac:dyDescent="0.25">
      <c r="A186" s="39" t="s">
        <v>697</v>
      </c>
      <c r="B186" s="39" t="s">
        <v>4037</v>
      </c>
      <c r="C186" s="40" t="s">
        <v>1454</v>
      </c>
      <c r="D186" s="41" t="s">
        <v>2806</v>
      </c>
    </row>
    <row r="187" spans="1:4" ht="31.5" customHeight="1" x14ac:dyDescent="0.25">
      <c r="A187" s="39" t="s">
        <v>702</v>
      </c>
      <c r="B187" s="39" t="s">
        <v>4038</v>
      </c>
      <c r="C187" s="40" t="s">
        <v>1454</v>
      </c>
      <c r="D187" s="41" t="s">
        <v>2807</v>
      </c>
    </row>
    <row r="188" spans="1:4" ht="63" customHeight="1" x14ac:dyDescent="0.25">
      <c r="A188" s="39" t="s">
        <v>707</v>
      </c>
      <c r="B188" s="39" t="s">
        <v>4039</v>
      </c>
      <c r="C188" s="40" t="s">
        <v>4040</v>
      </c>
      <c r="D188" s="41" t="s">
        <v>2808</v>
      </c>
    </row>
    <row r="189" spans="1:4" ht="31.5" customHeight="1" x14ac:dyDescent="0.25">
      <c r="A189" s="39" t="s">
        <v>712</v>
      </c>
      <c r="B189" s="39" t="s">
        <v>4041</v>
      </c>
      <c r="C189" s="40" t="s">
        <v>4042</v>
      </c>
      <c r="D189" s="41" t="s">
        <v>2809</v>
      </c>
    </row>
    <row r="190" spans="1:4" ht="47.25" customHeight="1" x14ac:dyDescent="0.25">
      <c r="A190" s="39" t="s">
        <v>718</v>
      </c>
      <c r="B190" s="39" t="s">
        <v>4043</v>
      </c>
      <c r="C190" s="40" t="s">
        <v>2202</v>
      </c>
      <c r="D190" s="41" t="s">
        <v>2810</v>
      </c>
    </row>
    <row r="191" spans="1:4" ht="31.5" customHeight="1" x14ac:dyDescent="0.25">
      <c r="A191" s="39" t="s">
        <v>723</v>
      </c>
      <c r="B191" s="39" t="s">
        <v>4044</v>
      </c>
      <c r="C191" s="40" t="s">
        <v>402</v>
      </c>
      <c r="D191" s="41" t="s">
        <v>2811</v>
      </c>
    </row>
    <row r="192" spans="1:4" ht="63" customHeight="1" x14ac:dyDescent="0.25">
      <c r="A192" s="39" t="s">
        <v>729</v>
      </c>
      <c r="B192" s="39" t="s">
        <v>4045</v>
      </c>
      <c r="C192" s="40" t="s">
        <v>78</v>
      </c>
      <c r="D192" s="41" t="s">
        <v>2812</v>
      </c>
    </row>
    <row r="193" spans="1:4" ht="78.75" customHeight="1" x14ac:dyDescent="0.25">
      <c r="A193" s="39" t="s">
        <v>733</v>
      </c>
      <c r="B193" s="39" t="s">
        <v>4046</v>
      </c>
      <c r="C193" s="40" t="s">
        <v>4047</v>
      </c>
      <c r="D193" s="41" t="s">
        <v>2813</v>
      </c>
    </row>
    <row r="194" spans="1:4" ht="31.5" customHeight="1" x14ac:dyDescent="0.25">
      <c r="A194" s="39" t="s">
        <v>737</v>
      </c>
      <c r="B194" s="39" t="s">
        <v>4048</v>
      </c>
      <c r="C194" s="40" t="s">
        <v>1784</v>
      </c>
      <c r="D194" s="41" t="s">
        <v>2814</v>
      </c>
    </row>
    <row r="195" spans="1:4" ht="47.25" customHeight="1" x14ac:dyDescent="0.25">
      <c r="A195" s="39" t="s">
        <v>742</v>
      </c>
      <c r="B195" s="39" t="s">
        <v>4049</v>
      </c>
      <c r="C195" s="40" t="s">
        <v>171</v>
      </c>
      <c r="D195" s="41" t="s">
        <v>2815</v>
      </c>
    </row>
    <row r="196" spans="1:4" ht="47.25" customHeight="1" x14ac:dyDescent="0.25">
      <c r="A196" s="39" t="s">
        <v>746</v>
      </c>
      <c r="B196" s="39" t="s">
        <v>4050</v>
      </c>
      <c r="C196" s="40" t="s">
        <v>171</v>
      </c>
      <c r="D196" s="41" t="s">
        <v>2816</v>
      </c>
    </row>
    <row r="197" spans="1:4" ht="47.25" customHeight="1" x14ac:dyDescent="0.25">
      <c r="A197" s="39" t="s">
        <v>750</v>
      </c>
      <c r="B197" s="39" t="s">
        <v>4051</v>
      </c>
      <c r="C197" s="40" t="s">
        <v>1205</v>
      </c>
      <c r="D197" s="41" t="s">
        <v>2817</v>
      </c>
    </row>
    <row r="198" spans="1:4" ht="31.5" customHeight="1" x14ac:dyDescent="0.25">
      <c r="A198" s="39" t="s">
        <v>756</v>
      </c>
      <c r="B198" s="39" t="s">
        <v>4052</v>
      </c>
      <c r="C198" s="40" t="s">
        <v>106</v>
      </c>
      <c r="D198" s="41" t="s">
        <v>2818</v>
      </c>
    </row>
    <row r="199" spans="1:4" ht="31.5" customHeight="1" x14ac:dyDescent="0.25">
      <c r="A199" s="39" t="s">
        <v>760</v>
      </c>
      <c r="B199" s="39" t="s">
        <v>4053</v>
      </c>
      <c r="C199" s="40" t="s">
        <v>4054</v>
      </c>
      <c r="D199" s="41" t="s">
        <v>2819</v>
      </c>
    </row>
    <row r="200" spans="1:4" ht="31.5" customHeight="1" x14ac:dyDescent="0.25">
      <c r="A200" s="39" t="s">
        <v>765</v>
      </c>
      <c r="B200" s="39" t="s">
        <v>4055</v>
      </c>
      <c r="C200" s="40" t="s">
        <v>1134</v>
      </c>
      <c r="D200" s="41" t="s">
        <v>2820</v>
      </c>
    </row>
    <row r="201" spans="1:4" ht="31.5" customHeight="1" x14ac:dyDescent="0.25">
      <c r="A201" s="39" t="s">
        <v>770</v>
      </c>
      <c r="B201" s="39" t="s">
        <v>4056</v>
      </c>
      <c r="C201" s="40" t="s">
        <v>4057</v>
      </c>
      <c r="D201" s="41" t="s">
        <v>2821</v>
      </c>
    </row>
    <row r="202" spans="1:4" ht="47.25" customHeight="1" x14ac:dyDescent="0.25">
      <c r="A202" s="39" t="s">
        <v>775</v>
      </c>
      <c r="B202" s="39" t="s">
        <v>4058</v>
      </c>
      <c r="C202" s="40" t="s">
        <v>4031</v>
      </c>
      <c r="D202" s="41" t="s">
        <v>2822</v>
      </c>
    </row>
    <row r="203" spans="1:4" ht="47.25" customHeight="1" x14ac:dyDescent="0.25">
      <c r="A203" s="39" t="s">
        <v>778</v>
      </c>
      <c r="B203" s="39" t="s">
        <v>4059</v>
      </c>
      <c r="C203" s="40" t="s">
        <v>1617</v>
      </c>
      <c r="D203" s="41" t="s">
        <v>2823</v>
      </c>
    </row>
    <row r="204" spans="1:4" ht="63" customHeight="1" x14ac:dyDescent="0.25">
      <c r="A204" s="39" t="s">
        <v>783</v>
      </c>
      <c r="B204" s="39" t="s">
        <v>4060</v>
      </c>
      <c r="C204" s="40" t="s">
        <v>4061</v>
      </c>
      <c r="D204" s="41" t="s">
        <v>2824</v>
      </c>
    </row>
    <row r="205" spans="1:4" ht="63" customHeight="1" x14ac:dyDescent="0.25">
      <c r="A205" s="39" t="s">
        <v>788</v>
      </c>
      <c r="B205" s="39" t="s">
        <v>4062</v>
      </c>
      <c r="C205" s="40" t="s">
        <v>1288</v>
      </c>
      <c r="D205" s="41" t="s">
        <v>2825</v>
      </c>
    </row>
    <row r="206" spans="1:4" ht="31.5" customHeight="1" x14ac:dyDescent="0.25">
      <c r="A206" s="39" t="s">
        <v>792</v>
      </c>
      <c r="B206" s="39" t="s">
        <v>4063</v>
      </c>
      <c r="C206" s="40" t="s">
        <v>3895</v>
      </c>
      <c r="D206" s="41" t="s">
        <v>2826</v>
      </c>
    </row>
    <row r="207" spans="1:4" ht="31.5" customHeight="1" x14ac:dyDescent="0.25">
      <c r="A207" s="39" t="s">
        <v>796</v>
      </c>
      <c r="B207" s="39" t="s">
        <v>4064</v>
      </c>
      <c r="C207" s="40" t="s">
        <v>1530</v>
      </c>
      <c r="D207" s="41" t="s">
        <v>2827</v>
      </c>
    </row>
    <row r="208" spans="1:4" ht="47.25" customHeight="1" x14ac:dyDescent="0.25">
      <c r="A208" s="39" t="s">
        <v>802</v>
      </c>
      <c r="B208" s="39" t="s">
        <v>4065</v>
      </c>
      <c r="C208" s="40" t="s">
        <v>1134</v>
      </c>
      <c r="D208" s="41" t="s">
        <v>2828</v>
      </c>
    </row>
    <row r="209" spans="1:4" ht="31.5" customHeight="1" x14ac:dyDescent="0.25">
      <c r="A209" s="39" t="s">
        <v>807</v>
      </c>
      <c r="B209" s="39" t="s">
        <v>4066</v>
      </c>
      <c r="C209" s="40" t="s">
        <v>4067</v>
      </c>
      <c r="D209" s="41" t="s">
        <v>2829</v>
      </c>
    </row>
    <row r="210" spans="1:4" ht="31.5" customHeight="1" x14ac:dyDescent="0.25">
      <c r="A210" s="39" t="s">
        <v>812</v>
      </c>
      <c r="B210" s="39" t="s">
        <v>4068</v>
      </c>
      <c r="C210" s="40" t="s">
        <v>3842</v>
      </c>
      <c r="D210" s="41" t="s">
        <v>2830</v>
      </c>
    </row>
    <row r="211" spans="1:4" ht="63" customHeight="1" x14ac:dyDescent="0.25">
      <c r="A211" s="39" t="s">
        <v>817</v>
      </c>
      <c r="B211" s="39" t="s">
        <v>4069</v>
      </c>
      <c r="C211" s="40" t="s">
        <v>4070</v>
      </c>
      <c r="D211" s="41" t="s">
        <v>2831</v>
      </c>
    </row>
    <row r="212" spans="1:4" ht="31.5" customHeight="1" x14ac:dyDescent="0.25">
      <c r="A212" s="39" t="s">
        <v>821</v>
      </c>
      <c r="B212" s="39" t="s">
        <v>4071</v>
      </c>
      <c r="C212" s="40" t="s">
        <v>780</v>
      </c>
      <c r="D212" s="41" t="s">
        <v>2832</v>
      </c>
    </row>
    <row r="213" spans="1:4" ht="47.25" customHeight="1" x14ac:dyDescent="0.25">
      <c r="A213" s="39" t="s">
        <v>826</v>
      </c>
      <c r="B213" s="39" t="s">
        <v>4072</v>
      </c>
      <c r="C213" s="40" t="s">
        <v>4073</v>
      </c>
      <c r="D213" s="41" t="s">
        <v>2833</v>
      </c>
    </row>
    <row r="214" spans="1:4" ht="47.25" customHeight="1" x14ac:dyDescent="0.25">
      <c r="A214" s="39" t="s">
        <v>831</v>
      </c>
      <c r="B214" s="39" t="s">
        <v>4074</v>
      </c>
      <c r="C214" s="40" t="s">
        <v>330</v>
      </c>
      <c r="D214" s="41" t="s">
        <v>2834</v>
      </c>
    </row>
    <row r="215" spans="1:4" ht="47.25" customHeight="1" x14ac:dyDescent="0.25">
      <c r="A215" s="39" t="s">
        <v>835</v>
      </c>
      <c r="B215" s="39" t="s">
        <v>4075</v>
      </c>
      <c r="C215" s="40" t="s">
        <v>3827</v>
      </c>
      <c r="D215" s="41" t="s">
        <v>2835</v>
      </c>
    </row>
    <row r="216" spans="1:4" ht="47.25" customHeight="1" x14ac:dyDescent="0.25">
      <c r="A216" s="39" t="s">
        <v>840</v>
      </c>
      <c r="B216" s="39" t="s">
        <v>4076</v>
      </c>
      <c r="C216" s="40" t="s">
        <v>4077</v>
      </c>
      <c r="D216" s="41" t="s">
        <v>2836</v>
      </c>
    </row>
    <row r="217" spans="1:4" ht="47.25" customHeight="1" x14ac:dyDescent="0.25">
      <c r="A217" s="39" t="s">
        <v>844</v>
      </c>
      <c r="B217" s="39" t="s">
        <v>4078</v>
      </c>
      <c r="C217" s="40" t="s">
        <v>3982</v>
      </c>
      <c r="D217" s="41" t="s">
        <v>2837</v>
      </c>
    </row>
    <row r="218" spans="1:4" ht="47.25" customHeight="1" x14ac:dyDescent="0.25">
      <c r="A218" s="39" t="s">
        <v>850</v>
      </c>
      <c r="B218" s="39" t="s">
        <v>4079</v>
      </c>
      <c r="C218" s="40" t="s">
        <v>1380</v>
      </c>
      <c r="D218" s="41" t="s">
        <v>2838</v>
      </c>
    </row>
    <row r="219" spans="1:4" ht="47.25" customHeight="1" x14ac:dyDescent="0.25">
      <c r="A219" s="39" t="s">
        <v>855</v>
      </c>
      <c r="B219" s="39" t="s">
        <v>4080</v>
      </c>
      <c r="C219" s="40" t="s">
        <v>552</v>
      </c>
      <c r="D219" s="41" t="s">
        <v>2839</v>
      </c>
    </row>
    <row r="220" spans="1:4" ht="63" customHeight="1" x14ac:dyDescent="0.25">
      <c r="A220" s="39" t="s">
        <v>859</v>
      </c>
      <c r="B220" s="39" t="s">
        <v>4081</v>
      </c>
      <c r="C220" s="40" t="s">
        <v>4082</v>
      </c>
      <c r="D220" s="41" t="s">
        <v>2840</v>
      </c>
    </row>
    <row r="221" spans="1:4" ht="47.25" customHeight="1" x14ac:dyDescent="0.25">
      <c r="A221" s="39" t="s">
        <v>862</v>
      </c>
      <c r="B221" s="39" t="s">
        <v>4083</v>
      </c>
      <c r="C221" s="40" t="s">
        <v>4084</v>
      </c>
      <c r="D221" s="41" t="s">
        <v>2841</v>
      </c>
    </row>
    <row r="222" spans="1:4" ht="47.25" customHeight="1" x14ac:dyDescent="0.25">
      <c r="A222" s="39" t="s">
        <v>866</v>
      </c>
      <c r="B222" s="39" t="s">
        <v>4085</v>
      </c>
      <c r="C222" s="40" t="s">
        <v>2128</v>
      </c>
      <c r="D222" s="41" t="s">
        <v>2842</v>
      </c>
    </row>
    <row r="223" spans="1:4" ht="31.5" customHeight="1" x14ac:dyDescent="0.25">
      <c r="A223" s="39" t="s">
        <v>870</v>
      </c>
      <c r="B223" s="39" t="s">
        <v>4086</v>
      </c>
      <c r="C223" s="40" t="s">
        <v>4087</v>
      </c>
      <c r="D223" s="41" t="s">
        <v>2843</v>
      </c>
    </row>
    <row r="224" spans="1:4" ht="31.5" customHeight="1" x14ac:dyDescent="0.25">
      <c r="A224" s="39" t="s">
        <v>874</v>
      </c>
      <c r="B224" s="39" t="s">
        <v>4088</v>
      </c>
      <c r="C224" s="40" t="s">
        <v>1530</v>
      </c>
      <c r="D224" s="41" t="s">
        <v>2844</v>
      </c>
    </row>
    <row r="225" spans="1:4" ht="47.25" customHeight="1" x14ac:dyDescent="0.25">
      <c r="A225" s="39" t="s">
        <v>879</v>
      </c>
      <c r="B225" s="39" t="s">
        <v>4089</v>
      </c>
      <c r="C225" s="40" t="s">
        <v>65</v>
      </c>
      <c r="D225" s="41" t="s">
        <v>2845</v>
      </c>
    </row>
    <row r="226" spans="1:4" ht="47.25" customHeight="1" x14ac:dyDescent="0.25">
      <c r="A226" s="39" t="s">
        <v>884</v>
      </c>
      <c r="B226" s="39" t="s">
        <v>4090</v>
      </c>
      <c r="C226" s="40" t="s">
        <v>4091</v>
      </c>
      <c r="D226" s="41" t="s">
        <v>2846</v>
      </c>
    </row>
    <row r="227" spans="1:4" ht="31.5" customHeight="1" x14ac:dyDescent="0.25">
      <c r="A227" s="39" t="s">
        <v>889</v>
      </c>
      <c r="B227" s="39" t="s">
        <v>4092</v>
      </c>
      <c r="C227" s="40" t="s">
        <v>418</v>
      </c>
      <c r="D227" s="41" t="s">
        <v>2847</v>
      </c>
    </row>
    <row r="228" spans="1:4" ht="31.5" customHeight="1" x14ac:dyDescent="0.25">
      <c r="A228" s="39" t="s">
        <v>893</v>
      </c>
      <c r="B228" s="39" t="s">
        <v>4093</v>
      </c>
      <c r="C228" s="40" t="s">
        <v>1091</v>
      </c>
      <c r="D228" s="41" t="s">
        <v>2848</v>
      </c>
    </row>
    <row r="229" spans="1:4" ht="31.5" customHeight="1" x14ac:dyDescent="0.25">
      <c r="A229" s="39" t="s">
        <v>898</v>
      </c>
      <c r="B229" s="39" t="s">
        <v>4094</v>
      </c>
      <c r="C229" s="40" t="s">
        <v>2114</v>
      </c>
      <c r="D229" s="41" t="s">
        <v>2849</v>
      </c>
    </row>
    <row r="230" spans="1:4" ht="31.5" customHeight="1" x14ac:dyDescent="0.25">
      <c r="A230" s="39" t="s">
        <v>903</v>
      </c>
      <c r="B230" s="39" t="s">
        <v>4095</v>
      </c>
      <c r="C230" s="40" t="s">
        <v>4096</v>
      </c>
      <c r="D230" s="41" t="s">
        <v>2850</v>
      </c>
    </row>
    <row r="231" spans="1:4" ht="31.5" customHeight="1" x14ac:dyDescent="0.25">
      <c r="A231" s="39" t="s">
        <v>908</v>
      </c>
      <c r="B231" s="39" t="s">
        <v>4097</v>
      </c>
      <c r="C231" s="40" t="s">
        <v>4098</v>
      </c>
      <c r="D231" s="41" t="s">
        <v>2851</v>
      </c>
    </row>
    <row r="232" spans="1:4" ht="63" customHeight="1" x14ac:dyDescent="0.25">
      <c r="A232" s="39" t="s">
        <v>913</v>
      </c>
      <c r="B232" s="39" t="s">
        <v>4099</v>
      </c>
      <c r="C232" s="40" t="s">
        <v>2312</v>
      </c>
      <c r="D232" s="41" t="s">
        <v>2852</v>
      </c>
    </row>
    <row r="233" spans="1:4" ht="31.5" customHeight="1" x14ac:dyDescent="0.25">
      <c r="A233" s="39" t="s">
        <v>917</v>
      </c>
      <c r="B233" s="39" t="s">
        <v>4100</v>
      </c>
      <c r="C233" s="40" t="s">
        <v>4005</v>
      </c>
      <c r="D233" s="41" t="s">
        <v>2853</v>
      </c>
    </row>
    <row r="234" spans="1:4" ht="47.25" customHeight="1" x14ac:dyDescent="0.25">
      <c r="A234" s="39" t="s">
        <v>923</v>
      </c>
      <c r="B234" s="39" t="s">
        <v>4101</v>
      </c>
      <c r="C234" s="40" t="s">
        <v>4005</v>
      </c>
      <c r="D234" s="41" t="s">
        <v>2854</v>
      </c>
    </row>
    <row r="235" spans="1:4" ht="47.25" customHeight="1" x14ac:dyDescent="0.25">
      <c r="A235" s="39" t="s">
        <v>927</v>
      </c>
      <c r="B235" s="39" t="s">
        <v>4102</v>
      </c>
      <c r="C235" s="40" t="s">
        <v>4103</v>
      </c>
      <c r="D235" s="41" t="s">
        <v>2855</v>
      </c>
    </row>
    <row r="236" spans="1:4" ht="47.25" customHeight="1" x14ac:dyDescent="0.25">
      <c r="A236" s="39" t="s">
        <v>931</v>
      </c>
      <c r="B236" s="39" t="s">
        <v>4104</v>
      </c>
      <c r="C236" s="40" t="s">
        <v>2312</v>
      </c>
      <c r="D236" s="41" t="s">
        <v>2856</v>
      </c>
    </row>
    <row r="237" spans="1:4" ht="47.25" customHeight="1" x14ac:dyDescent="0.25">
      <c r="A237" s="39" t="s">
        <v>935</v>
      </c>
      <c r="B237" s="39" t="s">
        <v>4105</v>
      </c>
      <c r="C237" s="40" t="s">
        <v>4106</v>
      </c>
      <c r="D237" s="41" t="s">
        <v>2857</v>
      </c>
    </row>
    <row r="238" spans="1:4" ht="47.25" customHeight="1" x14ac:dyDescent="0.25">
      <c r="A238" s="39" t="s">
        <v>939</v>
      </c>
      <c r="B238" s="39" t="s">
        <v>4107</v>
      </c>
      <c r="C238" s="40" t="s">
        <v>4103</v>
      </c>
      <c r="D238" s="41" t="s">
        <v>2858</v>
      </c>
    </row>
    <row r="239" spans="1:4" ht="47.25" customHeight="1" x14ac:dyDescent="0.25">
      <c r="A239" s="39" t="s">
        <v>942</v>
      </c>
      <c r="B239" s="39" t="s">
        <v>4108</v>
      </c>
      <c r="C239" s="40" t="s">
        <v>4103</v>
      </c>
      <c r="D239" s="41" t="s">
        <v>2859</v>
      </c>
    </row>
    <row r="240" spans="1:4" ht="47.25" customHeight="1" x14ac:dyDescent="0.25">
      <c r="A240" s="39" t="s">
        <v>946</v>
      </c>
      <c r="B240" s="39" t="s">
        <v>4109</v>
      </c>
      <c r="C240" s="40" t="s">
        <v>3810</v>
      </c>
      <c r="D240" s="41" t="s">
        <v>2860</v>
      </c>
    </row>
    <row r="241" spans="1:4" ht="31.5" customHeight="1" x14ac:dyDescent="0.25">
      <c r="A241" s="39" t="s">
        <v>950</v>
      </c>
      <c r="B241" s="39" t="s">
        <v>4110</v>
      </c>
      <c r="C241" s="40" t="s">
        <v>552</v>
      </c>
      <c r="D241" s="41" t="s">
        <v>2861</v>
      </c>
    </row>
    <row r="242" spans="1:4" ht="31.5" customHeight="1" x14ac:dyDescent="0.25">
      <c r="A242" s="39" t="s">
        <v>955</v>
      </c>
      <c r="B242" s="39" t="s">
        <v>4111</v>
      </c>
      <c r="C242" s="40" t="s">
        <v>1823</v>
      </c>
      <c r="D242" s="41" t="s">
        <v>2862</v>
      </c>
    </row>
    <row r="243" spans="1:4" ht="47.25" customHeight="1" x14ac:dyDescent="0.25">
      <c r="A243" s="39" t="s">
        <v>959</v>
      </c>
      <c r="B243" s="39" t="s">
        <v>4112</v>
      </c>
      <c r="C243" s="40" t="s">
        <v>65</v>
      </c>
      <c r="D243" s="41" t="s">
        <v>2863</v>
      </c>
    </row>
    <row r="244" spans="1:4" ht="31.5" customHeight="1" x14ac:dyDescent="0.25">
      <c r="A244" s="39" t="s">
        <v>963</v>
      </c>
      <c r="B244" s="39" t="s">
        <v>4113</v>
      </c>
      <c r="C244" s="40" t="s">
        <v>4114</v>
      </c>
      <c r="D244" s="41" t="s">
        <v>2864</v>
      </c>
    </row>
    <row r="245" spans="1:4" ht="47.25" customHeight="1" x14ac:dyDescent="0.25">
      <c r="A245" s="39" t="s">
        <v>968</v>
      </c>
      <c r="B245" s="39" t="s">
        <v>4115</v>
      </c>
      <c r="C245" s="40" t="s">
        <v>552</v>
      </c>
      <c r="D245" s="41" t="s">
        <v>2865</v>
      </c>
    </row>
    <row r="246" spans="1:4" ht="47.25" customHeight="1" x14ac:dyDescent="0.25">
      <c r="A246" s="39" t="s">
        <v>973</v>
      </c>
      <c r="B246" s="39" t="s">
        <v>4116</v>
      </c>
      <c r="C246" s="40" t="s">
        <v>1170</v>
      </c>
      <c r="D246" s="41" t="s">
        <v>2866</v>
      </c>
    </row>
    <row r="247" spans="1:4" ht="31.5" customHeight="1" x14ac:dyDescent="0.25">
      <c r="A247" s="39" t="s">
        <v>978</v>
      </c>
      <c r="B247" s="39" t="s">
        <v>4117</v>
      </c>
      <c r="C247" s="40" t="s">
        <v>1219</v>
      </c>
      <c r="D247" s="41" t="s">
        <v>2867</v>
      </c>
    </row>
    <row r="248" spans="1:4" ht="47.25" customHeight="1" x14ac:dyDescent="0.25">
      <c r="A248" s="39" t="s">
        <v>983</v>
      </c>
      <c r="B248" s="39" t="s">
        <v>4118</v>
      </c>
      <c r="C248" s="40" t="s">
        <v>65</v>
      </c>
      <c r="D248" s="41" t="s">
        <v>2868</v>
      </c>
    </row>
    <row r="249" spans="1:4" ht="31.5" customHeight="1" x14ac:dyDescent="0.25">
      <c r="A249" s="39" t="s">
        <v>988</v>
      </c>
      <c r="B249" s="39" t="s">
        <v>4119</v>
      </c>
      <c r="C249" s="40" t="s">
        <v>2154</v>
      </c>
      <c r="D249" s="41" t="s">
        <v>2869</v>
      </c>
    </row>
    <row r="250" spans="1:4" ht="47.25" customHeight="1" x14ac:dyDescent="0.25">
      <c r="A250" s="39" t="s">
        <v>991</v>
      </c>
      <c r="B250" s="39" t="s">
        <v>4120</v>
      </c>
      <c r="C250" s="40" t="s">
        <v>1701</v>
      </c>
      <c r="D250" s="41" t="s">
        <v>2870</v>
      </c>
    </row>
    <row r="251" spans="1:4" ht="31.5" customHeight="1" x14ac:dyDescent="0.25">
      <c r="A251" s="39" t="s">
        <v>997</v>
      </c>
      <c r="B251" s="39" t="s">
        <v>4121</v>
      </c>
      <c r="C251" s="40" t="s">
        <v>537</v>
      </c>
      <c r="D251" s="41" t="s">
        <v>2871</v>
      </c>
    </row>
    <row r="252" spans="1:4" ht="31.5" customHeight="1" x14ac:dyDescent="0.25">
      <c r="A252" s="39" t="s">
        <v>1001</v>
      </c>
      <c r="B252" s="39" t="s">
        <v>4122</v>
      </c>
      <c r="C252" s="40" t="s">
        <v>537</v>
      </c>
      <c r="D252" s="41" t="s">
        <v>2872</v>
      </c>
    </row>
    <row r="253" spans="1:4" ht="31.5" customHeight="1" x14ac:dyDescent="0.25">
      <c r="A253" s="39" t="s">
        <v>1006</v>
      </c>
      <c r="B253" s="39" t="s">
        <v>4123</v>
      </c>
      <c r="C253" s="40" t="s">
        <v>397</v>
      </c>
      <c r="D253" s="41" t="s">
        <v>2873</v>
      </c>
    </row>
    <row r="254" spans="1:4" ht="63" customHeight="1" x14ac:dyDescent="0.25">
      <c r="A254" s="39" t="s">
        <v>1011</v>
      </c>
      <c r="B254" s="39" t="s">
        <v>4124</v>
      </c>
      <c r="C254" s="40" t="s">
        <v>199</v>
      </c>
      <c r="D254" s="41" t="s">
        <v>2874</v>
      </c>
    </row>
    <row r="255" spans="1:4" ht="31.5" customHeight="1" x14ac:dyDescent="0.25">
      <c r="A255" s="39" t="s">
        <v>1016</v>
      </c>
      <c r="B255" s="39" t="s">
        <v>4125</v>
      </c>
      <c r="C255" s="40" t="s">
        <v>2066</v>
      </c>
      <c r="D255" s="41" t="s">
        <v>2875</v>
      </c>
    </row>
    <row r="256" spans="1:4" ht="31.5" customHeight="1" x14ac:dyDescent="0.25">
      <c r="A256" s="39" t="s">
        <v>1022</v>
      </c>
      <c r="B256" s="39" t="s">
        <v>4126</v>
      </c>
      <c r="C256" s="40" t="s">
        <v>4127</v>
      </c>
      <c r="D256" s="41" t="s">
        <v>2876</v>
      </c>
    </row>
    <row r="257" spans="1:4" ht="47.25" customHeight="1" x14ac:dyDescent="0.25">
      <c r="A257" s="39" t="s">
        <v>1026</v>
      </c>
      <c r="B257" s="39" t="s">
        <v>4128</v>
      </c>
      <c r="C257" s="40" t="s">
        <v>4129</v>
      </c>
      <c r="D257" s="41" t="s">
        <v>2877</v>
      </c>
    </row>
    <row r="258" spans="1:4" ht="31.5" customHeight="1" x14ac:dyDescent="0.25">
      <c r="A258" s="39" t="s">
        <v>1030</v>
      </c>
      <c r="B258" s="39" t="s">
        <v>4130</v>
      </c>
      <c r="C258" s="40" t="s">
        <v>65</v>
      </c>
      <c r="D258" s="41" t="s">
        <v>2878</v>
      </c>
    </row>
    <row r="259" spans="1:4" ht="31.5" customHeight="1" x14ac:dyDescent="0.25">
      <c r="A259" s="39" t="s">
        <v>1035</v>
      </c>
      <c r="B259" s="39" t="s">
        <v>4131</v>
      </c>
      <c r="C259" s="40" t="s">
        <v>310</v>
      </c>
      <c r="D259" s="41" t="s">
        <v>2879</v>
      </c>
    </row>
    <row r="260" spans="1:4" ht="31.5" customHeight="1" x14ac:dyDescent="0.25">
      <c r="A260" s="39" t="s">
        <v>1040</v>
      </c>
      <c r="B260" s="39" t="s">
        <v>4132</v>
      </c>
      <c r="C260" s="40" t="s">
        <v>4133</v>
      </c>
      <c r="D260" s="41" t="s">
        <v>2880</v>
      </c>
    </row>
    <row r="261" spans="1:4" ht="47.25" customHeight="1" x14ac:dyDescent="0.25">
      <c r="A261" s="39" t="s">
        <v>1045</v>
      </c>
      <c r="B261" s="39" t="s">
        <v>4134</v>
      </c>
      <c r="C261" s="40" t="s">
        <v>412</v>
      </c>
      <c r="D261" s="41" t="s">
        <v>2881</v>
      </c>
    </row>
    <row r="262" spans="1:4" ht="47.25" customHeight="1" x14ac:dyDescent="0.25">
      <c r="A262" s="39" t="s">
        <v>1050</v>
      </c>
      <c r="B262" s="39" t="s">
        <v>4135</v>
      </c>
      <c r="C262" s="40" t="s">
        <v>772</v>
      </c>
      <c r="D262" s="41" t="s">
        <v>2882</v>
      </c>
    </row>
    <row r="263" spans="1:4" ht="47.25" customHeight="1" x14ac:dyDescent="0.25">
      <c r="A263" s="39" t="s">
        <v>1054</v>
      </c>
      <c r="B263" s="39" t="s">
        <v>4136</v>
      </c>
      <c r="C263" s="40" t="s">
        <v>632</v>
      </c>
      <c r="D263" s="41" t="s">
        <v>2883</v>
      </c>
    </row>
    <row r="264" spans="1:4" ht="78.75" customHeight="1" x14ac:dyDescent="0.25">
      <c r="A264" s="39" t="s">
        <v>1059</v>
      </c>
      <c r="B264" s="39" t="s">
        <v>4137</v>
      </c>
      <c r="C264" s="40" t="s">
        <v>814</v>
      </c>
      <c r="D264" s="41" t="s">
        <v>2884</v>
      </c>
    </row>
    <row r="265" spans="1:4" ht="31.5" customHeight="1" x14ac:dyDescent="0.25">
      <c r="A265" s="39" t="s">
        <v>1063</v>
      </c>
      <c r="B265" s="39" t="s">
        <v>4138</v>
      </c>
      <c r="C265" s="40" t="s">
        <v>407</v>
      </c>
      <c r="D265" s="41" t="s">
        <v>2885</v>
      </c>
    </row>
    <row r="266" spans="1:4" ht="47.25" customHeight="1" x14ac:dyDescent="0.25">
      <c r="A266" s="39" t="s">
        <v>1069</v>
      </c>
      <c r="B266" s="39" t="s">
        <v>4139</v>
      </c>
      <c r="C266" s="40" t="s">
        <v>1504</v>
      </c>
      <c r="D266" s="41" t="s">
        <v>2886</v>
      </c>
    </row>
    <row r="267" spans="1:4" ht="63" customHeight="1" x14ac:dyDescent="0.25">
      <c r="A267" s="39" t="s">
        <v>1074</v>
      </c>
      <c r="B267" s="39" t="s">
        <v>4140</v>
      </c>
      <c r="C267" s="40" t="s">
        <v>240</v>
      </c>
      <c r="D267" s="41" t="s">
        <v>2887</v>
      </c>
    </row>
    <row r="268" spans="1:4" ht="47.25" customHeight="1" x14ac:dyDescent="0.25">
      <c r="A268" s="39" t="s">
        <v>1078</v>
      </c>
      <c r="B268" s="39" t="s">
        <v>4141</v>
      </c>
      <c r="C268" s="40" t="s">
        <v>1013</v>
      </c>
      <c r="D268" s="41" t="s">
        <v>2888</v>
      </c>
    </row>
    <row r="269" spans="1:4" ht="47.25" customHeight="1" x14ac:dyDescent="0.25">
      <c r="A269" s="39" t="s">
        <v>1083</v>
      </c>
      <c r="B269" s="39" t="s">
        <v>4142</v>
      </c>
      <c r="C269" s="40" t="s">
        <v>4143</v>
      </c>
      <c r="D269" s="41" t="s">
        <v>2889</v>
      </c>
    </row>
    <row r="270" spans="1:4" ht="47.25" customHeight="1" x14ac:dyDescent="0.25">
      <c r="A270" s="39" t="s">
        <v>1086</v>
      </c>
      <c r="B270" s="39" t="s">
        <v>4144</v>
      </c>
      <c r="C270" s="40" t="s">
        <v>1530</v>
      </c>
      <c r="D270" s="41" t="s">
        <v>2890</v>
      </c>
    </row>
    <row r="271" spans="1:4" ht="47.25" customHeight="1" x14ac:dyDescent="0.25">
      <c r="A271" s="39" t="s">
        <v>1089</v>
      </c>
      <c r="B271" s="39" t="s">
        <v>4145</v>
      </c>
      <c r="C271" s="40" t="s">
        <v>4146</v>
      </c>
      <c r="D271" s="41" t="s">
        <v>2891</v>
      </c>
    </row>
    <row r="272" spans="1:4" ht="31.5" customHeight="1" x14ac:dyDescent="0.25">
      <c r="A272" s="39" t="s">
        <v>1094</v>
      </c>
      <c r="B272" s="39" t="s">
        <v>4147</v>
      </c>
      <c r="C272" s="40" t="s">
        <v>1157</v>
      </c>
      <c r="D272" s="41" t="s">
        <v>2892</v>
      </c>
    </row>
    <row r="273" spans="1:4" ht="47.25" customHeight="1" x14ac:dyDescent="0.25">
      <c r="A273" s="39" t="s">
        <v>1098</v>
      </c>
      <c r="B273" s="39" t="s">
        <v>4148</v>
      </c>
      <c r="C273" s="40" t="s">
        <v>310</v>
      </c>
      <c r="D273" s="41" t="s">
        <v>2893</v>
      </c>
    </row>
    <row r="274" spans="1:4" ht="78.75" customHeight="1" x14ac:dyDescent="0.25">
      <c r="A274" s="39" t="s">
        <v>1104</v>
      </c>
      <c r="B274" s="39" t="s">
        <v>4149</v>
      </c>
      <c r="C274" s="40" t="s">
        <v>1134</v>
      </c>
      <c r="D274" s="41" t="s">
        <v>2894</v>
      </c>
    </row>
    <row r="275" spans="1:4" ht="47.25" customHeight="1" x14ac:dyDescent="0.25">
      <c r="A275" s="39" t="s">
        <v>1109</v>
      </c>
      <c r="B275" s="39" t="s">
        <v>4150</v>
      </c>
      <c r="C275" s="40" t="s">
        <v>4151</v>
      </c>
      <c r="D275" s="41" t="s">
        <v>2895</v>
      </c>
    </row>
    <row r="276" spans="1:4" ht="47.25" customHeight="1" x14ac:dyDescent="0.25">
      <c r="A276" s="39" t="s">
        <v>1113</v>
      </c>
      <c r="B276" s="39" t="s">
        <v>4152</v>
      </c>
      <c r="C276" s="40" t="s">
        <v>2312</v>
      </c>
      <c r="D276" s="41" t="s">
        <v>2896</v>
      </c>
    </row>
    <row r="277" spans="1:4" ht="47.25" customHeight="1" x14ac:dyDescent="0.25">
      <c r="A277" s="39" t="s">
        <v>1118</v>
      </c>
      <c r="B277" s="39" t="s">
        <v>4153</v>
      </c>
      <c r="C277" s="40" t="s">
        <v>4154</v>
      </c>
      <c r="D277" s="41" t="s">
        <v>2897</v>
      </c>
    </row>
    <row r="278" spans="1:4" ht="31.5" customHeight="1" x14ac:dyDescent="0.25">
      <c r="A278" s="39" t="s">
        <v>1123</v>
      </c>
      <c r="B278" s="39" t="s">
        <v>4155</v>
      </c>
      <c r="C278" s="40" t="s">
        <v>1134</v>
      </c>
      <c r="D278" s="41" t="s">
        <v>2898</v>
      </c>
    </row>
    <row r="279" spans="1:4" ht="63" customHeight="1" x14ac:dyDescent="0.25">
      <c r="A279" s="39" t="s">
        <v>1128</v>
      </c>
      <c r="B279" s="39" t="s">
        <v>4156</v>
      </c>
      <c r="C279" s="40" t="s">
        <v>4157</v>
      </c>
      <c r="D279" s="41" t="s">
        <v>2899</v>
      </c>
    </row>
    <row r="280" spans="1:4" ht="47.25" customHeight="1" x14ac:dyDescent="0.25">
      <c r="A280" s="39" t="s">
        <v>1132</v>
      </c>
      <c r="B280" s="39" t="s">
        <v>4158</v>
      </c>
      <c r="C280" s="40" t="s">
        <v>4047</v>
      </c>
      <c r="D280" s="41" t="s">
        <v>2900</v>
      </c>
    </row>
    <row r="281" spans="1:4" ht="47.25" customHeight="1" x14ac:dyDescent="0.25">
      <c r="A281" s="39" t="s">
        <v>1137</v>
      </c>
      <c r="B281" s="39" t="s">
        <v>4159</v>
      </c>
      <c r="C281" s="40" t="s">
        <v>2291</v>
      </c>
      <c r="D281" s="41" t="s">
        <v>2901</v>
      </c>
    </row>
    <row r="282" spans="1:4" ht="47.25" customHeight="1" x14ac:dyDescent="0.25">
      <c r="A282" s="39" t="s">
        <v>1141</v>
      </c>
      <c r="B282" s="39" t="s">
        <v>4160</v>
      </c>
      <c r="C282" s="40" t="s">
        <v>4161</v>
      </c>
      <c r="D282" s="41" t="s">
        <v>2902</v>
      </c>
    </row>
    <row r="283" spans="1:4" ht="47.25" customHeight="1" x14ac:dyDescent="0.25">
      <c r="A283" s="39" t="s">
        <v>1146</v>
      </c>
      <c r="B283" s="39" t="s">
        <v>4162</v>
      </c>
      <c r="C283" s="40" t="s">
        <v>1134</v>
      </c>
      <c r="D283" s="41" t="s">
        <v>2903</v>
      </c>
    </row>
    <row r="284" spans="1:4" ht="31.5" customHeight="1" x14ac:dyDescent="0.25">
      <c r="A284" s="39" t="s">
        <v>1150</v>
      </c>
      <c r="B284" s="39" t="s">
        <v>4163</v>
      </c>
      <c r="C284" s="40" t="s">
        <v>3926</v>
      </c>
      <c r="D284" s="41" t="s">
        <v>2904</v>
      </c>
    </row>
    <row r="285" spans="1:4" ht="31.5" customHeight="1" x14ac:dyDescent="0.25">
      <c r="A285" s="39" t="s">
        <v>1155</v>
      </c>
      <c r="B285" s="39" t="s">
        <v>4164</v>
      </c>
      <c r="C285" s="40" t="s">
        <v>3926</v>
      </c>
      <c r="D285" s="41" t="s">
        <v>2905</v>
      </c>
    </row>
    <row r="286" spans="1:4" ht="31.5" customHeight="1" x14ac:dyDescent="0.25">
      <c r="A286" s="39" t="s">
        <v>1160</v>
      </c>
      <c r="B286" s="39" t="s">
        <v>4165</v>
      </c>
      <c r="C286" s="40" t="s">
        <v>3926</v>
      </c>
      <c r="D286" s="41" t="s">
        <v>2906</v>
      </c>
    </row>
    <row r="287" spans="1:4" ht="31.5" customHeight="1" x14ac:dyDescent="0.25">
      <c r="A287" s="39" t="s">
        <v>1164</v>
      </c>
      <c r="B287" s="39" t="s">
        <v>4166</v>
      </c>
      <c r="C287" s="40" t="s">
        <v>3926</v>
      </c>
      <c r="D287" s="41" t="s">
        <v>2907</v>
      </c>
    </row>
    <row r="288" spans="1:4" ht="31.5" customHeight="1" x14ac:dyDescent="0.25">
      <c r="A288" s="39" t="s">
        <v>1168</v>
      </c>
      <c r="B288" s="39" t="s">
        <v>4167</v>
      </c>
      <c r="C288" s="40" t="s">
        <v>1356</v>
      </c>
      <c r="D288" s="41" t="s">
        <v>2908</v>
      </c>
    </row>
    <row r="289" spans="1:4" ht="31.5" customHeight="1" x14ac:dyDescent="0.25">
      <c r="A289" s="39" t="s">
        <v>1174</v>
      </c>
      <c r="B289" s="39" t="s">
        <v>4168</v>
      </c>
      <c r="C289" s="40" t="s">
        <v>3839</v>
      </c>
      <c r="D289" s="41" t="s">
        <v>2909</v>
      </c>
    </row>
    <row r="290" spans="1:4" ht="47.25" customHeight="1" x14ac:dyDescent="0.25">
      <c r="A290" s="39" t="s">
        <v>1178</v>
      </c>
      <c r="B290" s="39" t="s">
        <v>4169</v>
      </c>
      <c r="C290" s="40" t="s">
        <v>3839</v>
      </c>
      <c r="D290" s="41" t="s">
        <v>2910</v>
      </c>
    </row>
    <row r="291" spans="1:4" ht="31.5" customHeight="1" x14ac:dyDescent="0.25">
      <c r="A291" s="39" t="s">
        <v>1182</v>
      </c>
      <c r="B291" s="39" t="s">
        <v>4170</v>
      </c>
      <c r="C291" s="40" t="s">
        <v>4171</v>
      </c>
      <c r="D291" s="41" t="s">
        <v>2911</v>
      </c>
    </row>
    <row r="292" spans="1:4" ht="31.5" customHeight="1" x14ac:dyDescent="0.25">
      <c r="A292" s="39" t="s">
        <v>1187</v>
      </c>
      <c r="B292" s="39" t="s">
        <v>4172</v>
      </c>
      <c r="C292" s="40" t="s">
        <v>646</v>
      </c>
      <c r="D292" s="41" t="s">
        <v>2912</v>
      </c>
    </row>
    <row r="293" spans="1:4" ht="31.5" customHeight="1" x14ac:dyDescent="0.25">
      <c r="A293" s="39" t="s">
        <v>1193</v>
      </c>
      <c r="B293" s="39" t="s">
        <v>4173</v>
      </c>
      <c r="C293" s="40" t="s">
        <v>4174</v>
      </c>
      <c r="D293" s="41" t="s">
        <v>2913</v>
      </c>
    </row>
    <row r="294" spans="1:4" ht="63" customHeight="1" x14ac:dyDescent="0.25">
      <c r="A294" s="39" t="s">
        <v>1199</v>
      </c>
      <c r="B294" s="39" t="s">
        <v>4175</v>
      </c>
      <c r="C294" s="40" t="s">
        <v>4040</v>
      </c>
      <c r="D294" s="41" t="s">
        <v>2914</v>
      </c>
    </row>
    <row r="295" spans="1:4" ht="31.5" customHeight="1" x14ac:dyDescent="0.25">
      <c r="A295" s="39" t="s">
        <v>1203</v>
      </c>
      <c r="B295" s="39" t="s">
        <v>4176</v>
      </c>
      <c r="C295" s="40" t="s">
        <v>323</v>
      </c>
      <c r="D295" s="41" t="s">
        <v>2915</v>
      </c>
    </row>
    <row r="296" spans="1:4" ht="63" customHeight="1" x14ac:dyDescent="0.25">
      <c r="A296" s="39" t="s">
        <v>1208</v>
      </c>
      <c r="B296" s="39" t="s">
        <v>4177</v>
      </c>
      <c r="C296" s="40" t="s">
        <v>993</v>
      </c>
      <c r="D296" s="41" t="s">
        <v>2916</v>
      </c>
    </row>
    <row r="297" spans="1:4" ht="47.25" customHeight="1" x14ac:dyDescent="0.25">
      <c r="A297" s="39" t="s">
        <v>1212</v>
      </c>
      <c r="B297" s="39" t="s">
        <v>4178</v>
      </c>
      <c r="C297" s="40" t="s">
        <v>4179</v>
      </c>
      <c r="D297" s="41" t="s">
        <v>2917</v>
      </c>
    </row>
    <row r="298" spans="1:4" ht="63" customHeight="1" x14ac:dyDescent="0.25">
      <c r="A298" s="39" t="s">
        <v>1217</v>
      </c>
      <c r="B298" s="39" t="s">
        <v>4180</v>
      </c>
      <c r="C298" s="40" t="s">
        <v>418</v>
      </c>
      <c r="D298" s="41" t="s">
        <v>2918</v>
      </c>
    </row>
    <row r="299" spans="1:4" ht="31.5" customHeight="1" x14ac:dyDescent="0.25">
      <c r="A299" s="39" t="s">
        <v>1223</v>
      </c>
      <c r="B299" s="39" t="s">
        <v>4181</v>
      </c>
      <c r="C299" s="40" t="s">
        <v>4182</v>
      </c>
      <c r="D299" s="41" t="s">
        <v>2919</v>
      </c>
    </row>
    <row r="300" spans="1:4" ht="63" customHeight="1" x14ac:dyDescent="0.25">
      <c r="A300" s="39" t="s">
        <v>1228</v>
      </c>
      <c r="B300" s="39" t="s">
        <v>4183</v>
      </c>
      <c r="C300" s="40" t="s">
        <v>4182</v>
      </c>
      <c r="D300" s="41" t="s">
        <v>2920</v>
      </c>
    </row>
    <row r="301" spans="1:4" ht="63" customHeight="1" x14ac:dyDescent="0.25">
      <c r="A301" s="39" t="s">
        <v>1233</v>
      </c>
      <c r="B301" s="39" t="s">
        <v>4184</v>
      </c>
      <c r="C301" s="40" t="s">
        <v>511</v>
      </c>
      <c r="D301" s="41" t="s">
        <v>2921</v>
      </c>
    </row>
    <row r="302" spans="1:4" ht="31.5" customHeight="1" x14ac:dyDescent="0.25">
      <c r="A302" s="39" t="s">
        <v>1238</v>
      </c>
      <c r="B302" s="39" t="s">
        <v>4185</v>
      </c>
      <c r="C302" s="40" t="s">
        <v>952</v>
      </c>
      <c r="D302" s="41" t="s">
        <v>2922</v>
      </c>
    </row>
    <row r="303" spans="1:4" ht="31.5" customHeight="1" x14ac:dyDescent="0.25">
      <c r="A303" s="39" t="s">
        <v>1242</v>
      </c>
      <c r="B303" s="39" t="s">
        <v>4186</v>
      </c>
      <c r="C303" s="40" t="s">
        <v>1468</v>
      </c>
      <c r="D303" s="41" t="s">
        <v>2923</v>
      </c>
    </row>
    <row r="304" spans="1:4" ht="31.5" customHeight="1" x14ac:dyDescent="0.25">
      <c r="A304" s="39" t="s">
        <v>1245</v>
      </c>
      <c r="B304" s="39" t="s">
        <v>4187</v>
      </c>
      <c r="C304" s="40" t="s">
        <v>1134</v>
      </c>
      <c r="D304" s="41" t="s">
        <v>2924</v>
      </c>
    </row>
    <row r="305" spans="1:4" ht="47.25" customHeight="1" x14ac:dyDescent="0.25">
      <c r="A305" s="39" t="s">
        <v>1248</v>
      </c>
      <c r="B305" s="39" t="s">
        <v>4188</v>
      </c>
      <c r="C305" s="40" t="s">
        <v>1134</v>
      </c>
      <c r="D305" s="41" t="s">
        <v>2925</v>
      </c>
    </row>
    <row r="306" spans="1:4" ht="31.5" customHeight="1" x14ac:dyDescent="0.25">
      <c r="A306" s="39" t="s">
        <v>1251</v>
      </c>
      <c r="B306" s="39" t="s">
        <v>4189</v>
      </c>
      <c r="C306" s="40" t="s">
        <v>1327</v>
      </c>
      <c r="D306" s="41" t="s">
        <v>2926</v>
      </c>
    </row>
    <row r="307" spans="1:4" ht="31.5" customHeight="1" x14ac:dyDescent="0.25">
      <c r="A307" s="39" t="s">
        <v>1254</v>
      </c>
      <c r="B307" s="39" t="s">
        <v>4190</v>
      </c>
      <c r="C307" s="40" t="s">
        <v>402</v>
      </c>
      <c r="D307" s="41" t="s">
        <v>2927</v>
      </c>
    </row>
    <row r="308" spans="1:4" ht="31.5" customHeight="1" x14ac:dyDescent="0.25">
      <c r="A308" s="39" t="s">
        <v>1259</v>
      </c>
      <c r="B308" s="39" t="s">
        <v>4191</v>
      </c>
      <c r="C308" s="40" t="s">
        <v>4192</v>
      </c>
      <c r="D308" s="41" t="s">
        <v>2928</v>
      </c>
    </row>
    <row r="309" spans="1:4" ht="31.5" customHeight="1" x14ac:dyDescent="0.25">
      <c r="A309" s="39" t="s">
        <v>1264</v>
      </c>
      <c r="B309" s="39" t="s">
        <v>4193</v>
      </c>
      <c r="C309" s="40" t="s">
        <v>611</v>
      </c>
      <c r="D309" s="41" t="s">
        <v>2929</v>
      </c>
    </row>
    <row r="310" spans="1:4" ht="47.25" customHeight="1" x14ac:dyDescent="0.25">
      <c r="A310" s="39" t="s">
        <v>1269</v>
      </c>
      <c r="B310" s="39" t="s">
        <v>4194</v>
      </c>
      <c r="C310" s="40" t="s">
        <v>1504</v>
      </c>
      <c r="D310" s="41" t="s">
        <v>2930</v>
      </c>
    </row>
    <row r="311" spans="1:4" ht="63" customHeight="1" x14ac:dyDescent="0.25">
      <c r="A311" s="39" t="s">
        <v>1273</v>
      </c>
      <c r="B311" s="39" t="s">
        <v>4195</v>
      </c>
      <c r="C311" s="40" t="s">
        <v>114</v>
      </c>
      <c r="D311" s="41" t="s">
        <v>2931</v>
      </c>
    </row>
    <row r="312" spans="1:4" ht="63" customHeight="1" x14ac:dyDescent="0.25">
      <c r="A312" s="39" t="s">
        <v>1278</v>
      </c>
      <c r="B312" s="39" t="s">
        <v>4196</v>
      </c>
      <c r="C312" s="40" t="s">
        <v>143</v>
      </c>
      <c r="D312" s="41" t="s">
        <v>2932</v>
      </c>
    </row>
    <row r="313" spans="1:4" ht="47.25" customHeight="1" x14ac:dyDescent="0.25">
      <c r="A313" s="39" t="s">
        <v>1282</v>
      </c>
      <c r="B313" s="39" t="s">
        <v>4197</v>
      </c>
      <c r="C313" s="40" t="s">
        <v>952</v>
      </c>
      <c r="D313" s="41" t="s">
        <v>2933</v>
      </c>
    </row>
    <row r="314" spans="1:4" ht="47.25" customHeight="1" x14ac:dyDescent="0.25">
      <c r="A314" s="39" t="s">
        <v>1286</v>
      </c>
      <c r="B314" s="39" t="s">
        <v>4198</v>
      </c>
      <c r="C314" s="40" t="s">
        <v>4199</v>
      </c>
      <c r="D314" s="41" t="s">
        <v>2934</v>
      </c>
    </row>
    <row r="315" spans="1:4" ht="47.25" customHeight="1" x14ac:dyDescent="0.25">
      <c r="A315" s="39" t="s">
        <v>1291</v>
      </c>
      <c r="B315" s="39" t="s">
        <v>4200</v>
      </c>
      <c r="C315" s="40" t="s">
        <v>4201</v>
      </c>
      <c r="D315" s="41" t="s">
        <v>2935</v>
      </c>
    </row>
    <row r="316" spans="1:4" ht="31.5" customHeight="1" x14ac:dyDescent="0.25">
      <c r="A316" s="39" t="s">
        <v>1295</v>
      </c>
      <c r="B316" s="39" t="s">
        <v>4202</v>
      </c>
      <c r="C316" s="40" t="s">
        <v>1504</v>
      </c>
      <c r="D316" s="41" t="s">
        <v>2936</v>
      </c>
    </row>
    <row r="317" spans="1:4" ht="47.25" customHeight="1" x14ac:dyDescent="0.25">
      <c r="A317" s="39" t="s">
        <v>1299</v>
      </c>
      <c r="B317" s="39" t="s">
        <v>4203</v>
      </c>
      <c r="C317" s="40" t="s">
        <v>4204</v>
      </c>
      <c r="D317" s="41" t="s">
        <v>2937</v>
      </c>
    </row>
    <row r="318" spans="1:4" ht="31.5" customHeight="1" x14ac:dyDescent="0.25">
      <c r="A318" s="39" t="s">
        <v>1304</v>
      </c>
      <c r="B318" s="39" t="s">
        <v>4205</v>
      </c>
      <c r="C318" s="40" t="s">
        <v>1380</v>
      </c>
      <c r="D318" s="41" t="s">
        <v>2938</v>
      </c>
    </row>
    <row r="319" spans="1:4" ht="47.25" customHeight="1" x14ac:dyDescent="0.25">
      <c r="A319" s="39" t="s">
        <v>1309</v>
      </c>
      <c r="B319" s="39" t="s">
        <v>4206</v>
      </c>
      <c r="C319" s="40" t="s">
        <v>3969</v>
      </c>
      <c r="D319" s="41" t="s">
        <v>2939</v>
      </c>
    </row>
    <row r="320" spans="1:4" ht="31.5" customHeight="1" x14ac:dyDescent="0.25">
      <c r="A320" s="39" t="s">
        <v>1313</v>
      </c>
      <c r="B320" s="39" t="s">
        <v>4207</v>
      </c>
      <c r="C320" s="40" t="s">
        <v>1454</v>
      </c>
      <c r="D320" s="41" t="s">
        <v>2940</v>
      </c>
    </row>
    <row r="321" spans="1:4" ht="31.5" customHeight="1" x14ac:dyDescent="0.25">
      <c r="A321" s="39" t="s">
        <v>1317</v>
      </c>
      <c r="B321" s="39" t="s">
        <v>4208</v>
      </c>
      <c r="C321" s="40" t="s">
        <v>1134</v>
      </c>
      <c r="D321" s="41" t="s">
        <v>2941</v>
      </c>
    </row>
    <row r="322" spans="1:4" ht="94.5" customHeight="1" x14ac:dyDescent="0.25">
      <c r="A322" s="39" t="s">
        <v>1321</v>
      </c>
      <c r="B322" s="39" t="s">
        <v>4209</v>
      </c>
      <c r="C322" s="40" t="s">
        <v>2088</v>
      </c>
      <c r="D322" s="41" t="s">
        <v>2942</v>
      </c>
    </row>
    <row r="323" spans="1:4" ht="31.5" customHeight="1" x14ac:dyDescent="0.25">
      <c r="A323" s="39" t="s">
        <v>1325</v>
      </c>
      <c r="B323" s="39" t="s">
        <v>4210</v>
      </c>
      <c r="C323" s="40" t="s">
        <v>4211</v>
      </c>
      <c r="D323" s="41" t="s">
        <v>2943</v>
      </c>
    </row>
    <row r="324" spans="1:4" ht="47.25" customHeight="1" x14ac:dyDescent="0.25">
      <c r="A324" s="39" t="s">
        <v>1330</v>
      </c>
      <c r="B324" s="39" t="s">
        <v>4212</v>
      </c>
      <c r="C324" s="40" t="s">
        <v>952</v>
      </c>
      <c r="D324" s="41" t="s">
        <v>2944</v>
      </c>
    </row>
    <row r="325" spans="1:4" ht="47.25" customHeight="1" x14ac:dyDescent="0.25">
      <c r="A325" s="39" t="s">
        <v>1334</v>
      </c>
      <c r="B325" s="39" t="s">
        <v>4213</v>
      </c>
      <c r="C325" s="40" t="s">
        <v>1348</v>
      </c>
      <c r="D325" s="41" t="s">
        <v>2945</v>
      </c>
    </row>
    <row r="326" spans="1:4" ht="31.5" customHeight="1" x14ac:dyDescent="0.25">
      <c r="A326" s="39" t="s">
        <v>1338</v>
      </c>
      <c r="B326" s="39" t="s">
        <v>4214</v>
      </c>
      <c r="C326" s="40" t="s">
        <v>407</v>
      </c>
      <c r="D326" s="41" t="s">
        <v>2946</v>
      </c>
    </row>
    <row r="327" spans="1:4" ht="63" customHeight="1" x14ac:dyDescent="0.25">
      <c r="A327" s="39" t="s">
        <v>1342</v>
      </c>
      <c r="B327" s="39" t="s">
        <v>4215</v>
      </c>
      <c r="C327" s="40" t="s">
        <v>2066</v>
      </c>
      <c r="D327" s="41" t="s">
        <v>2947</v>
      </c>
    </row>
    <row r="328" spans="1:4" ht="31.5" customHeight="1" x14ac:dyDescent="0.25">
      <c r="A328" s="39" t="s">
        <v>1346</v>
      </c>
      <c r="B328" s="39" t="s">
        <v>4216</v>
      </c>
      <c r="C328" s="40" t="s">
        <v>2160</v>
      </c>
      <c r="D328" s="41" t="s">
        <v>2948</v>
      </c>
    </row>
    <row r="329" spans="1:4" ht="47.25" customHeight="1" x14ac:dyDescent="0.25">
      <c r="A329" s="39" t="s">
        <v>1351</v>
      </c>
      <c r="B329" s="39" t="s">
        <v>4217</v>
      </c>
      <c r="C329" s="40" t="s">
        <v>1356</v>
      </c>
      <c r="D329" s="41" t="s">
        <v>2949</v>
      </c>
    </row>
    <row r="330" spans="1:4" ht="31.5" customHeight="1" x14ac:dyDescent="0.25">
      <c r="A330" s="39" t="s">
        <v>1354</v>
      </c>
      <c r="B330" s="39" t="s">
        <v>4218</v>
      </c>
      <c r="C330" s="40" t="s">
        <v>4219</v>
      </c>
      <c r="D330" s="41" t="s">
        <v>2950</v>
      </c>
    </row>
    <row r="331" spans="1:4" ht="31.5" customHeight="1" x14ac:dyDescent="0.25">
      <c r="A331" s="39" t="s">
        <v>1359</v>
      </c>
      <c r="B331" s="39" t="s">
        <v>4220</v>
      </c>
      <c r="C331" s="40" t="s">
        <v>291</v>
      </c>
      <c r="D331" s="41" t="s">
        <v>2951</v>
      </c>
    </row>
    <row r="332" spans="1:4" ht="47.25" customHeight="1" x14ac:dyDescent="0.25">
      <c r="A332" s="39" t="s">
        <v>1363</v>
      </c>
      <c r="B332" s="39" t="s">
        <v>4221</v>
      </c>
      <c r="C332" s="40" t="s">
        <v>3784</v>
      </c>
      <c r="D332" s="41" t="s">
        <v>2952</v>
      </c>
    </row>
    <row r="333" spans="1:4" ht="47.25" customHeight="1" x14ac:dyDescent="0.25">
      <c r="A333" s="39" t="s">
        <v>1368</v>
      </c>
      <c r="B333" s="39" t="s">
        <v>4222</v>
      </c>
      <c r="C333" s="40" t="s">
        <v>1760</v>
      </c>
      <c r="D333" s="41" t="s">
        <v>2953</v>
      </c>
    </row>
    <row r="334" spans="1:4" ht="47.25" customHeight="1" x14ac:dyDescent="0.25">
      <c r="A334" s="39" t="s">
        <v>1374</v>
      </c>
      <c r="B334" s="39" t="s">
        <v>4223</v>
      </c>
      <c r="C334" s="40" t="s">
        <v>1380</v>
      </c>
      <c r="D334" s="41" t="s">
        <v>2954</v>
      </c>
    </row>
    <row r="335" spans="1:4" ht="47.25" customHeight="1" x14ac:dyDescent="0.25">
      <c r="A335" s="39" t="s">
        <v>1378</v>
      </c>
      <c r="B335" s="39" t="s">
        <v>4224</v>
      </c>
      <c r="C335" s="40" t="s">
        <v>1504</v>
      </c>
      <c r="D335" s="41" t="s">
        <v>2955</v>
      </c>
    </row>
    <row r="336" spans="1:4" ht="47.25" customHeight="1" x14ac:dyDescent="0.25">
      <c r="A336" s="39" t="s">
        <v>1383</v>
      </c>
      <c r="B336" s="39" t="s">
        <v>4225</v>
      </c>
      <c r="C336" s="40" t="s">
        <v>1612</v>
      </c>
      <c r="D336" s="41" t="s">
        <v>2956</v>
      </c>
    </row>
    <row r="337" spans="1:4" ht="31.5" customHeight="1" x14ac:dyDescent="0.25">
      <c r="A337" s="39" t="s">
        <v>1386</v>
      </c>
      <c r="B337" s="39" t="s">
        <v>4226</v>
      </c>
      <c r="C337" s="40" t="s">
        <v>970</v>
      </c>
      <c r="D337" s="41" t="s">
        <v>2957</v>
      </c>
    </row>
    <row r="338" spans="1:4" ht="47.25" customHeight="1" x14ac:dyDescent="0.25">
      <c r="A338" s="39" t="s">
        <v>1390</v>
      </c>
      <c r="B338" s="39" t="s">
        <v>4227</v>
      </c>
      <c r="C338" s="40" t="s">
        <v>4228</v>
      </c>
      <c r="D338" s="41" t="s">
        <v>2958</v>
      </c>
    </row>
    <row r="339" spans="1:4" ht="47.25" customHeight="1" x14ac:dyDescent="0.25">
      <c r="A339" s="39" t="s">
        <v>1395</v>
      </c>
      <c r="B339" s="39" t="s">
        <v>4229</v>
      </c>
      <c r="C339" s="40" t="s">
        <v>118</v>
      </c>
      <c r="D339" s="41" t="s">
        <v>2959</v>
      </c>
    </row>
    <row r="340" spans="1:4" ht="31.5" customHeight="1" x14ac:dyDescent="0.25">
      <c r="A340" s="39" t="s">
        <v>1399</v>
      </c>
      <c r="B340" s="39" t="s">
        <v>4230</v>
      </c>
      <c r="C340" s="40" t="s">
        <v>4231</v>
      </c>
      <c r="D340" s="41" t="s">
        <v>2960</v>
      </c>
    </row>
    <row r="341" spans="1:4" ht="31.5" customHeight="1" x14ac:dyDescent="0.25">
      <c r="A341" s="39" t="s">
        <v>1404</v>
      </c>
      <c r="B341" s="39" t="s">
        <v>4232</v>
      </c>
      <c r="C341" s="40" t="s">
        <v>3867</v>
      </c>
      <c r="D341" s="41" t="s">
        <v>2961</v>
      </c>
    </row>
    <row r="342" spans="1:4" ht="31.5" customHeight="1" x14ac:dyDescent="0.25">
      <c r="A342" s="39" t="s">
        <v>1409</v>
      </c>
      <c r="B342" s="39" t="s">
        <v>4233</v>
      </c>
      <c r="C342" s="40" t="s">
        <v>4234</v>
      </c>
      <c r="D342" s="41" t="s">
        <v>2962</v>
      </c>
    </row>
    <row r="343" spans="1:4" ht="47.25" customHeight="1" x14ac:dyDescent="0.25">
      <c r="A343" s="39" t="s">
        <v>1413</v>
      </c>
      <c r="B343" s="39" t="s">
        <v>4235</v>
      </c>
      <c r="C343" s="40" t="s">
        <v>4236</v>
      </c>
      <c r="D343" s="41" t="s">
        <v>2963</v>
      </c>
    </row>
    <row r="344" spans="1:4" ht="31.5" customHeight="1" x14ac:dyDescent="0.25">
      <c r="A344" s="39" t="s">
        <v>1417</v>
      </c>
      <c r="B344" s="39" t="s">
        <v>4237</v>
      </c>
      <c r="C344" s="40" t="s">
        <v>680</v>
      </c>
      <c r="D344" s="41" t="s">
        <v>2964</v>
      </c>
    </row>
    <row r="345" spans="1:4" ht="31.5" customHeight="1" x14ac:dyDescent="0.25">
      <c r="A345" s="39" t="s">
        <v>1421</v>
      </c>
      <c r="B345" s="39" t="s">
        <v>4238</v>
      </c>
      <c r="C345" s="40" t="s">
        <v>680</v>
      </c>
      <c r="D345" s="41" t="s">
        <v>2965</v>
      </c>
    </row>
    <row r="346" spans="1:4" ht="63" customHeight="1" x14ac:dyDescent="0.25">
      <c r="A346" s="39" t="s">
        <v>1425</v>
      </c>
      <c r="B346" s="39" t="s">
        <v>4239</v>
      </c>
      <c r="C346" s="40" t="s">
        <v>1901</v>
      </c>
      <c r="D346" s="41" t="s">
        <v>2966</v>
      </c>
    </row>
    <row r="347" spans="1:4" ht="47.25" customHeight="1" x14ac:dyDescent="0.25">
      <c r="A347" s="39" t="s">
        <v>1429</v>
      </c>
      <c r="B347" s="39" t="s">
        <v>4240</v>
      </c>
      <c r="C347" s="40" t="s">
        <v>4241</v>
      </c>
      <c r="D347" s="41" t="s">
        <v>2967</v>
      </c>
    </row>
    <row r="348" spans="1:4" ht="47.25" customHeight="1" x14ac:dyDescent="0.25">
      <c r="A348" s="39" t="s">
        <v>1434</v>
      </c>
      <c r="B348" s="39" t="s">
        <v>4242</v>
      </c>
      <c r="C348" s="40" t="s">
        <v>4243</v>
      </c>
      <c r="D348" s="41" t="s">
        <v>2968</v>
      </c>
    </row>
    <row r="349" spans="1:4" ht="47.25" customHeight="1" x14ac:dyDescent="0.25">
      <c r="A349" s="39" t="s">
        <v>1439</v>
      </c>
      <c r="B349" s="39" t="s">
        <v>4244</v>
      </c>
      <c r="C349" s="40" t="s">
        <v>2538</v>
      </c>
      <c r="D349" s="41" t="s">
        <v>2969</v>
      </c>
    </row>
    <row r="350" spans="1:4" ht="47.25" customHeight="1" x14ac:dyDescent="0.25">
      <c r="A350" s="39" t="s">
        <v>1444</v>
      </c>
      <c r="B350" s="39" t="s">
        <v>4245</v>
      </c>
      <c r="C350" s="40" t="s">
        <v>4246</v>
      </c>
      <c r="D350" s="41" t="s">
        <v>2970</v>
      </c>
    </row>
    <row r="351" spans="1:4" ht="63" customHeight="1" x14ac:dyDescent="0.25">
      <c r="A351" s="39" t="s">
        <v>1448</v>
      </c>
      <c r="B351" s="39" t="s">
        <v>4247</v>
      </c>
      <c r="C351" s="40" t="s">
        <v>4246</v>
      </c>
      <c r="D351" s="41" t="s">
        <v>2971</v>
      </c>
    </row>
    <row r="352" spans="1:4" ht="63" customHeight="1" x14ac:dyDescent="0.25">
      <c r="A352" s="39" t="s">
        <v>1452</v>
      </c>
      <c r="B352" s="39" t="s">
        <v>4248</v>
      </c>
      <c r="C352" s="40" t="s">
        <v>4249</v>
      </c>
      <c r="D352" s="41" t="s">
        <v>2972</v>
      </c>
    </row>
    <row r="353" spans="1:4" ht="47.25" customHeight="1" x14ac:dyDescent="0.25">
      <c r="A353" s="39" t="s">
        <v>1457</v>
      </c>
      <c r="B353" s="39" t="s">
        <v>4250</v>
      </c>
      <c r="C353" s="40" t="s">
        <v>4251</v>
      </c>
      <c r="D353" s="41" t="s">
        <v>2973</v>
      </c>
    </row>
    <row r="354" spans="1:4" ht="63" customHeight="1" x14ac:dyDescent="0.25">
      <c r="A354" s="39" t="s">
        <v>1462</v>
      </c>
      <c r="B354" s="39" t="s">
        <v>4252</v>
      </c>
      <c r="C354" s="40" t="s">
        <v>522</v>
      </c>
      <c r="D354" s="41" t="s">
        <v>2974</v>
      </c>
    </row>
    <row r="355" spans="1:4" ht="78.75" customHeight="1" x14ac:dyDescent="0.25">
      <c r="A355" s="39" t="s">
        <v>1466</v>
      </c>
      <c r="B355" s="39" t="s">
        <v>4253</v>
      </c>
      <c r="C355" s="40" t="s">
        <v>685</v>
      </c>
      <c r="D355" s="41" t="s">
        <v>2975</v>
      </c>
    </row>
    <row r="356" spans="1:4" ht="31.5" customHeight="1" x14ac:dyDescent="0.25">
      <c r="A356" s="39" t="s">
        <v>1471</v>
      </c>
      <c r="B356" s="39" t="s">
        <v>4254</v>
      </c>
      <c r="C356" s="40" t="s">
        <v>576</v>
      </c>
      <c r="D356" s="41" t="s">
        <v>2976</v>
      </c>
    </row>
    <row r="357" spans="1:4" ht="78.75" customHeight="1" x14ac:dyDescent="0.25">
      <c r="A357" s="39" t="s">
        <v>1475</v>
      </c>
      <c r="B357" s="39" t="s">
        <v>4255</v>
      </c>
      <c r="C357" s="40" t="s">
        <v>632</v>
      </c>
      <c r="D357" s="41" t="s">
        <v>2977</v>
      </c>
    </row>
    <row r="358" spans="1:4" ht="47.25" customHeight="1" x14ac:dyDescent="0.25">
      <c r="A358" s="39" t="s">
        <v>1479</v>
      </c>
      <c r="B358" s="39" t="s">
        <v>4256</v>
      </c>
      <c r="C358" s="40" t="s">
        <v>4257</v>
      </c>
      <c r="D358" s="41" t="s">
        <v>2978</v>
      </c>
    </row>
    <row r="359" spans="1:4" ht="31.5" customHeight="1" x14ac:dyDescent="0.25">
      <c r="A359" s="39" t="s">
        <v>1484</v>
      </c>
      <c r="B359" s="39" t="s">
        <v>4258</v>
      </c>
      <c r="C359" s="40" t="s">
        <v>3949</v>
      </c>
      <c r="D359" s="41" t="s">
        <v>2979</v>
      </c>
    </row>
    <row r="360" spans="1:4" ht="78.75" customHeight="1" x14ac:dyDescent="0.25">
      <c r="A360" s="39" t="s">
        <v>1488</v>
      </c>
      <c r="B360" s="39" t="s">
        <v>4259</v>
      </c>
      <c r="C360" s="40" t="s">
        <v>247</v>
      </c>
      <c r="D360" s="41" t="s">
        <v>2980</v>
      </c>
    </row>
    <row r="361" spans="1:4" ht="31.5" customHeight="1" x14ac:dyDescent="0.25">
      <c r="A361" s="39" t="s">
        <v>1492</v>
      </c>
      <c r="B361" s="39" t="s">
        <v>4260</v>
      </c>
      <c r="C361" s="40" t="s">
        <v>4261</v>
      </c>
      <c r="D361" s="41" t="s">
        <v>2981</v>
      </c>
    </row>
    <row r="362" spans="1:4" ht="47.25" customHeight="1" x14ac:dyDescent="0.25">
      <c r="A362" s="39" t="s">
        <v>1497</v>
      </c>
      <c r="B362" s="39" t="s">
        <v>4262</v>
      </c>
      <c r="C362" s="40" t="s">
        <v>4261</v>
      </c>
      <c r="D362" s="41" t="s">
        <v>2982</v>
      </c>
    </row>
    <row r="363" spans="1:4" ht="31.5" customHeight="1" x14ac:dyDescent="0.25">
      <c r="A363" s="39" t="s">
        <v>1502</v>
      </c>
      <c r="B363" s="39" t="s">
        <v>4263</v>
      </c>
      <c r="C363" s="40" t="s">
        <v>4103</v>
      </c>
      <c r="D363" s="41" t="s">
        <v>2983</v>
      </c>
    </row>
    <row r="364" spans="1:4" ht="63" customHeight="1" x14ac:dyDescent="0.25">
      <c r="A364" s="39" t="s">
        <v>1507</v>
      </c>
      <c r="B364" s="39" t="s">
        <v>4264</v>
      </c>
      <c r="C364" s="51" t="s">
        <v>4265</v>
      </c>
      <c r="D364" s="41" t="s">
        <v>2984</v>
      </c>
    </row>
    <row r="365" spans="1:4" ht="78.75" customHeight="1" x14ac:dyDescent="0.25">
      <c r="A365" s="39" t="s">
        <v>1512</v>
      </c>
      <c r="B365" s="39" t="s">
        <v>4266</v>
      </c>
      <c r="C365" s="40" t="s">
        <v>280</v>
      </c>
      <c r="D365" s="41" t="s">
        <v>2985</v>
      </c>
    </row>
    <row r="366" spans="1:4" ht="63" customHeight="1" x14ac:dyDescent="0.25">
      <c r="A366" s="39" t="s">
        <v>1517</v>
      </c>
      <c r="B366" s="39" t="s">
        <v>4267</v>
      </c>
      <c r="C366" s="40" t="s">
        <v>1760</v>
      </c>
      <c r="D366" s="41" t="s">
        <v>2986</v>
      </c>
    </row>
    <row r="367" spans="1:4" ht="31.5" customHeight="1" x14ac:dyDescent="0.25">
      <c r="A367" s="39" t="s">
        <v>1523</v>
      </c>
      <c r="B367" s="39" t="s">
        <v>4268</v>
      </c>
      <c r="C367" s="40" t="s">
        <v>4269</v>
      </c>
      <c r="D367" s="41" t="s">
        <v>2987</v>
      </c>
    </row>
    <row r="368" spans="1:4" ht="31.5" customHeight="1" x14ac:dyDescent="0.25">
      <c r="A368" s="39" t="s">
        <v>1528</v>
      </c>
      <c r="B368" s="39" t="s">
        <v>4270</v>
      </c>
      <c r="C368" s="40" t="s">
        <v>164</v>
      </c>
      <c r="D368" s="41" t="s">
        <v>2988</v>
      </c>
    </row>
    <row r="369" spans="1:4" ht="31.5" customHeight="1" x14ac:dyDescent="0.25">
      <c r="A369" s="39" t="s">
        <v>1533</v>
      </c>
      <c r="B369" s="39" t="s">
        <v>4271</v>
      </c>
      <c r="C369" s="40" t="s">
        <v>4272</v>
      </c>
      <c r="D369" s="41" t="s">
        <v>2989</v>
      </c>
    </row>
    <row r="370" spans="1:4" ht="47.25" customHeight="1" x14ac:dyDescent="0.25">
      <c r="A370" s="39" t="s">
        <v>1537</v>
      </c>
      <c r="B370" s="39" t="s">
        <v>4273</v>
      </c>
      <c r="C370" s="40" t="s">
        <v>431</v>
      </c>
      <c r="D370" s="41" t="s">
        <v>2990</v>
      </c>
    </row>
    <row r="371" spans="1:4" ht="47.25" customHeight="1" x14ac:dyDescent="0.25">
      <c r="A371" s="39" t="s">
        <v>1541</v>
      </c>
      <c r="B371" s="39" t="s">
        <v>4274</v>
      </c>
      <c r="C371" s="40" t="s">
        <v>4275</v>
      </c>
      <c r="D371" s="41" t="s">
        <v>2991</v>
      </c>
    </row>
    <row r="372" spans="1:4" ht="31.5" customHeight="1" x14ac:dyDescent="0.25">
      <c r="A372" s="39" t="s">
        <v>1545</v>
      </c>
      <c r="B372" s="39" t="s">
        <v>4276</v>
      </c>
      <c r="C372" s="40" t="s">
        <v>547</v>
      </c>
      <c r="D372" s="41" t="s">
        <v>2992</v>
      </c>
    </row>
    <row r="373" spans="1:4" ht="31.5" customHeight="1" x14ac:dyDescent="0.25">
      <c r="A373" s="39" t="s">
        <v>1549</v>
      </c>
      <c r="B373" s="39" t="s">
        <v>4277</v>
      </c>
      <c r="C373" s="40" t="s">
        <v>3837</v>
      </c>
      <c r="D373" s="41" t="s">
        <v>2993</v>
      </c>
    </row>
    <row r="374" spans="1:4" ht="31.15" customHeight="1" x14ac:dyDescent="0.25">
      <c r="A374" s="39" t="s">
        <v>1553</v>
      </c>
      <c r="B374" s="39" t="s">
        <v>4278</v>
      </c>
      <c r="C374" s="40" t="s">
        <v>680</v>
      </c>
      <c r="D374" s="41" t="s">
        <v>2994</v>
      </c>
    </row>
    <row r="375" spans="1:4" ht="31.5" customHeight="1" x14ac:dyDescent="0.25">
      <c r="A375" s="39" t="s">
        <v>1558</v>
      </c>
      <c r="B375" s="39" t="s">
        <v>4279</v>
      </c>
      <c r="C375" s="40" t="s">
        <v>3949</v>
      </c>
      <c r="D375" s="41" t="s">
        <v>2995</v>
      </c>
    </row>
    <row r="376" spans="1:4" ht="31.5" customHeight="1" x14ac:dyDescent="0.25">
      <c r="A376" s="39" t="s">
        <v>1563</v>
      </c>
      <c r="B376" s="39" t="s">
        <v>4280</v>
      </c>
      <c r="C376" s="40" t="s">
        <v>4251</v>
      </c>
      <c r="D376" s="41" t="s">
        <v>2996</v>
      </c>
    </row>
    <row r="377" spans="1:4" ht="31.5" customHeight="1" x14ac:dyDescent="0.25">
      <c r="A377" s="39" t="s">
        <v>1568</v>
      </c>
      <c r="B377" s="39" t="s">
        <v>4281</v>
      </c>
      <c r="C377" s="40" t="s">
        <v>1225</v>
      </c>
      <c r="D377" s="41" t="s">
        <v>2997</v>
      </c>
    </row>
    <row r="378" spans="1:4" ht="63" customHeight="1" x14ac:dyDescent="0.25">
      <c r="A378" s="39" t="s">
        <v>1572</v>
      </c>
      <c r="B378" s="39" t="s">
        <v>4282</v>
      </c>
      <c r="C378" s="40" t="s">
        <v>352</v>
      </c>
      <c r="D378" s="41" t="s">
        <v>2998</v>
      </c>
    </row>
    <row r="379" spans="1:4" ht="47.25" customHeight="1" x14ac:dyDescent="0.25">
      <c r="A379" s="39" t="s">
        <v>1575</v>
      </c>
      <c r="B379" s="39" t="s">
        <v>4283</v>
      </c>
      <c r="C379" s="40" t="s">
        <v>4284</v>
      </c>
      <c r="D379" s="41" t="s">
        <v>2999</v>
      </c>
    </row>
    <row r="380" spans="1:4" ht="47.25" customHeight="1" x14ac:dyDescent="0.25">
      <c r="A380" s="39" t="s">
        <v>1580</v>
      </c>
      <c r="B380" s="39" t="s">
        <v>4285</v>
      </c>
      <c r="C380" s="40" t="s">
        <v>122</v>
      </c>
      <c r="D380" s="41" t="s">
        <v>3000</v>
      </c>
    </row>
    <row r="381" spans="1:4" ht="31.5" customHeight="1" x14ac:dyDescent="0.25">
      <c r="A381" s="39" t="s">
        <v>1584</v>
      </c>
      <c r="B381" s="39" t="s">
        <v>4286</v>
      </c>
      <c r="C381" s="40" t="s">
        <v>4287</v>
      </c>
      <c r="D381" s="41" t="s">
        <v>3001</v>
      </c>
    </row>
    <row r="382" spans="1:4" ht="31.5" customHeight="1" x14ac:dyDescent="0.25">
      <c r="A382" s="39" t="s">
        <v>1588</v>
      </c>
      <c r="B382" s="39" t="s">
        <v>4288</v>
      </c>
      <c r="C382" s="40" t="s">
        <v>3967</v>
      </c>
      <c r="D382" s="41" t="s">
        <v>3002</v>
      </c>
    </row>
    <row r="383" spans="1:4" ht="31.5" customHeight="1" x14ac:dyDescent="0.25">
      <c r="A383" s="39" t="s">
        <v>1593</v>
      </c>
      <c r="B383" s="39" t="s">
        <v>4289</v>
      </c>
      <c r="C383" s="40" t="s">
        <v>785</v>
      </c>
      <c r="D383" s="41" t="s">
        <v>3003</v>
      </c>
    </row>
    <row r="384" spans="1:4" ht="47.25" customHeight="1" x14ac:dyDescent="0.25">
      <c r="A384" s="39" t="s">
        <v>1598</v>
      </c>
      <c r="B384" s="39" t="s">
        <v>4290</v>
      </c>
      <c r="C384" s="40" t="s">
        <v>4246</v>
      </c>
      <c r="D384" s="41" t="s">
        <v>3004</v>
      </c>
    </row>
    <row r="385" spans="1:4" ht="47.25" customHeight="1" x14ac:dyDescent="0.25">
      <c r="A385" s="39" t="s">
        <v>1602</v>
      </c>
      <c r="B385" s="39" t="s">
        <v>4291</v>
      </c>
      <c r="C385" s="40" t="s">
        <v>4246</v>
      </c>
      <c r="D385" s="41" t="s">
        <v>3005</v>
      </c>
    </row>
    <row r="386" spans="1:4" ht="31.5" customHeight="1" x14ac:dyDescent="0.25">
      <c r="A386" s="39" t="s">
        <v>1606</v>
      </c>
      <c r="B386" s="39" t="s">
        <v>4292</v>
      </c>
      <c r="C386" s="40" t="s">
        <v>4241</v>
      </c>
      <c r="D386" s="41" t="s">
        <v>3006</v>
      </c>
    </row>
    <row r="387" spans="1:4" ht="47.25" customHeight="1" x14ac:dyDescent="0.25">
      <c r="A387" s="39" t="s">
        <v>1610</v>
      </c>
      <c r="B387" s="39" t="s">
        <v>4293</v>
      </c>
      <c r="C387" s="40" t="s">
        <v>3837</v>
      </c>
      <c r="D387" s="41" t="s">
        <v>3007</v>
      </c>
    </row>
    <row r="388" spans="1:4" ht="31.5" customHeight="1" x14ac:dyDescent="0.25">
      <c r="A388" s="39" t="s">
        <v>1615</v>
      </c>
      <c r="B388" s="39" t="s">
        <v>4294</v>
      </c>
      <c r="C388" s="40" t="s">
        <v>785</v>
      </c>
      <c r="D388" s="41" t="s">
        <v>3008</v>
      </c>
    </row>
    <row r="389" spans="1:4" ht="47.25" customHeight="1" x14ac:dyDescent="0.25">
      <c r="A389" s="39" t="s">
        <v>1620</v>
      </c>
      <c r="B389" s="39" t="s">
        <v>4295</v>
      </c>
      <c r="C389" s="40" t="s">
        <v>424</v>
      </c>
      <c r="D389" s="41" t="s">
        <v>3009</v>
      </c>
    </row>
    <row r="390" spans="1:4" ht="31.5" customHeight="1" x14ac:dyDescent="0.25">
      <c r="A390" s="39" t="s">
        <v>1626</v>
      </c>
      <c r="B390" s="39" t="s">
        <v>4296</v>
      </c>
      <c r="C390" s="40" t="s">
        <v>4297</v>
      </c>
      <c r="D390" s="41" t="s">
        <v>3010</v>
      </c>
    </row>
    <row r="391" spans="1:4" ht="63" customHeight="1" x14ac:dyDescent="0.25">
      <c r="A391" s="39" t="s">
        <v>1630</v>
      </c>
      <c r="B391" s="39" t="s">
        <v>4298</v>
      </c>
      <c r="C391" s="40" t="s">
        <v>2123</v>
      </c>
      <c r="D391" s="41" t="s">
        <v>3011</v>
      </c>
    </row>
    <row r="392" spans="1:4" ht="47.25" customHeight="1" x14ac:dyDescent="0.25">
      <c r="A392" s="39" t="s">
        <v>1634</v>
      </c>
      <c r="B392" s="39" t="s">
        <v>4299</v>
      </c>
      <c r="C392" s="40" t="s">
        <v>280</v>
      </c>
      <c r="D392" s="41" t="s">
        <v>3012</v>
      </c>
    </row>
    <row r="393" spans="1:4" ht="47.25" customHeight="1" x14ac:dyDescent="0.25">
      <c r="A393" s="39" t="s">
        <v>1638</v>
      </c>
      <c r="B393" s="39" t="s">
        <v>4300</v>
      </c>
      <c r="C393" s="40" t="s">
        <v>772</v>
      </c>
      <c r="D393" s="41" t="s">
        <v>3013</v>
      </c>
    </row>
    <row r="394" spans="1:4" ht="31.5" customHeight="1" x14ac:dyDescent="0.25">
      <c r="A394" s="39" t="s">
        <v>1642</v>
      </c>
      <c r="B394" s="39" t="s">
        <v>4301</v>
      </c>
      <c r="C394" s="40" t="s">
        <v>632</v>
      </c>
      <c r="D394" s="41" t="s">
        <v>3014</v>
      </c>
    </row>
    <row r="395" spans="1:4" ht="47.25" customHeight="1" x14ac:dyDescent="0.25">
      <c r="A395" s="39" t="s">
        <v>1646</v>
      </c>
      <c r="B395" s="39" t="s">
        <v>4302</v>
      </c>
      <c r="C395" s="40" t="s">
        <v>993</v>
      </c>
      <c r="D395" s="41" t="s">
        <v>3015</v>
      </c>
    </row>
    <row r="396" spans="1:4" ht="31.5" customHeight="1" x14ac:dyDescent="0.25">
      <c r="A396" s="39" t="s">
        <v>1650</v>
      </c>
      <c r="B396" s="39" t="s">
        <v>4303</v>
      </c>
      <c r="C396" s="40" t="s">
        <v>3839</v>
      </c>
      <c r="D396" s="41" t="s">
        <v>3016</v>
      </c>
    </row>
    <row r="397" spans="1:4" ht="63" customHeight="1" x14ac:dyDescent="0.25">
      <c r="A397" s="39" t="s">
        <v>1655</v>
      </c>
      <c r="B397" s="39" t="s">
        <v>4304</v>
      </c>
      <c r="C397" s="40" t="s">
        <v>4305</v>
      </c>
      <c r="D397" s="41" t="s">
        <v>3017</v>
      </c>
    </row>
    <row r="398" spans="1:4" ht="63" customHeight="1" x14ac:dyDescent="0.25">
      <c r="A398" s="39" t="s">
        <v>1659</v>
      </c>
      <c r="B398" s="39" t="s">
        <v>4306</v>
      </c>
      <c r="C398" s="40" t="s">
        <v>4307</v>
      </c>
      <c r="D398" s="41" t="s">
        <v>3018</v>
      </c>
    </row>
    <row r="399" spans="1:4" ht="47.25" customHeight="1" x14ac:dyDescent="0.25">
      <c r="A399" s="39" t="s">
        <v>1663</v>
      </c>
      <c r="B399" s="39" t="s">
        <v>4308</v>
      </c>
      <c r="C399" s="40" t="s">
        <v>588</v>
      </c>
      <c r="D399" s="41" t="s">
        <v>3019</v>
      </c>
    </row>
    <row r="400" spans="1:4" ht="31.5" customHeight="1" x14ac:dyDescent="0.25">
      <c r="A400" s="39" t="s">
        <v>1668</v>
      </c>
      <c r="B400" s="39" t="s">
        <v>4309</v>
      </c>
      <c r="C400" s="40" t="s">
        <v>65</v>
      </c>
      <c r="D400" s="41" t="s">
        <v>3020</v>
      </c>
    </row>
    <row r="401" spans="1:4" ht="47.25" customHeight="1" x14ac:dyDescent="0.25">
      <c r="A401" s="39" t="s">
        <v>1672</v>
      </c>
      <c r="B401" s="39" t="s">
        <v>4310</v>
      </c>
      <c r="C401" s="40" t="s">
        <v>4311</v>
      </c>
      <c r="D401" s="41" t="s">
        <v>3021</v>
      </c>
    </row>
    <row r="402" spans="1:4" ht="47.25" customHeight="1" x14ac:dyDescent="0.25">
      <c r="A402" s="39" t="s">
        <v>1676</v>
      </c>
      <c r="B402" s="39" t="s">
        <v>4312</v>
      </c>
      <c r="C402" s="40" t="s">
        <v>4011</v>
      </c>
      <c r="D402" s="41" t="s">
        <v>3022</v>
      </c>
    </row>
    <row r="403" spans="1:4" ht="63" customHeight="1" x14ac:dyDescent="0.25">
      <c r="A403" s="39" t="s">
        <v>1680</v>
      </c>
      <c r="B403" s="39" t="s">
        <v>4313</v>
      </c>
      <c r="C403" s="40" t="s">
        <v>1555</v>
      </c>
      <c r="D403" s="41" t="s">
        <v>3023</v>
      </c>
    </row>
    <row r="404" spans="1:4" ht="47.25" customHeight="1" x14ac:dyDescent="0.25">
      <c r="A404" s="39" t="s">
        <v>1684</v>
      </c>
      <c r="B404" s="39" t="s">
        <v>4314</v>
      </c>
      <c r="C404" s="40" t="s">
        <v>1080</v>
      </c>
      <c r="D404" s="41" t="s">
        <v>3024</v>
      </c>
    </row>
    <row r="405" spans="1:4" ht="31.5" customHeight="1" x14ac:dyDescent="0.25">
      <c r="A405" s="39" t="s">
        <v>1689</v>
      </c>
      <c r="B405" s="39" t="s">
        <v>4315</v>
      </c>
      <c r="C405" s="40" t="s">
        <v>2359</v>
      </c>
      <c r="D405" s="41" t="s">
        <v>3025</v>
      </c>
    </row>
    <row r="406" spans="1:4" ht="47.25" customHeight="1" x14ac:dyDescent="0.25">
      <c r="A406" s="39" t="s">
        <v>1695</v>
      </c>
      <c r="B406" s="39" t="s">
        <v>4316</v>
      </c>
      <c r="C406" s="40" t="s">
        <v>4317</v>
      </c>
      <c r="D406" s="41" t="s">
        <v>3026</v>
      </c>
    </row>
    <row r="407" spans="1:4" ht="47.25" customHeight="1" x14ac:dyDescent="0.25">
      <c r="A407" s="39" t="s">
        <v>1699</v>
      </c>
      <c r="B407" s="39" t="s">
        <v>4318</v>
      </c>
      <c r="C407" s="40" t="s">
        <v>2446</v>
      </c>
      <c r="D407" s="41" t="s">
        <v>3027</v>
      </c>
    </row>
    <row r="408" spans="1:4" ht="31.5" customHeight="1" x14ac:dyDescent="0.25">
      <c r="A408" s="39" t="s">
        <v>1704</v>
      </c>
      <c r="B408" s="39" t="s">
        <v>4319</v>
      </c>
      <c r="C408" s="40" t="s">
        <v>4320</v>
      </c>
      <c r="D408" s="41" t="s">
        <v>3028</v>
      </c>
    </row>
    <row r="409" spans="1:4" ht="63" customHeight="1" x14ac:dyDescent="0.25">
      <c r="A409" s="39" t="s">
        <v>1709</v>
      </c>
      <c r="B409" s="39" t="s">
        <v>4321</v>
      </c>
      <c r="C409" s="40" t="s">
        <v>3776</v>
      </c>
      <c r="D409" s="41" t="s">
        <v>3029</v>
      </c>
    </row>
    <row r="410" spans="1:4" ht="47.25" customHeight="1" x14ac:dyDescent="0.25">
      <c r="A410" s="39" t="s">
        <v>1714</v>
      </c>
      <c r="B410" s="39" t="s">
        <v>4322</v>
      </c>
      <c r="C410" s="40" t="s">
        <v>4077</v>
      </c>
      <c r="D410" s="41" t="s">
        <v>3030</v>
      </c>
    </row>
    <row r="411" spans="1:4" ht="47.25" customHeight="1" x14ac:dyDescent="0.25">
      <c r="A411" s="39" t="s">
        <v>1718</v>
      </c>
      <c r="B411" s="39" t="s">
        <v>4323</v>
      </c>
      <c r="C411" s="40" t="s">
        <v>4324</v>
      </c>
      <c r="D411" s="41" t="s">
        <v>3031</v>
      </c>
    </row>
    <row r="412" spans="1:4" ht="47.25" customHeight="1" x14ac:dyDescent="0.25">
      <c r="A412" s="39" t="s">
        <v>1723</v>
      </c>
      <c r="B412" s="39" t="s">
        <v>4325</v>
      </c>
      <c r="C412" s="40" t="s">
        <v>1862</v>
      </c>
      <c r="D412" s="41" t="s">
        <v>3032</v>
      </c>
    </row>
    <row r="413" spans="1:4" ht="31.5" customHeight="1" x14ac:dyDescent="0.25">
      <c r="A413" s="39" t="s">
        <v>1728</v>
      </c>
      <c r="B413" s="39" t="s">
        <v>4326</v>
      </c>
      <c r="C413" s="40" t="s">
        <v>1953</v>
      </c>
      <c r="D413" s="41" t="s">
        <v>3033</v>
      </c>
    </row>
    <row r="414" spans="1:4" ht="47.25" customHeight="1" x14ac:dyDescent="0.25">
      <c r="A414" s="39" t="s">
        <v>1733</v>
      </c>
      <c r="B414" s="39" t="s">
        <v>4327</v>
      </c>
      <c r="C414" s="40" t="s">
        <v>4246</v>
      </c>
      <c r="D414" s="41" t="s">
        <v>3034</v>
      </c>
    </row>
    <row r="415" spans="1:4" ht="31.5" customHeight="1" x14ac:dyDescent="0.25">
      <c r="A415" s="39" t="s">
        <v>1738</v>
      </c>
      <c r="B415" s="39" t="s">
        <v>4328</v>
      </c>
      <c r="C415" s="40" t="s">
        <v>1454</v>
      </c>
      <c r="D415" s="41" t="s">
        <v>3035</v>
      </c>
    </row>
    <row r="416" spans="1:4" ht="31.5" customHeight="1" x14ac:dyDescent="0.25">
      <c r="A416" s="39" t="s">
        <v>1742</v>
      </c>
      <c r="B416" s="39" t="s">
        <v>4329</v>
      </c>
      <c r="C416" s="40" t="s">
        <v>4287</v>
      </c>
      <c r="D416" s="41" t="s">
        <v>3036</v>
      </c>
    </row>
    <row r="417" spans="1:4" ht="47.25" customHeight="1" x14ac:dyDescent="0.25">
      <c r="A417" s="39" t="s">
        <v>1746</v>
      </c>
      <c r="B417" s="39" t="s">
        <v>4330</v>
      </c>
      <c r="C417" s="40" t="s">
        <v>1612</v>
      </c>
      <c r="D417" s="41" t="s">
        <v>3037</v>
      </c>
    </row>
    <row r="418" spans="1:4" ht="63" customHeight="1" x14ac:dyDescent="0.25">
      <c r="A418" s="39" t="s">
        <v>1750</v>
      </c>
      <c r="B418" s="39" t="s">
        <v>4331</v>
      </c>
      <c r="C418" s="40" t="s">
        <v>4307</v>
      </c>
      <c r="D418" s="41" t="s">
        <v>3038</v>
      </c>
    </row>
    <row r="419" spans="1:4" ht="47.25" customHeight="1" x14ac:dyDescent="0.25">
      <c r="A419" s="39" t="s">
        <v>1754</v>
      </c>
      <c r="B419" s="39" t="s">
        <v>4332</v>
      </c>
      <c r="C419" s="40" t="s">
        <v>4333</v>
      </c>
      <c r="D419" s="41" t="s">
        <v>3039</v>
      </c>
    </row>
    <row r="420" spans="1:4" ht="63" customHeight="1" x14ac:dyDescent="0.25">
      <c r="A420" s="39" t="s">
        <v>1758</v>
      </c>
      <c r="B420" s="39" t="s">
        <v>4334</v>
      </c>
      <c r="C420" s="40" t="s">
        <v>2066</v>
      </c>
      <c r="D420" s="41" t="s">
        <v>3040</v>
      </c>
    </row>
    <row r="421" spans="1:4" ht="47.25" customHeight="1" x14ac:dyDescent="0.25">
      <c r="A421" s="39" t="s">
        <v>1763</v>
      </c>
      <c r="B421" s="39" t="s">
        <v>4335</v>
      </c>
      <c r="C421" s="40" t="s">
        <v>4154</v>
      </c>
      <c r="D421" s="41" t="s">
        <v>3041</v>
      </c>
    </row>
    <row r="422" spans="1:4" ht="47.25" customHeight="1" x14ac:dyDescent="0.25">
      <c r="A422" s="39" t="s">
        <v>1767</v>
      </c>
      <c r="B422" s="39" t="s">
        <v>4336</v>
      </c>
      <c r="C422" s="40" t="s">
        <v>402</v>
      </c>
      <c r="D422" s="41" t="s">
        <v>3042</v>
      </c>
    </row>
    <row r="423" spans="1:4" ht="31.5" customHeight="1" x14ac:dyDescent="0.25">
      <c r="A423" s="39" t="s">
        <v>1771</v>
      </c>
      <c r="B423" s="39" t="s">
        <v>4337</v>
      </c>
      <c r="C423" s="40" t="s">
        <v>537</v>
      </c>
      <c r="D423" s="41" t="s">
        <v>3043</v>
      </c>
    </row>
    <row r="424" spans="1:4" ht="63" customHeight="1" x14ac:dyDescent="0.25">
      <c r="A424" s="39" t="s">
        <v>1775</v>
      </c>
      <c r="B424" s="39" t="s">
        <v>4338</v>
      </c>
      <c r="C424" s="40" t="s">
        <v>4339</v>
      </c>
      <c r="D424" s="41" t="s">
        <v>3044</v>
      </c>
    </row>
    <row r="425" spans="1:4" ht="31.5" customHeight="1" x14ac:dyDescent="0.25">
      <c r="A425" s="39" t="s">
        <v>1778</v>
      </c>
      <c r="B425" s="39" t="s">
        <v>4340</v>
      </c>
      <c r="C425" s="40" t="s">
        <v>537</v>
      </c>
      <c r="D425" s="41" t="s">
        <v>3045</v>
      </c>
    </row>
    <row r="426" spans="1:4" ht="63" customHeight="1" x14ac:dyDescent="0.25">
      <c r="A426" s="39" t="s">
        <v>1782</v>
      </c>
      <c r="B426" s="39" t="s">
        <v>4341</v>
      </c>
      <c r="C426" s="40" t="s">
        <v>4342</v>
      </c>
      <c r="D426" s="41" t="s">
        <v>3046</v>
      </c>
    </row>
    <row r="427" spans="1:4" ht="47.25" customHeight="1" x14ac:dyDescent="0.25">
      <c r="A427" s="39" t="s">
        <v>1787</v>
      </c>
      <c r="B427" s="39" t="s">
        <v>4343</v>
      </c>
      <c r="C427" s="40" t="s">
        <v>4182</v>
      </c>
      <c r="D427" s="41" t="s">
        <v>3047</v>
      </c>
    </row>
    <row r="428" spans="1:4" ht="47.25" customHeight="1" x14ac:dyDescent="0.25">
      <c r="A428" s="39" t="s">
        <v>1792</v>
      </c>
      <c r="B428" s="39" t="s">
        <v>4344</v>
      </c>
      <c r="C428" s="40" t="s">
        <v>3917</v>
      </c>
      <c r="D428" s="41" t="s">
        <v>3048</v>
      </c>
    </row>
    <row r="429" spans="1:4" ht="47.25" customHeight="1" x14ac:dyDescent="0.25">
      <c r="A429" s="39" t="s">
        <v>1796</v>
      </c>
      <c r="B429" s="39" t="s">
        <v>4345</v>
      </c>
      <c r="C429" s="40" t="s">
        <v>517</v>
      </c>
      <c r="D429" s="41" t="s">
        <v>3049</v>
      </c>
    </row>
    <row r="430" spans="1:4" ht="47.25" customHeight="1" x14ac:dyDescent="0.25">
      <c r="A430" s="39" t="s">
        <v>1800</v>
      </c>
      <c r="B430" s="39" t="s">
        <v>4346</v>
      </c>
      <c r="C430" s="40" t="s">
        <v>517</v>
      </c>
      <c r="D430" s="41" t="s">
        <v>3050</v>
      </c>
    </row>
    <row r="431" spans="1:4" ht="47.25" customHeight="1" x14ac:dyDescent="0.25">
      <c r="A431" s="39" t="s">
        <v>1804</v>
      </c>
      <c r="B431" s="39" t="s">
        <v>4347</v>
      </c>
      <c r="C431" s="40" t="s">
        <v>3924</v>
      </c>
      <c r="D431" s="41" t="s">
        <v>3051</v>
      </c>
    </row>
    <row r="432" spans="1:4" ht="47.25" customHeight="1" x14ac:dyDescent="0.25">
      <c r="A432" s="39" t="s">
        <v>1808</v>
      </c>
      <c r="B432" s="39" t="s">
        <v>4348</v>
      </c>
      <c r="C432" s="40" t="s">
        <v>1565</v>
      </c>
      <c r="D432" s="41" t="s">
        <v>3052</v>
      </c>
    </row>
    <row r="433" spans="1:4" ht="47.25" customHeight="1" x14ac:dyDescent="0.25">
      <c r="A433" s="39" t="s">
        <v>1812</v>
      </c>
      <c r="B433" s="39" t="s">
        <v>4349</v>
      </c>
      <c r="C433" s="40" t="s">
        <v>4042</v>
      </c>
      <c r="D433" s="41" t="s">
        <v>3053</v>
      </c>
    </row>
    <row r="434" spans="1:4" ht="31.5" customHeight="1" x14ac:dyDescent="0.25">
      <c r="A434" s="39" t="s">
        <v>1816</v>
      </c>
      <c r="B434" s="39" t="s">
        <v>4350</v>
      </c>
      <c r="C434" s="40" t="s">
        <v>4157</v>
      </c>
      <c r="D434" s="41" t="s">
        <v>3054</v>
      </c>
    </row>
    <row r="435" spans="1:4" ht="63" customHeight="1" x14ac:dyDescent="0.25">
      <c r="A435" s="39" t="s">
        <v>1821</v>
      </c>
      <c r="B435" s="39" t="s">
        <v>4351</v>
      </c>
      <c r="C435" s="40" t="s">
        <v>407</v>
      </c>
      <c r="D435" s="41" t="s">
        <v>3055</v>
      </c>
    </row>
    <row r="436" spans="1:4" ht="63" customHeight="1" x14ac:dyDescent="0.25">
      <c r="A436" s="39" t="s">
        <v>1826</v>
      </c>
      <c r="B436" s="39" t="s">
        <v>4352</v>
      </c>
      <c r="C436" s="40" t="s">
        <v>4077</v>
      </c>
      <c r="D436" s="41" t="s">
        <v>3056</v>
      </c>
    </row>
    <row r="437" spans="1:4" ht="63" customHeight="1" x14ac:dyDescent="0.25">
      <c r="A437" s="39" t="s">
        <v>1829</v>
      </c>
      <c r="B437" s="39" t="s">
        <v>4353</v>
      </c>
      <c r="C437" s="40" t="s">
        <v>4354</v>
      </c>
      <c r="D437" s="41" t="s">
        <v>3057</v>
      </c>
    </row>
    <row r="438" spans="1:4" ht="47.25" customHeight="1" x14ac:dyDescent="0.25">
      <c r="A438" s="39" t="s">
        <v>1833</v>
      </c>
      <c r="B438" s="39" t="s">
        <v>4355</v>
      </c>
      <c r="C438" s="40" t="s">
        <v>4356</v>
      </c>
      <c r="D438" s="41" t="s">
        <v>3058</v>
      </c>
    </row>
    <row r="439" spans="1:4" ht="31.5" customHeight="1" x14ac:dyDescent="0.25">
      <c r="A439" s="39" t="s">
        <v>1838</v>
      </c>
      <c r="B439" s="39" t="s">
        <v>4357</v>
      </c>
      <c r="C439" s="40" t="s">
        <v>1143</v>
      </c>
      <c r="D439" s="41" t="s">
        <v>3059</v>
      </c>
    </row>
    <row r="440" spans="1:4" ht="47.25" customHeight="1" x14ac:dyDescent="0.25">
      <c r="A440" s="39" t="s">
        <v>1842</v>
      </c>
      <c r="B440" s="39" t="s">
        <v>4358</v>
      </c>
      <c r="C440" s="40" t="s">
        <v>1143</v>
      </c>
      <c r="D440" s="41" t="s">
        <v>3060</v>
      </c>
    </row>
    <row r="441" spans="1:4" ht="47.25" customHeight="1" x14ac:dyDescent="0.25">
      <c r="A441" s="39" t="s">
        <v>1846</v>
      </c>
      <c r="B441" s="39" t="s">
        <v>4359</v>
      </c>
      <c r="C441" s="40" t="s">
        <v>4077</v>
      </c>
      <c r="D441" s="41" t="s">
        <v>3061</v>
      </c>
    </row>
    <row r="442" spans="1:4" ht="31.5" customHeight="1" x14ac:dyDescent="0.25">
      <c r="A442" s="39" t="s">
        <v>1852</v>
      </c>
      <c r="B442" s="39" t="s">
        <v>4360</v>
      </c>
      <c r="C442" s="40" t="s">
        <v>4361</v>
      </c>
      <c r="D442" s="41" t="s">
        <v>3062</v>
      </c>
    </row>
    <row r="443" spans="1:4" ht="94.5" customHeight="1" x14ac:dyDescent="0.25">
      <c r="A443" s="39" t="s">
        <v>1856</v>
      </c>
      <c r="B443" s="39" t="s">
        <v>4362</v>
      </c>
      <c r="C443" s="40" t="s">
        <v>4363</v>
      </c>
      <c r="D443" s="41" t="s">
        <v>3063</v>
      </c>
    </row>
    <row r="444" spans="1:4" ht="31.5" customHeight="1" x14ac:dyDescent="0.25">
      <c r="A444" s="39" t="s">
        <v>1860</v>
      </c>
      <c r="B444" s="39" t="s">
        <v>4364</v>
      </c>
      <c r="C444" s="40" t="s">
        <v>2274</v>
      </c>
      <c r="D444" s="41" t="s">
        <v>3064</v>
      </c>
    </row>
    <row r="445" spans="1:4" ht="31.5" customHeight="1" x14ac:dyDescent="0.25">
      <c r="A445" s="39" t="s">
        <v>1865</v>
      </c>
      <c r="B445" s="39" t="s">
        <v>4365</v>
      </c>
      <c r="C445" s="40" t="s">
        <v>1735</v>
      </c>
      <c r="D445" s="41" t="s">
        <v>3065</v>
      </c>
    </row>
    <row r="446" spans="1:4" x14ac:dyDescent="0.25">
      <c r="A446" s="39" t="s">
        <v>1869</v>
      </c>
      <c r="B446" s="39" t="s">
        <v>4366</v>
      </c>
      <c r="C446" s="40" t="s">
        <v>809</v>
      </c>
      <c r="D446" s="41" t="s">
        <v>3066</v>
      </c>
    </row>
    <row r="447" spans="1:4" ht="47.25" customHeight="1" x14ac:dyDescent="0.25">
      <c r="A447" s="39" t="s">
        <v>1874</v>
      </c>
      <c r="B447" s="39" t="s">
        <v>4367</v>
      </c>
      <c r="C447" s="40" t="s">
        <v>118</v>
      </c>
      <c r="D447" s="41" t="s">
        <v>3067</v>
      </c>
    </row>
    <row r="448" spans="1:4" ht="31.5" customHeight="1" x14ac:dyDescent="0.25">
      <c r="A448" s="39" t="s">
        <v>1878</v>
      </c>
      <c r="B448" s="39" t="s">
        <v>4368</v>
      </c>
      <c r="C448" s="40" t="s">
        <v>3837</v>
      </c>
      <c r="D448" s="41" t="s">
        <v>3068</v>
      </c>
    </row>
    <row r="449" spans="1:4" ht="47.25" customHeight="1" x14ac:dyDescent="0.25">
      <c r="A449" s="39" t="s">
        <v>1882</v>
      </c>
      <c r="B449" s="39" t="s">
        <v>4369</v>
      </c>
      <c r="C449" s="40" t="s">
        <v>4241</v>
      </c>
      <c r="D449" s="41" t="s">
        <v>3069</v>
      </c>
    </row>
    <row r="450" spans="1:4" ht="47.25" customHeight="1" x14ac:dyDescent="0.25">
      <c r="A450" s="39" t="s">
        <v>1886</v>
      </c>
      <c r="B450" s="39" t="s">
        <v>4370</v>
      </c>
      <c r="C450" s="40" t="s">
        <v>1143</v>
      </c>
      <c r="D450" s="41" t="s">
        <v>3070</v>
      </c>
    </row>
    <row r="451" spans="1:4" ht="47.25" customHeight="1" x14ac:dyDescent="0.25">
      <c r="A451" s="39" t="s">
        <v>1890</v>
      </c>
      <c r="B451" s="39" t="s">
        <v>4371</v>
      </c>
      <c r="C451" s="40" t="s">
        <v>65</v>
      </c>
      <c r="D451" s="41" t="s">
        <v>3071</v>
      </c>
    </row>
    <row r="452" spans="1:4" ht="47.25" customHeight="1" x14ac:dyDescent="0.25">
      <c r="A452" s="39" t="s">
        <v>1895</v>
      </c>
      <c r="B452" s="39" t="s">
        <v>4372</v>
      </c>
      <c r="C452" s="40" t="s">
        <v>78</v>
      </c>
      <c r="D452" s="41" t="s">
        <v>3072</v>
      </c>
    </row>
    <row r="453" spans="1:4" ht="47.25" customHeight="1" x14ac:dyDescent="0.25">
      <c r="A453" s="39" t="s">
        <v>1899</v>
      </c>
      <c r="B453" s="39" t="s">
        <v>4373</v>
      </c>
      <c r="C453" s="40" t="s">
        <v>4070</v>
      </c>
      <c r="D453" s="41" t="s">
        <v>3073</v>
      </c>
    </row>
    <row r="454" spans="1:4" ht="47.25" customHeight="1" x14ac:dyDescent="0.25">
      <c r="A454" s="39" t="s">
        <v>1904</v>
      </c>
      <c r="B454" s="39" t="s">
        <v>4374</v>
      </c>
      <c r="C454" s="40" t="s">
        <v>3900</v>
      </c>
      <c r="D454" s="41" t="s">
        <v>3074</v>
      </c>
    </row>
    <row r="455" spans="1:4" ht="63" customHeight="1" x14ac:dyDescent="0.25">
      <c r="A455" s="39" t="s">
        <v>1908</v>
      </c>
      <c r="B455" s="39" t="s">
        <v>4375</v>
      </c>
      <c r="C455" s="40" t="s">
        <v>4376</v>
      </c>
      <c r="D455" s="41" t="s">
        <v>3075</v>
      </c>
    </row>
    <row r="456" spans="1:4" ht="47.25" customHeight="1" x14ac:dyDescent="0.25">
      <c r="A456" s="39" t="s">
        <v>1912</v>
      </c>
      <c r="B456" s="39" t="s">
        <v>4377</v>
      </c>
      <c r="C456" s="40" t="s">
        <v>4356</v>
      </c>
      <c r="D456" s="41" t="s">
        <v>3076</v>
      </c>
    </row>
    <row r="457" spans="1:4" ht="47.25" customHeight="1" x14ac:dyDescent="0.25">
      <c r="A457" s="39" t="s">
        <v>1916</v>
      </c>
      <c r="B457" s="39" t="s">
        <v>4378</v>
      </c>
      <c r="C457" s="40" t="s">
        <v>2291</v>
      </c>
      <c r="D457" s="41" t="s">
        <v>3077</v>
      </c>
    </row>
    <row r="458" spans="1:4" ht="31.5" customHeight="1" x14ac:dyDescent="0.25">
      <c r="A458" s="39" t="s">
        <v>1920</v>
      </c>
      <c r="B458" s="39" t="s">
        <v>4379</v>
      </c>
      <c r="C458" s="40" t="s">
        <v>823</v>
      </c>
      <c r="D458" s="41" t="s">
        <v>3078</v>
      </c>
    </row>
    <row r="459" spans="1:4" ht="63" customHeight="1" x14ac:dyDescent="0.25">
      <c r="A459" s="39" t="s">
        <v>1926</v>
      </c>
      <c r="B459" s="39" t="s">
        <v>4380</v>
      </c>
      <c r="C459" s="40" t="s">
        <v>4381</v>
      </c>
      <c r="D459" s="41" t="s">
        <v>3079</v>
      </c>
    </row>
    <row r="460" spans="1:4" ht="47.25" customHeight="1" x14ac:dyDescent="0.25">
      <c r="A460" s="39" t="s">
        <v>1930</v>
      </c>
      <c r="B460" s="39" t="s">
        <v>4382</v>
      </c>
      <c r="C460" s="40" t="s">
        <v>4376</v>
      </c>
      <c r="D460" s="41" t="s">
        <v>3080</v>
      </c>
    </row>
    <row r="461" spans="1:4" ht="47.25" customHeight="1" x14ac:dyDescent="0.25">
      <c r="A461" s="39" t="s">
        <v>1934</v>
      </c>
      <c r="B461" s="39" t="s">
        <v>4383</v>
      </c>
      <c r="C461" s="40" t="s">
        <v>3961</v>
      </c>
      <c r="D461" s="41" t="s">
        <v>3081</v>
      </c>
    </row>
    <row r="462" spans="1:4" ht="47.25" customHeight="1" x14ac:dyDescent="0.25">
      <c r="A462" s="39" t="s">
        <v>1938</v>
      </c>
      <c r="B462" s="39" t="s">
        <v>4384</v>
      </c>
      <c r="C462" s="40" t="s">
        <v>1134</v>
      </c>
      <c r="D462" s="41" t="s">
        <v>3082</v>
      </c>
    </row>
    <row r="463" spans="1:4" ht="31.5" customHeight="1" x14ac:dyDescent="0.25">
      <c r="A463" s="39" t="s">
        <v>1942</v>
      </c>
      <c r="B463" s="39" t="s">
        <v>4385</v>
      </c>
      <c r="C463" s="40" t="s">
        <v>4376</v>
      </c>
      <c r="D463" s="41" t="s">
        <v>3083</v>
      </c>
    </row>
    <row r="464" spans="1:4" ht="47.25" customHeight="1" x14ac:dyDescent="0.25">
      <c r="A464" s="39" t="s">
        <v>1946</v>
      </c>
      <c r="B464" s="39" t="s">
        <v>4386</v>
      </c>
      <c r="C464" s="40" t="s">
        <v>402</v>
      </c>
      <c r="D464" s="41" t="s">
        <v>3084</v>
      </c>
    </row>
    <row r="465" spans="1:4" ht="31.5" customHeight="1" x14ac:dyDescent="0.25">
      <c r="A465" s="39" t="s">
        <v>1951</v>
      </c>
      <c r="B465" s="39" t="s">
        <v>4387</v>
      </c>
      <c r="C465" s="40" t="s">
        <v>106</v>
      </c>
      <c r="D465" s="41" t="s">
        <v>3085</v>
      </c>
    </row>
    <row r="466" spans="1:4" ht="31.5" customHeight="1" x14ac:dyDescent="0.25">
      <c r="A466" s="39" t="s">
        <v>1956</v>
      </c>
      <c r="B466" s="39" t="s">
        <v>4388</v>
      </c>
      <c r="C466" s="40" t="s">
        <v>106</v>
      </c>
      <c r="D466" s="41" t="s">
        <v>3086</v>
      </c>
    </row>
    <row r="467" spans="1:4" ht="31.5" customHeight="1" x14ac:dyDescent="0.25">
      <c r="A467" s="39" t="s">
        <v>1960</v>
      </c>
      <c r="B467" s="39" t="s">
        <v>4389</v>
      </c>
      <c r="C467" s="40" t="s">
        <v>65</v>
      </c>
      <c r="D467" s="41" t="s">
        <v>3087</v>
      </c>
    </row>
    <row r="468" spans="1:4" ht="31.5" customHeight="1" x14ac:dyDescent="0.25">
      <c r="A468" s="39" t="s">
        <v>1963</v>
      </c>
      <c r="B468" s="39" t="s">
        <v>4390</v>
      </c>
      <c r="C468" s="40" t="s">
        <v>547</v>
      </c>
      <c r="D468" s="41" t="s">
        <v>3088</v>
      </c>
    </row>
    <row r="469" spans="1:4" ht="47.25" customHeight="1" x14ac:dyDescent="0.25">
      <c r="A469" s="39" t="s">
        <v>1968</v>
      </c>
      <c r="B469" s="39" t="s">
        <v>4391</v>
      </c>
      <c r="C469" s="40" t="s">
        <v>4392</v>
      </c>
      <c r="D469" s="41" t="s">
        <v>3089</v>
      </c>
    </row>
    <row r="470" spans="1:4" ht="47.25" customHeight="1" x14ac:dyDescent="0.25">
      <c r="A470" s="39" t="s">
        <v>1974</v>
      </c>
      <c r="B470" s="39" t="s">
        <v>4393</v>
      </c>
      <c r="C470" s="40" t="s">
        <v>4392</v>
      </c>
      <c r="D470" s="41" t="s">
        <v>3090</v>
      </c>
    </row>
    <row r="471" spans="1:4" ht="63" customHeight="1" x14ac:dyDescent="0.25">
      <c r="A471" s="39" t="s">
        <v>1979</v>
      </c>
      <c r="B471" s="39" t="s">
        <v>4394</v>
      </c>
      <c r="C471" s="40" t="s">
        <v>685</v>
      </c>
      <c r="D471" s="41" t="s">
        <v>3091</v>
      </c>
    </row>
    <row r="472" spans="1:4" ht="63" customHeight="1" x14ac:dyDescent="0.25">
      <c r="A472" s="39" t="s">
        <v>1983</v>
      </c>
      <c r="B472" s="39" t="s">
        <v>4395</v>
      </c>
      <c r="C472" s="40" t="s">
        <v>4027</v>
      </c>
      <c r="D472" s="41" t="s">
        <v>3092</v>
      </c>
    </row>
    <row r="473" spans="1:4" ht="31.5" customHeight="1" x14ac:dyDescent="0.25">
      <c r="A473" s="39" t="s">
        <v>1987</v>
      </c>
      <c r="B473" s="39" t="s">
        <v>4396</v>
      </c>
      <c r="C473" s="40" t="s">
        <v>4397</v>
      </c>
      <c r="D473" s="41" t="s">
        <v>3093</v>
      </c>
    </row>
    <row r="474" spans="1:4" ht="31.5" customHeight="1" x14ac:dyDescent="0.25">
      <c r="A474" s="39" t="s">
        <v>1990</v>
      </c>
      <c r="B474" s="39" t="s">
        <v>4398</v>
      </c>
      <c r="C474" s="40" t="s">
        <v>3861</v>
      </c>
      <c r="D474" s="41" t="s">
        <v>3094</v>
      </c>
    </row>
    <row r="475" spans="1:4" ht="31.5" customHeight="1" x14ac:dyDescent="0.25">
      <c r="A475" s="39" t="s">
        <v>1995</v>
      </c>
      <c r="B475" s="39" t="s">
        <v>4399</v>
      </c>
      <c r="C475" s="40" t="s">
        <v>4356</v>
      </c>
      <c r="D475" s="41" t="s">
        <v>3095</v>
      </c>
    </row>
    <row r="476" spans="1:4" ht="31.5" customHeight="1" x14ac:dyDescent="0.25">
      <c r="A476" s="39" t="s">
        <v>2000</v>
      </c>
      <c r="B476" s="39" t="s">
        <v>4400</v>
      </c>
      <c r="C476" s="40" t="s">
        <v>1686</v>
      </c>
      <c r="D476" s="41" t="s">
        <v>3096</v>
      </c>
    </row>
    <row r="477" spans="1:4" ht="63" customHeight="1" x14ac:dyDescent="0.25">
      <c r="A477" s="39" t="s">
        <v>2005</v>
      </c>
      <c r="B477" s="39" t="s">
        <v>4401</v>
      </c>
      <c r="C477" s="40" t="s">
        <v>1170</v>
      </c>
      <c r="D477" s="41" t="s">
        <v>3097</v>
      </c>
    </row>
    <row r="478" spans="1:4" ht="31.5" customHeight="1" x14ac:dyDescent="0.25">
      <c r="A478" s="39" t="s">
        <v>2009</v>
      </c>
      <c r="B478" s="39" t="s">
        <v>4402</v>
      </c>
      <c r="C478" s="40" t="s">
        <v>823</v>
      </c>
      <c r="D478" s="41" t="s">
        <v>3098</v>
      </c>
    </row>
    <row r="479" spans="1:4" ht="31.5" customHeight="1" x14ac:dyDescent="0.25">
      <c r="A479" s="39" t="s">
        <v>2013</v>
      </c>
      <c r="B479" s="39" t="s">
        <v>4403</v>
      </c>
      <c r="C479" s="40" t="s">
        <v>1730</v>
      </c>
      <c r="D479" s="41" t="s">
        <v>3099</v>
      </c>
    </row>
    <row r="480" spans="1:4" ht="47.25" customHeight="1" x14ac:dyDescent="0.25">
      <c r="A480" s="39" t="s">
        <v>2017</v>
      </c>
      <c r="B480" s="39" t="s">
        <v>4404</v>
      </c>
      <c r="C480" s="40" t="s">
        <v>3867</v>
      </c>
      <c r="D480" s="41" t="s">
        <v>3100</v>
      </c>
    </row>
    <row r="481" spans="1:4" ht="47.25" customHeight="1" x14ac:dyDescent="0.25">
      <c r="A481" s="39" t="s">
        <v>2021</v>
      </c>
      <c r="B481" s="39" t="s">
        <v>4405</v>
      </c>
      <c r="C481" s="40" t="s">
        <v>4406</v>
      </c>
      <c r="D481" s="41" t="s">
        <v>3101</v>
      </c>
    </row>
    <row r="482" spans="1:4" ht="47.25" customHeight="1" x14ac:dyDescent="0.25">
      <c r="A482" s="39" t="s">
        <v>2025</v>
      </c>
      <c r="B482" s="39" t="s">
        <v>4407</v>
      </c>
      <c r="C482" s="40" t="s">
        <v>4408</v>
      </c>
      <c r="D482" s="41" t="s">
        <v>3102</v>
      </c>
    </row>
    <row r="483" spans="1:4" ht="31.5" customHeight="1" x14ac:dyDescent="0.25">
      <c r="A483" s="39" t="s">
        <v>2030</v>
      </c>
      <c r="B483" s="39" t="s">
        <v>4409</v>
      </c>
      <c r="C483" s="40" t="s">
        <v>412</v>
      </c>
      <c r="D483" s="41" t="s">
        <v>3103</v>
      </c>
    </row>
    <row r="484" spans="1:4" ht="63" customHeight="1" x14ac:dyDescent="0.25">
      <c r="A484" s="39" t="s">
        <v>2034</v>
      </c>
      <c r="B484" s="39" t="s">
        <v>4410</v>
      </c>
      <c r="C484" s="40" t="s">
        <v>4411</v>
      </c>
      <c r="D484" s="41" t="s">
        <v>3104</v>
      </c>
    </row>
    <row r="485" spans="1:4" ht="31.5" customHeight="1" x14ac:dyDescent="0.25">
      <c r="A485" s="39" t="s">
        <v>2038</v>
      </c>
      <c r="B485" s="39" t="s">
        <v>4412</v>
      </c>
      <c r="C485" s="40" t="s">
        <v>412</v>
      </c>
      <c r="D485" s="41" t="s">
        <v>3105</v>
      </c>
    </row>
    <row r="486" spans="1:4" ht="63" customHeight="1" x14ac:dyDescent="0.25">
      <c r="A486" s="39" t="s">
        <v>2043</v>
      </c>
      <c r="B486" s="39" t="s">
        <v>4413</v>
      </c>
      <c r="C486" s="40" t="s">
        <v>2066</v>
      </c>
      <c r="D486" s="41" t="s">
        <v>3106</v>
      </c>
    </row>
    <row r="487" spans="1:4" ht="47.25" customHeight="1" x14ac:dyDescent="0.25">
      <c r="A487" s="39" t="s">
        <v>2048</v>
      </c>
      <c r="B487" s="39" t="s">
        <v>4414</v>
      </c>
      <c r="C487" s="40" t="s">
        <v>4257</v>
      </c>
      <c r="D487" s="41" t="s">
        <v>3107</v>
      </c>
    </row>
    <row r="488" spans="1:4" ht="63" customHeight="1" x14ac:dyDescent="0.25">
      <c r="A488" s="39" t="s">
        <v>2052</v>
      </c>
      <c r="B488" s="39" t="s">
        <v>4415</v>
      </c>
      <c r="C488" s="40" t="s">
        <v>418</v>
      </c>
      <c r="D488" s="41" t="s">
        <v>3108</v>
      </c>
    </row>
    <row r="489" spans="1:4" ht="31.5" customHeight="1" x14ac:dyDescent="0.25">
      <c r="A489" s="39" t="s">
        <v>2056</v>
      </c>
      <c r="B489" s="39" t="s">
        <v>4416</v>
      </c>
      <c r="C489" s="40" t="s">
        <v>4182</v>
      </c>
      <c r="D489" s="41" t="s">
        <v>3109</v>
      </c>
    </row>
    <row r="490" spans="1:4" ht="47.25" customHeight="1" x14ac:dyDescent="0.25">
      <c r="A490" s="39" t="s">
        <v>2060</v>
      </c>
      <c r="B490" s="39" t="s">
        <v>4417</v>
      </c>
      <c r="C490" s="40" t="s">
        <v>4182</v>
      </c>
      <c r="D490" s="41" t="s">
        <v>3110</v>
      </c>
    </row>
    <row r="491" spans="1:4" ht="47.25" customHeight="1" x14ac:dyDescent="0.25">
      <c r="A491" s="39" t="s">
        <v>2064</v>
      </c>
      <c r="B491" s="39" t="s">
        <v>4418</v>
      </c>
      <c r="C491" s="40" t="s">
        <v>1380</v>
      </c>
      <c r="D491" s="41" t="s">
        <v>3111</v>
      </c>
    </row>
    <row r="492" spans="1:4" ht="47.25" customHeight="1" x14ac:dyDescent="0.25">
      <c r="A492" s="39" t="s">
        <v>2069</v>
      </c>
      <c r="B492" s="39" t="s">
        <v>4419</v>
      </c>
      <c r="C492" s="40" t="s">
        <v>4420</v>
      </c>
      <c r="D492" s="41" t="s">
        <v>3112</v>
      </c>
    </row>
    <row r="493" spans="1:4" ht="31.5" customHeight="1" x14ac:dyDescent="0.25">
      <c r="A493" s="39" t="s">
        <v>2073</v>
      </c>
      <c r="B493" s="39" t="s">
        <v>4421</v>
      </c>
      <c r="C493" s="40" t="s">
        <v>106</v>
      </c>
      <c r="D493" s="41" t="s">
        <v>3113</v>
      </c>
    </row>
    <row r="494" spans="1:4" ht="31.5" customHeight="1" x14ac:dyDescent="0.25">
      <c r="A494" s="39" t="s">
        <v>2077</v>
      </c>
      <c r="B494" s="39" t="s">
        <v>4422</v>
      </c>
      <c r="C494" s="40" t="s">
        <v>1617</v>
      </c>
      <c r="D494" s="41" t="s">
        <v>3114</v>
      </c>
    </row>
    <row r="495" spans="1:4" ht="47.25" customHeight="1" x14ac:dyDescent="0.25">
      <c r="A495" s="39" t="s">
        <v>2082</v>
      </c>
      <c r="B495" s="39" t="s">
        <v>4423</v>
      </c>
      <c r="C495" s="40" t="s">
        <v>4424</v>
      </c>
      <c r="D495" s="41" t="s">
        <v>3115</v>
      </c>
    </row>
    <row r="496" spans="1:4" ht="47.25" customHeight="1" x14ac:dyDescent="0.25">
      <c r="A496" s="39" t="s">
        <v>2086</v>
      </c>
      <c r="B496" s="39" t="s">
        <v>4425</v>
      </c>
      <c r="C496" s="40" t="s">
        <v>4426</v>
      </c>
      <c r="D496" s="41" t="s">
        <v>3116</v>
      </c>
    </row>
    <row r="497" spans="1:4" ht="47.25" customHeight="1" x14ac:dyDescent="0.25">
      <c r="A497" s="39" t="s">
        <v>2091</v>
      </c>
      <c r="B497" s="39" t="s">
        <v>4427</v>
      </c>
      <c r="C497" s="40" t="s">
        <v>4428</v>
      </c>
      <c r="D497" s="41" t="s">
        <v>3117</v>
      </c>
    </row>
    <row r="498" spans="1:4" ht="47.25" customHeight="1" x14ac:dyDescent="0.25">
      <c r="A498" s="39" t="s">
        <v>2095</v>
      </c>
      <c r="B498" s="39" t="s">
        <v>4429</v>
      </c>
      <c r="C498" s="40" t="s">
        <v>905</v>
      </c>
      <c r="D498" s="41" t="s">
        <v>3118</v>
      </c>
    </row>
    <row r="499" spans="1:4" ht="31.5" customHeight="1" x14ac:dyDescent="0.25">
      <c r="A499" s="39" t="s">
        <v>2099</v>
      </c>
      <c r="B499" s="39" t="s">
        <v>4430</v>
      </c>
      <c r="C499" s="40" t="s">
        <v>3924</v>
      </c>
      <c r="D499" s="41" t="s">
        <v>3119</v>
      </c>
    </row>
    <row r="500" spans="1:4" ht="63" customHeight="1" x14ac:dyDescent="0.25">
      <c r="A500" s="39" t="s">
        <v>2104</v>
      </c>
      <c r="B500" s="39" t="s">
        <v>4431</v>
      </c>
      <c r="C500" s="40" t="s">
        <v>4432</v>
      </c>
      <c r="D500" s="41" t="s">
        <v>3120</v>
      </c>
    </row>
    <row r="501" spans="1:4" ht="31.5" customHeight="1" x14ac:dyDescent="0.25">
      <c r="A501" s="39" t="s">
        <v>2109</v>
      </c>
      <c r="B501" s="39" t="s">
        <v>4433</v>
      </c>
      <c r="C501" s="40" t="s">
        <v>3967</v>
      </c>
      <c r="D501" s="41" t="s">
        <v>3121</v>
      </c>
    </row>
    <row r="502" spans="1:4" ht="63" customHeight="1" x14ac:dyDescent="0.25">
      <c r="A502" s="39" t="s">
        <v>2112</v>
      </c>
      <c r="B502" s="39" t="s">
        <v>4434</v>
      </c>
      <c r="C502" s="40" t="s">
        <v>3964</v>
      </c>
      <c r="D502" s="41" t="s">
        <v>3122</v>
      </c>
    </row>
    <row r="503" spans="1:4" ht="31.5" customHeight="1" x14ac:dyDescent="0.25">
      <c r="A503" s="39" t="s">
        <v>2117</v>
      </c>
      <c r="B503" s="39" t="s">
        <v>4435</v>
      </c>
      <c r="C503" s="40" t="s">
        <v>2106</v>
      </c>
      <c r="D503" s="41" t="s">
        <v>3123</v>
      </c>
    </row>
    <row r="504" spans="1:4" ht="47.25" customHeight="1" x14ac:dyDescent="0.25">
      <c r="A504" s="39" t="s">
        <v>2121</v>
      </c>
      <c r="B504" s="39" t="s">
        <v>4436</v>
      </c>
      <c r="C504" s="40" t="s">
        <v>4437</v>
      </c>
      <c r="D504" s="41" t="s">
        <v>3124</v>
      </c>
    </row>
    <row r="505" spans="1:4" ht="31.5" customHeight="1" x14ac:dyDescent="0.25">
      <c r="A505" s="39" t="s">
        <v>2126</v>
      </c>
      <c r="B505" s="39" t="s">
        <v>4438</v>
      </c>
      <c r="C505" s="40" t="s">
        <v>4439</v>
      </c>
      <c r="D505" s="41" t="s">
        <v>3125</v>
      </c>
    </row>
    <row r="506" spans="1:4" ht="63" customHeight="1" x14ac:dyDescent="0.25">
      <c r="A506" s="39" t="s">
        <v>2131</v>
      </c>
      <c r="B506" s="39" t="s">
        <v>4440</v>
      </c>
      <c r="C506" s="40" t="s">
        <v>397</v>
      </c>
      <c r="D506" s="41" t="s">
        <v>3126</v>
      </c>
    </row>
    <row r="507" spans="1:4" ht="31.5" customHeight="1" x14ac:dyDescent="0.25">
      <c r="A507" s="39" t="s">
        <v>2136</v>
      </c>
      <c r="B507" s="39" t="s">
        <v>4441</v>
      </c>
      <c r="C507" s="40" t="s">
        <v>4077</v>
      </c>
      <c r="D507" s="41" t="s">
        <v>3127</v>
      </c>
    </row>
    <row r="508" spans="1:4" ht="47.25" customHeight="1" x14ac:dyDescent="0.25">
      <c r="A508" s="39" t="s">
        <v>2140</v>
      </c>
      <c r="B508" s="39" t="s">
        <v>4442</v>
      </c>
      <c r="C508" s="40" t="s">
        <v>4077</v>
      </c>
      <c r="D508" s="41" t="s">
        <v>3128</v>
      </c>
    </row>
    <row r="509" spans="1:4" ht="63" customHeight="1" x14ac:dyDescent="0.25">
      <c r="A509" s="39" t="s">
        <v>2144</v>
      </c>
      <c r="B509" s="39" t="s">
        <v>4443</v>
      </c>
      <c r="C509" s="40" t="s">
        <v>4444</v>
      </c>
      <c r="D509" s="41" t="s">
        <v>3129</v>
      </c>
    </row>
    <row r="510" spans="1:4" ht="47.25" customHeight="1" x14ac:dyDescent="0.25">
      <c r="A510" s="39" t="s">
        <v>2148</v>
      </c>
      <c r="B510" s="39" t="s">
        <v>4445</v>
      </c>
      <c r="C510" s="40" t="s">
        <v>171</v>
      </c>
      <c r="D510" s="41" t="s">
        <v>3130</v>
      </c>
    </row>
    <row r="511" spans="1:4" ht="78.75" customHeight="1" x14ac:dyDescent="0.25">
      <c r="A511" s="39" t="s">
        <v>2152</v>
      </c>
      <c r="B511" s="39" t="s">
        <v>4446</v>
      </c>
      <c r="C511" s="40" t="s">
        <v>1468</v>
      </c>
      <c r="D511" s="41" t="s">
        <v>3131</v>
      </c>
    </row>
    <row r="512" spans="1:4" ht="63" customHeight="1" x14ac:dyDescent="0.25">
      <c r="A512" s="39" t="s">
        <v>2158</v>
      </c>
      <c r="B512" s="39" t="s">
        <v>4447</v>
      </c>
      <c r="C512" s="40" t="s">
        <v>4448</v>
      </c>
      <c r="D512" s="41" t="s">
        <v>3132</v>
      </c>
    </row>
    <row r="513" spans="1:4" ht="63" customHeight="1" x14ac:dyDescent="0.25">
      <c r="A513" s="39" t="s">
        <v>2163</v>
      </c>
      <c r="B513" s="39" t="s">
        <v>4449</v>
      </c>
      <c r="C513" s="40" t="s">
        <v>1327</v>
      </c>
      <c r="D513" s="41" t="s">
        <v>3133</v>
      </c>
    </row>
    <row r="514" spans="1:4" ht="31.5" customHeight="1" x14ac:dyDescent="0.25">
      <c r="A514" s="39" t="s">
        <v>2166</v>
      </c>
      <c r="B514" s="39" t="s">
        <v>4450</v>
      </c>
      <c r="C514" s="40" t="s">
        <v>1760</v>
      </c>
      <c r="D514" s="41" t="s">
        <v>3134</v>
      </c>
    </row>
    <row r="515" spans="1:4" ht="31.5" customHeight="1" x14ac:dyDescent="0.25">
      <c r="A515" s="39" t="s">
        <v>2170</v>
      </c>
      <c r="B515" s="39" t="s">
        <v>4451</v>
      </c>
      <c r="C515" s="40" t="s">
        <v>92</v>
      </c>
      <c r="D515" s="41" t="s">
        <v>3135</v>
      </c>
    </row>
    <row r="516" spans="1:4" ht="31.5" customHeight="1" x14ac:dyDescent="0.25">
      <c r="A516" s="39" t="s">
        <v>2175</v>
      </c>
      <c r="B516" s="39" t="s">
        <v>4452</v>
      </c>
      <c r="C516" s="40" t="s">
        <v>3861</v>
      </c>
      <c r="D516" s="41" t="s">
        <v>3136</v>
      </c>
    </row>
    <row r="517" spans="1:4" ht="31.5" customHeight="1" x14ac:dyDescent="0.25">
      <c r="A517" s="39" t="s">
        <v>2179</v>
      </c>
      <c r="B517" s="39" t="s">
        <v>4453</v>
      </c>
      <c r="C517" s="40" t="s">
        <v>588</v>
      </c>
      <c r="D517" s="41" t="s">
        <v>3137</v>
      </c>
    </row>
    <row r="518" spans="1:4" ht="47.25" customHeight="1" x14ac:dyDescent="0.25">
      <c r="A518" s="39" t="s">
        <v>2183</v>
      </c>
      <c r="B518" s="39" t="s">
        <v>4454</v>
      </c>
      <c r="C518" s="40" t="s">
        <v>1701</v>
      </c>
      <c r="D518" s="41" t="s">
        <v>3138</v>
      </c>
    </row>
    <row r="519" spans="1:4" ht="31.5" customHeight="1" x14ac:dyDescent="0.25">
      <c r="A519" s="39" t="s">
        <v>2187</v>
      </c>
      <c r="B519" s="39" t="s">
        <v>4455</v>
      </c>
      <c r="C519" s="40" t="s">
        <v>2249</v>
      </c>
      <c r="D519" s="41" t="s">
        <v>3139</v>
      </c>
    </row>
    <row r="520" spans="1:4" ht="47.25" customHeight="1" x14ac:dyDescent="0.25">
      <c r="A520" s="39" t="s">
        <v>2192</v>
      </c>
      <c r="B520" s="39" t="s">
        <v>4456</v>
      </c>
      <c r="C520" s="40" t="s">
        <v>646</v>
      </c>
      <c r="D520" s="41" t="s">
        <v>3140</v>
      </c>
    </row>
    <row r="521" spans="1:4" ht="31.5" customHeight="1" x14ac:dyDescent="0.25">
      <c r="A521" s="39" t="s">
        <v>2196</v>
      </c>
      <c r="B521" s="39" t="s">
        <v>4457</v>
      </c>
      <c r="C521" s="40" t="s">
        <v>1922</v>
      </c>
      <c r="D521" s="41" t="s">
        <v>3141</v>
      </c>
    </row>
    <row r="522" spans="1:4" ht="47.25" customHeight="1" x14ac:dyDescent="0.25">
      <c r="A522" s="39" t="s">
        <v>2200</v>
      </c>
      <c r="B522" s="39" t="s">
        <v>4458</v>
      </c>
      <c r="C522" s="40" t="s">
        <v>1134</v>
      </c>
      <c r="D522" s="41" t="s">
        <v>3142</v>
      </c>
    </row>
    <row r="523" spans="1:4" ht="31.5" customHeight="1" x14ac:dyDescent="0.25">
      <c r="A523" s="39" t="s">
        <v>2205</v>
      </c>
      <c r="B523" s="39" t="s">
        <v>4459</v>
      </c>
      <c r="C523" s="40" t="s">
        <v>4460</v>
      </c>
      <c r="D523" s="41" t="s">
        <v>3143</v>
      </c>
    </row>
    <row r="524" spans="1:4" ht="31.5" customHeight="1" x14ac:dyDescent="0.25">
      <c r="A524" s="39" t="s">
        <v>2210</v>
      </c>
      <c r="B524" s="39" t="s">
        <v>4461</v>
      </c>
      <c r="C524" s="40" t="s">
        <v>407</v>
      </c>
      <c r="D524" s="41" t="s">
        <v>3144</v>
      </c>
    </row>
    <row r="525" spans="1:4" ht="31.5" customHeight="1" x14ac:dyDescent="0.25">
      <c r="A525" s="39" t="s">
        <v>2213</v>
      </c>
      <c r="B525" s="39" t="s">
        <v>4462</v>
      </c>
      <c r="C525" s="40" t="s">
        <v>496</v>
      </c>
      <c r="D525" s="41" t="s">
        <v>3145</v>
      </c>
    </row>
    <row r="526" spans="1:4" ht="47.25" customHeight="1" x14ac:dyDescent="0.25">
      <c r="A526" s="39" t="s">
        <v>2216</v>
      </c>
      <c r="B526" s="39" t="s">
        <v>4463</v>
      </c>
      <c r="C526" s="40" t="s">
        <v>4464</v>
      </c>
      <c r="D526" s="41" t="s">
        <v>3146</v>
      </c>
    </row>
    <row r="527" spans="1:4" ht="47.25" customHeight="1" x14ac:dyDescent="0.25">
      <c r="A527" s="39" t="s">
        <v>2221</v>
      </c>
      <c r="B527" s="39" t="s">
        <v>4465</v>
      </c>
      <c r="C527" s="40" t="s">
        <v>4466</v>
      </c>
      <c r="D527" s="41" t="s">
        <v>3147</v>
      </c>
    </row>
    <row r="528" spans="1:4" ht="47.25" customHeight="1" x14ac:dyDescent="0.25">
      <c r="A528" s="39" t="s">
        <v>2225</v>
      </c>
      <c r="B528" s="39" t="s">
        <v>4467</v>
      </c>
      <c r="C528" s="40" t="s">
        <v>4171</v>
      </c>
      <c r="D528" s="41" t="s">
        <v>3148</v>
      </c>
    </row>
    <row r="529" spans="1:4" ht="47.25" customHeight="1" x14ac:dyDescent="0.25">
      <c r="A529" s="39" t="s">
        <v>2228</v>
      </c>
      <c r="B529" s="39" t="s">
        <v>4468</v>
      </c>
      <c r="C529" s="40" t="s">
        <v>4171</v>
      </c>
      <c r="D529" s="41" t="s">
        <v>3149</v>
      </c>
    </row>
    <row r="530" spans="1:4" ht="47.25" customHeight="1" x14ac:dyDescent="0.25">
      <c r="A530" s="39" t="s">
        <v>2233</v>
      </c>
      <c r="B530" s="39" t="s">
        <v>4469</v>
      </c>
      <c r="C530" s="40" t="s">
        <v>4171</v>
      </c>
      <c r="D530" s="41" t="s">
        <v>3150</v>
      </c>
    </row>
    <row r="531" spans="1:4" ht="63" customHeight="1" x14ac:dyDescent="0.25">
      <c r="A531" s="39" t="s">
        <v>2237</v>
      </c>
      <c r="B531" s="39" t="s">
        <v>4470</v>
      </c>
      <c r="C531" s="40" t="s">
        <v>4471</v>
      </c>
      <c r="D531" s="41" t="s">
        <v>3151</v>
      </c>
    </row>
    <row r="532" spans="1:4" ht="47.25" customHeight="1" x14ac:dyDescent="0.25">
      <c r="A532" s="39" t="s">
        <v>2241</v>
      </c>
      <c r="B532" s="39" t="s">
        <v>4472</v>
      </c>
      <c r="C532" s="40" t="s">
        <v>772</v>
      </c>
      <c r="D532" s="41" t="s">
        <v>3152</v>
      </c>
    </row>
    <row r="533" spans="1:4" ht="47.25" customHeight="1" x14ac:dyDescent="0.25">
      <c r="A533" s="39" t="s">
        <v>2247</v>
      </c>
      <c r="B533" s="39" t="s">
        <v>4473</v>
      </c>
      <c r="C533" s="40" t="s">
        <v>2066</v>
      </c>
      <c r="D533" s="41" t="s">
        <v>3153</v>
      </c>
    </row>
    <row r="534" spans="1:4" ht="31.5" customHeight="1" x14ac:dyDescent="0.25">
      <c r="A534" s="39" t="s">
        <v>2252</v>
      </c>
      <c r="B534" s="39" t="s">
        <v>4474</v>
      </c>
      <c r="C534" s="40" t="s">
        <v>4475</v>
      </c>
      <c r="D534" s="41" t="s">
        <v>3154</v>
      </c>
    </row>
    <row r="535" spans="1:4" ht="31.5" customHeight="1" x14ac:dyDescent="0.25">
      <c r="A535" s="39" t="s">
        <v>2257</v>
      </c>
      <c r="B535" s="39" t="s">
        <v>4476</v>
      </c>
      <c r="C535" s="40" t="s">
        <v>4356</v>
      </c>
      <c r="D535" s="41" t="s">
        <v>3155</v>
      </c>
    </row>
    <row r="536" spans="1:4" ht="31.5" customHeight="1" x14ac:dyDescent="0.25">
      <c r="A536" s="39" t="s">
        <v>2262</v>
      </c>
      <c r="B536" s="39" t="s">
        <v>4477</v>
      </c>
      <c r="C536" s="40" t="s">
        <v>407</v>
      </c>
      <c r="D536" s="41" t="s">
        <v>3156</v>
      </c>
    </row>
    <row r="537" spans="1:4" ht="47.25" customHeight="1" x14ac:dyDescent="0.25">
      <c r="A537" s="39" t="s">
        <v>2268</v>
      </c>
      <c r="B537" s="39" t="s">
        <v>4478</v>
      </c>
      <c r="C537" s="40" t="s">
        <v>4479</v>
      </c>
      <c r="D537" s="41" t="s">
        <v>3157</v>
      </c>
    </row>
    <row r="538" spans="1:4" ht="47.25" customHeight="1" x14ac:dyDescent="0.25">
      <c r="A538" s="39" t="s">
        <v>2272</v>
      </c>
      <c r="B538" s="39" t="s">
        <v>4480</v>
      </c>
      <c r="C538" s="40" t="s">
        <v>1230</v>
      </c>
      <c r="D538" s="41" t="s">
        <v>3158</v>
      </c>
    </row>
    <row r="539" spans="1:4" ht="47.25" customHeight="1" x14ac:dyDescent="0.25">
      <c r="A539" s="39" t="s">
        <v>2277</v>
      </c>
      <c r="B539" s="39" t="s">
        <v>4481</v>
      </c>
      <c r="C539" s="40" t="s">
        <v>632</v>
      </c>
      <c r="D539" s="41" t="s">
        <v>3159</v>
      </c>
    </row>
    <row r="540" spans="1:4" ht="63" customHeight="1" x14ac:dyDescent="0.25">
      <c r="A540" s="39" t="s">
        <v>2280</v>
      </c>
      <c r="B540" s="39" t="s">
        <v>4482</v>
      </c>
      <c r="C540" s="40" t="s">
        <v>4483</v>
      </c>
      <c r="D540" s="41" t="s">
        <v>3160</v>
      </c>
    </row>
    <row r="541" spans="1:4" ht="47.25" customHeight="1" x14ac:dyDescent="0.25">
      <c r="A541" s="39" t="s">
        <v>2284</v>
      </c>
      <c r="B541" s="39" t="s">
        <v>4484</v>
      </c>
      <c r="C541" s="40" t="s">
        <v>4485</v>
      </c>
      <c r="D541" s="41" t="s">
        <v>3161</v>
      </c>
    </row>
    <row r="542" spans="1:4" ht="31.5" customHeight="1" x14ac:dyDescent="0.25">
      <c r="A542" s="39" t="s">
        <v>2289</v>
      </c>
      <c r="B542" s="39" t="s">
        <v>4486</v>
      </c>
      <c r="C542" s="40" t="s">
        <v>661</v>
      </c>
      <c r="D542" s="41" t="s">
        <v>3162</v>
      </c>
    </row>
    <row r="543" spans="1:4" ht="63" customHeight="1" x14ac:dyDescent="0.25">
      <c r="A543" s="39" t="s">
        <v>2294</v>
      </c>
      <c r="B543" s="39" t="s">
        <v>4487</v>
      </c>
      <c r="C543" s="40" t="s">
        <v>352</v>
      </c>
      <c r="D543" s="41" t="s">
        <v>3163</v>
      </c>
    </row>
    <row r="544" spans="1:4" ht="31.5" customHeight="1" x14ac:dyDescent="0.25">
      <c r="A544" s="39" t="s">
        <v>2300</v>
      </c>
      <c r="B544" s="39" t="s">
        <v>4488</v>
      </c>
      <c r="C544" s="40" t="s">
        <v>330</v>
      </c>
      <c r="D544" s="41" t="s">
        <v>3164</v>
      </c>
    </row>
    <row r="545" spans="1:4" ht="47.25" customHeight="1" x14ac:dyDescent="0.25">
      <c r="A545" s="39" t="s">
        <v>2305</v>
      </c>
      <c r="B545" s="39" t="s">
        <v>4489</v>
      </c>
      <c r="C545" s="40" t="s">
        <v>814</v>
      </c>
      <c r="D545" s="41" t="s">
        <v>3165</v>
      </c>
    </row>
    <row r="546" spans="1:4" ht="47.25" customHeight="1" x14ac:dyDescent="0.25">
      <c r="A546" s="39" t="s">
        <v>2310</v>
      </c>
      <c r="B546" s="39" t="s">
        <v>4490</v>
      </c>
      <c r="C546" s="40" t="s">
        <v>1530</v>
      </c>
      <c r="D546" s="41" t="s">
        <v>3166</v>
      </c>
    </row>
    <row r="547" spans="1:4" ht="47.25" customHeight="1" x14ac:dyDescent="0.25">
      <c r="A547" s="39" t="s">
        <v>2315</v>
      </c>
      <c r="B547" s="39" t="s">
        <v>4491</v>
      </c>
      <c r="C547" s="40" t="s">
        <v>2088</v>
      </c>
      <c r="D547" s="41" t="s">
        <v>3167</v>
      </c>
    </row>
    <row r="548" spans="1:4" ht="47.25" customHeight="1" x14ac:dyDescent="0.25">
      <c r="A548" s="39" t="s">
        <v>2318</v>
      </c>
      <c r="B548" s="39" t="s">
        <v>4492</v>
      </c>
      <c r="C548" s="40" t="s">
        <v>4157</v>
      </c>
      <c r="D548" s="41" t="s">
        <v>3168</v>
      </c>
    </row>
    <row r="549" spans="1:4" ht="47.25" customHeight="1" x14ac:dyDescent="0.25">
      <c r="A549" s="39" t="s">
        <v>2322</v>
      </c>
      <c r="B549" s="39" t="s">
        <v>4493</v>
      </c>
      <c r="C549" s="40" t="s">
        <v>4494</v>
      </c>
      <c r="D549" s="41" t="s">
        <v>3169</v>
      </c>
    </row>
    <row r="550" spans="1:4" ht="63" customHeight="1" x14ac:dyDescent="0.25">
      <c r="A550" s="39" t="s">
        <v>2327</v>
      </c>
      <c r="B550" s="39" t="s">
        <v>4495</v>
      </c>
      <c r="C550" s="40" t="s">
        <v>517</v>
      </c>
      <c r="D550" s="41" t="s">
        <v>3170</v>
      </c>
    </row>
    <row r="551" spans="1:4" ht="78.75" customHeight="1" x14ac:dyDescent="0.25">
      <c r="A551" s="39" t="s">
        <v>2331</v>
      </c>
      <c r="B551" s="39" t="s">
        <v>4496</v>
      </c>
      <c r="C551" s="40" t="s">
        <v>2066</v>
      </c>
      <c r="D551" s="41" t="s">
        <v>3171</v>
      </c>
    </row>
    <row r="552" spans="1:4" ht="63" customHeight="1" x14ac:dyDescent="0.25">
      <c r="A552" s="39" t="s">
        <v>2335</v>
      </c>
      <c r="B552" s="39" t="s">
        <v>4497</v>
      </c>
      <c r="C552" s="40" t="s">
        <v>4494</v>
      </c>
      <c r="D552" s="41" t="s">
        <v>3172</v>
      </c>
    </row>
    <row r="553" spans="1:4" ht="47.25" customHeight="1" x14ac:dyDescent="0.25">
      <c r="A553" s="39" t="s">
        <v>2340</v>
      </c>
      <c r="B553" s="39" t="s">
        <v>4498</v>
      </c>
      <c r="C553" s="40" t="s">
        <v>4241</v>
      </c>
      <c r="D553" s="41" t="s">
        <v>3069</v>
      </c>
    </row>
    <row r="554" spans="1:4" ht="47.25" customHeight="1" x14ac:dyDescent="0.25">
      <c r="A554" s="39" t="s">
        <v>2345</v>
      </c>
      <c r="B554" s="39" t="s">
        <v>4499</v>
      </c>
      <c r="C554" s="40" t="s">
        <v>386</v>
      </c>
      <c r="D554" s="41" t="s">
        <v>3173</v>
      </c>
    </row>
    <row r="555" spans="1:4" ht="63" customHeight="1" x14ac:dyDescent="0.25">
      <c r="A555" s="39" t="s">
        <v>2350</v>
      </c>
      <c r="B555" s="39" t="s">
        <v>4500</v>
      </c>
      <c r="C555" s="40" t="s">
        <v>4501</v>
      </c>
      <c r="D555" s="41" t="s">
        <v>3174</v>
      </c>
    </row>
    <row r="556" spans="1:4" ht="63" customHeight="1" x14ac:dyDescent="0.25">
      <c r="A556" s="39" t="s">
        <v>2354</v>
      </c>
      <c r="B556" s="39" t="s">
        <v>4502</v>
      </c>
      <c r="C556" s="40" t="s">
        <v>4483</v>
      </c>
      <c r="D556" s="41" t="s">
        <v>3175</v>
      </c>
    </row>
    <row r="557" spans="1:4" ht="63" customHeight="1" x14ac:dyDescent="0.25">
      <c r="A557" s="39" t="s">
        <v>2357</v>
      </c>
      <c r="B557" s="39" t="s">
        <v>4503</v>
      </c>
      <c r="C557" s="40" t="s">
        <v>1686</v>
      </c>
      <c r="D557" s="41" t="s">
        <v>3176</v>
      </c>
    </row>
    <row r="558" spans="1:4" ht="78.75" customHeight="1" x14ac:dyDescent="0.25">
      <c r="A558" s="39" t="s">
        <v>2362</v>
      </c>
      <c r="B558" s="39" t="s">
        <v>4504</v>
      </c>
      <c r="C558" s="40" t="s">
        <v>837</v>
      </c>
      <c r="D558" s="41" t="s">
        <v>3177</v>
      </c>
    </row>
    <row r="559" spans="1:4" ht="31.5" customHeight="1" x14ac:dyDescent="0.25">
      <c r="A559" s="39" t="s">
        <v>2365</v>
      </c>
      <c r="B559" s="39" t="s">
        <v>4505</v>
      </c>
      <c r="C559" s="40" t="s">
        <v>4506</v>
      </c>
      <c r="D559" s="41" t="s">
        <v>3178</v>
      </c>
    </row>
    <row r="560" spans="1:4" ht="47.25" customHeight="1" x14ac:dyDescent="0.25">
      <c r="A560" s="39" t="s">
        <v>2369</v>
      </c>
      <c r="B560" s="39" t="s">
        <v>4507</v>
      </c>
      <c r="C560" s="40" t="s">
        <v>386</v>
      </c>
      <c r="D560" s="41" t="s">
        <v>3179</v>
      </c>
    </row>
    <row r="561" spans="1:4" ht="31.5" customHeight="1" x14ac:dyDescent="0.25">
      <c r="A561" s="39" t="s">
        <v>2374</v>
      </c>
      <c r="B561" s="39" t="s">
        <v>4508</v>
      </c>
      <c r="C561" s="40" t="s">
        <v>1348</v>
      </c>
      <c r="D561" s="41" t="s">
        <v>3180</v>
      </c>
    </row>
    <row r="562" spans="1:4" ht="47.25" customHeight="1" x14ac:dyDescent="0.25">
      <c r="A562" s="39" t="s">
        <v>2379</v>
      </c>
      <c r="B562" s="39" t="s">
        <v>4509</v>
      </c>
      <c r="C562" s="40" t="s">
        <v>391</v>
      </c>
      <c r="D562" s="41" t="s">
        <v>3181</v>
      </c>
    </row>
    <row r="563" spans="1:4" ht="31.5" customHeight="1" x14ac:dyDescent="0.25">
      <c r="A563" s="39" t="s">
        <v>2383</v>
      </c>
      <c r="B563" s="39" t="s">
        <v>4510</v>
      </c>
      <c r="C563" s="40" t="s">
        <v>4511</v>
      </c>
      <c r="D563" s="41" t="s">
        <v>3182</v>
      </c>
    </row>
    <row r="564" spans="1:4" ht="31.5" customHeight="1" x14ac:dyDescent="0.25">
      <c r="A564" s="39" t="s">
        <v>2387</v>
      </c>
      <c r="B564" s="39" t="s">
        <v>4512</v>
      </c>
      <c r="C564" s="40" t="s">
        <v>1686</v>
      </c>
      <c r="D564" s="41" t="s">
        <v>3183</v>
      </c>
    </row>
    <row r="565" spans="1:4" ht="31.5" customHeight="1" x14ac:dyDescent="0.25">
      <c r="A565" s="39" t="s">
        <v>2391</v>
      </c>
      <c r="B565" s="39" t="s">
        <v>4513</v>
      </c>
      <c r="C565" s="40" t="s">
        <v>397</v>
      </c>
      <c r="D565" s="41" t="s">
        <v>3184</v>
      </c>
    </row>
    <row r="566" spans="1:4" ht="31.5" customHeight="1" x14ac:dyDescent="0.25">
      <c r="A566" s="39" t="s">
        <v>2395</v>
      </c>
      <c r="B566" s="39" t="s">
        <v>4514</v>
      </c>
      <c r="C566" s="40" t="s">
        <v>4515</v>
      </c>
      <c r="D566" s="41" t="s">
        <v>3185</v>
      </c>
    </row>
    <row r="567" spans="1:4" ht="47.25" customHeight="1" x14ac:dyDescent="0.25">
      <c r="A567" s="39" t="s">
        <v>2400</v>
      </c>
      <c r="B567" s="39" t="s">
        <v>4516</v>
      </c>
      <c r="C567" s="40" t="s">
        <v>588</v>
      </c>
      <c r="D567" s="41" t="s">
        <v>3186</v>
      </c>
    </row>
    <row r="568" spans="1:4" ht="31.5" customHeight="1" x14ac:dyDescent="0.25">
      <c r="A568" s="39" t="s">
        <v>2404</v>
      </c>
      <c r="B568" s="39" t="s">
        <v>4517</v>
      </c>
      <c r="C568" s="40" t="s">
        <v>1348</v>
      </c>
      <c r="D568" s="41" t="s">
        <v>3187</v>
      </c>
    </row>
    <row r="569" spans="1:4" ht="31.5" customHeight="1" x14ac:dyDescent="0.25">
      <c r="A569" s="39" t="s">
        <v>2408</v>
      </c>
      <c r="B569" s="39" t="s">
        <v>4518</v>
      </c>
      <c r="C569" s="40" t="s">
        <v>4519</v>
      </c>
      <c r="D569" s="41" t="s">
        <v>3188</v>
      </c>
    </row>
    <row r="570" spans="1:4" ht="47.25" customHeight="1" x14ac:dyDescent="0.25">
      <c r="A570" s="39" t="s">
        <v>2411</v>
      </c>
      <c r="B570" s="39" t="s">
        <v>4520</v>
      </c>
      <c r="C570" s="40" t="s">
        <v>4426</v>
      </c>
      <c r="D570" s="41" t="s">
        <v>3189</v>
      </c>
    </row>
    <row r="571" spans="1:4" ht="47.25" customHeight="1" x14ac:dyDescent="0.25">
      <c r="A571" s="39" t="s">
        <v>2415</v>
      </c>
      <c r="B571" s="39" t="s">
        <v>4521</v>
      </c>
      <c r="C571" s="40" t="s">
        <v>1356</v>
      </c>
      <c r="D571" s="41" t="s">
        <v>3190</v>
      </c>
    </row>
    <row r="572" spans="1:4" ht="31.5" customHeight="1" x14ac:dyDescent="0.25">
      <c r="A572" s="39" t="s">
        <v>2419</v>
      </c>
      <c r="B572" s="39" t="s">
        <v>4522</v>
      </c>
      <c r="C572" s="40" t="s">
        <v>4515</v>
      </c>
      <c r="D572" s="41" t="s">
        <v>3191</v>
      </c>
    </row>
    <row r="573" spans="1:4" ht="63" customHeight="1" x14ac:dyDescent="0.25">
      <c r="A573" s="39" t="s">
        <v>2423</v>
      </c>
      <c r="B573" s="39" t="s">
        <v>4523</v>
      </c>
      <c r="C573" s="40" t="s">
        <v>4479</v>
      </c>
      <c r="D573" s="41" t="s">
        <v>3192</v>
      </c>
    </row>
    <row r="574" spans="1:4" ht="47.25" customHeight="1" x14ac:dyDescent="0.25">
      <c r="A574" s="39" t="s">
        <v>2427</v>
      </c>
      <c r="B574" s="39" t="s">
        <v>4524</v>
      </c>
      <c r="C574" s="40" t="s">
        <v>407</v>
      </c>
      <c r="D574" s="41" t="s">
        <v>3193</v>
      </c>
    </row>
    <row r="575" spans="1:4" ht="47.25" customHeight="1" x14ac:dyDescent="0.25">
      <c r="A575" s="39" t="s">
        <v>2430</v>
      </c>
      <c r="B575" s="39" t="s">
        <v>4525</v>
      </c>
      <c r="C575" s="40" t="s">
        <v>3969</v>
      </c>
      <c r="D575" s="41" t="s">
        <v>3194</v>
      </c>
    </row>
    <row r="576" spans="1:4" ht="63" customHeight="1" x14ac:dyDescent="0.25">
      <c r="A576" s="39" t="s">
        <v>2435</v>
      </c>
      <c r="B576" s="39" t="s">
        <v>4526</v>
      </c>
      <c r="C576" s="40" t="s">
        <v>772</v>
      </c>
      <c r="D576" s="41" t="s">
        <v>3195</v>
      </c>
    </row>
    <row r="577" spans="1:4" ht="94.5" customHeight="1" x14ac:dyDescent="0.25">
      <c r="A577" s="39" t="s">
        <v>2439</v>
      </c>
      <c r="B577" s="39" t="s">
        <v>4527</v>
      </c>
      <c r="C577" s="40" t="s">
        <v>352</v>
      </c>
      <c r="D577" s="41" t="s">
        <v>3196</v>
      </c>
    </row>
    <row r="578" spans="1:4" ht="110.25" customHeight="1" x14ac:dyDescent="0.25">
      <c r="A578" s="39" t="s">
        <v>2444</v>
      </c>
      <c r="B578" s="39" t="s">
        <v>4528</v>
      </c>
      <c r="C578" s="40" t="s">
        <v>823</v>
      </c>
      <c r="D578" s="41" t="s">
        <v>3197</v>
      </c>
    </row>
    <row r="579" spans="1:4" ht="47.25" customHeight="1" x14ac:dyDescent="0.25">
      <c r="A579" s="39" t="s">
        <v>2449</v>
      </c>
      <c r="B579" s="39" t="s">
        <v>4529</v>
      </c>
      <c r="C579" s="40" t="s">
        <v>3831</v>
      </c>
      <c r="D579" s="41" t="s">
        <v>3198</v>
      </c>
    </row>
    <row r="580" spans="1:4" ht="63" customHeight="1" x14ac:dyDescent="0.25">
      <c r="A580" s="39" t="s">
        <v>2453</v>
      </c>
      <c r="B580" s="39" t="s">
        <v>4530</v>
      </c>
      <c r="C580" s="40" t="s">
        <v>4531</v>
      </c>
      <c r="D580" s="41" t="s">
        <v>3199</v>
      </c>
    </row>
    <row r="581" spans="1:4" ht="31.5" customHeight="1" x14ac:dyDescent="0.25">
      <c r="A581" s="39" t="s">
        <v>2459</v>
      </c>
      <c r="B581" s="39" t="s">
        <v>4532</v>
      </c>
      <c r="C581" s="40" t="s">
        <v>1356</v>
      </c>
      <c r="D581" s="41" t="s">
        <v>3200</v>
      </c>
    </row>
    <row r="582" spans="1:4" ht="47.25" customHeight="1" x14ac:dyDescent="0.25">
      <c r="A582" s="39" t="s">
        <v>2463</v>
      </c>
      <c r="B582" s="39" t="s">
        <v>4533</v>
      </c>
      <c r="C582" s="40" t="s">
        <v>852</v>
      </c>
      <c r="D582" s="41" t="s">
        <v>3201</v>
      </c>
    </row>
    <row r="583" spans="1:4" ht="47.25" customHeight="1" x14ac:dyDescent="0.25">
      <c r="A583" s="39" t="s">
        <v>2467</v>
      </c>
      <c r="B583" s="39" t="s">
        <v>4534</v>
      </c>
      <c r="C583" s="40" t="s">
        <v>2538</v>
      </c>
      <c r="D583" s="41" t="s">
        <v>3202</v>
      </c>
    </row>
    <row r="584" spans="1:4" ht="47.25" customHeight="1" x14ac:dyDescent="0.25">
      <c r="A584" s="39" t="s">
        <v>2472</v>
      </c>
      <c r="B584" s="39" t="s">
        <v>4535</v>
      </c>
      <c r="C584" s="40" t="s">
        <v>4460</v>
      </c>
      <c r="D584" s="41" t="s">
        <v>3203</v>
      </c>
    </row>
    <row r="585" spans="1:4" ht="47.25" customHeight="1" x14ac:dyDescent="0.25">
      <c r="A585" s="39" t="s">
        <v>2475</v>
      </c>
      <c r="B585" s="39" t="s">
        <v>4536</v>
      </c>
      <c r="C585" s="40" t="s">
        <v>4537</v>
      </c>
      <c r="D585" s="41" t="s">
        <v>3204</v>
      </c>
    </row>
    <row r="586" spans="1:4" ht="63" customHeight="1" x14ac:dyDescent="0.25">
      <c r="A586" s="39" t="s">
        <v>2478</v>
      </c>
      <c r="B586" s="39" t="s">
        <v>4538</v>
      </c>
      <c r="C586" s="40" t="s">
        <v>1115</v>
      </c>
      <c r="D586" s="41" t="s">
        <v>3205</v>
      </c>
    </row>
    <row r="587" spans="1:4" ht="31.5" customHeight="1" x14ac:dyDescent="0.25">
      <c r="A587" s="39" t="s">
        <v>2483</v>
      </c>
      <c r="B587" s="39" t="s">
        <v>4539</v>
      </c>
      <c r="C587" s="40" t="s">
        <v>4540</v>
      </c>
      <c r="D587" s="41" t="s">
        <v>3206</v>
      </c>
    </row>
    <row r="588" spans="1:4" ht="63" customHeight="1" x14ac:dyDescent="0.25">
      <c r="A588" s="39" t="s">
        <v>2487</v>
      </c>
      <c r="B588" s="39" t="s">
        <v>4541</v>
      </c>
      <c r="C588" s="40" t="s">
        <v>4091</v>
      </c>
      <c r="D588" s="41" t="s">
        <v>3207</v>
      </c>
    </row>
    <row r="589" spans="1:4" ht="47.25" customHeight="1" x14ac:dyDescent="0.25">
      <c r="A589" s="39" t="s">
        <v>2492</v>
      </c>
      <c r="B589" s="39" t="s">
        <v>4542</v>
      </c>
      <c r="C589" s="40" t="s">
        <v>4543</v>
      </c>
      <c r="D589" s="41" t="s">
        <v>3208</v>
      </c>
    </row>
    <row r="590" spans="1:4" ht="31.5" customHeight="1" x14ac:dyDescent="0.25">
      <c r="A590" s="39" t="s">
        <v>2496</v>
      </c>
      <c r="B590" s="39" t="s">
        <v>4544</v>
      </c>
      <c r="C590" s="40" t="s">
        <v>606</v>
      </c>
      <c r="D590" s="41" t="s">
        <v>3209</v>
      </c>
    </row>
    <row r="591" spans="1:4" ht="47.25" customHeight="1" x14ac:dyDescent="0.25">
      <c r="A591" s="39" t="s">
        <v>2502</v>
      </c>
      <c r="B591" s="39" t="s">
        <v>4545</v>
      </c>
      <c r="C591" s="40" t="s">
        <v>4546</v>
      </c>
      <c r="D591" s="41" t="s">
        <v>3210</v>
      </c>
    </row>
    <row r="592" spans="1:4" ht="47.25" customHeight="1" x14ac:dyDescent="0.25">
      <c r="A592" s="39" t="s">
        <v>2505</v>
      </c>
      <c r="B592" s="39" t="s">
        <v>4547</v>
      </c>
      <c r="C592" s="40" t="s">
        <v>4077</v>
      </c>
      <c r="D592" s="41" t="s">
        <v>3211</v>
      </c>
    </row>
    <row r="593" spans="1:4" ht="47.25" customHeight="1" x14ac:dyDescent="0.25">
      <c r="A593" s="39" t="s">
        <v>2509</v>
      </c>
      <c r="B593" s="39" t="s">
        <v>4548</v>
      </c>
      <c r="C593" s="40" t="s">
        <v>4356</v>
      </c>
      <c r="D593" s="41" t="s">
        <v>3212</v>
      </c>
    </row>
    <row r="594" spans="1:4" ht="47.25" customHeight="1" x14ac:dyDescent="0.25">
      <c r="A594" s="39" t="s">
        <v>2513</v>
      </c>
      <c r="B594" s="39" t="s">
        <v>4549</v>
      </c>
      <c r="C594" s="40" t="s">
        <v>780</v>
      </c>
      <c r="D594" s="41" t="s">
        <v>3213</v>
      </c>
    </row>
    <row r="595" spans="1:4" ht="31.5" customHeight="1" x14ac:dyDescent="0.25">
      <c r="A595" s="39" t="s">
        <v>2517</v>
      </c>
      <c r="B595" s="39" t="s">
        <v>4550</v>
      </c>
      <c r="C595" s="40" t="s">
        <v>4551</v>
      </c>
      <c r="D595" s="41" t="s">
        <v>3214</v>
      </c>
    </row>
    <row r="596" spans="1:4" ht="63" customHeight="1" x14ac:dyDescent="0.25">
      <c r="A596" s="39" t="s">
        <v>2521</v>
      </c>
      <c r="B596" s="39" t="s">
        <v>4552</v>
      </c>
      <c r="C596" s="40" t="s">
        <v>952</v>
      </c>
      <c r="D596" s="41" t="s">
        <v>3215</v>
      </c>
    </row>
    <row r="597" spans="1:4" ht="31.5" customHeight="1" x14ac:dyDescent="0.25">
      <c r="A597" s="39" t="s">
        <v>2525</v>
      </c>
      <c r="B597" s="39" t="s">
        <v>4553</v>
      </c>
      <c r="C597" s="40" t="s">
        <v>4554</v>
      </c>
      <c r="D597" s="41" t="s">
        <v>3216</v>
      </c>
    </row>
    <row r="598" spans="1:4" ht="63" customHeight="1" x14ac:dyDescent="0.25">
      <c r="A598" s="39" t="s">
        <v>2530</v>
      </c>
      <c r="B598" s="39" t="s">
        <v>4555</v>
      </c>
      <c r="C598" s="40" t="s">
        <v>4554</v>
      </c>
      <c r="D598" s="41" t="s">
        <v>3217</v>
      </c>
    </row>
    <row r="599" spans="1:4" ht="31.5" customHeight="1" x14ac:dyDescent="0.25">
      <c r="A599" s="39" t="s">
        <v>2536</v>
      </c>
      <c r="B599" s="39" t="s">
        <v>4556</v>
      </c>
      <c r="C599" s="40" t="s">
        <v>547</v>
      </c>
      <c r="D599" s="41" t="s">
        <v>3218</v>
      </c>
    </row>
    <row r="600" spans="1:4" ht="31.5" customHeight="1" x14ac:dyDescent="0.25">
      <c r="A600" s="39" t="s">
        <v>2541</v>
      </c>
      <c r="B600" s="39" t="s">
        <v>4557</v>
      </c>
      <c r="C600" s="40" t="s">
        <v>547</v>
      </c>
      <c r="D600" s="41" t="s">
        <v>3219</v>
      </c>
    </row>
    <row r="601" spans="1:4" ht="47.25" customHeight="1" x14ac:dyDescent="0.25">
      <c r="A601" s="39" t="s">
        <v>2546</v>
      </c>
      <c r="B601" s="39" t="s">
        <v>4558</v>
      </c>
      <c r="C601" s="40" t="s">
        <v>1622</v>
      </c>
      <c r="D601" s="41" t="s">
        <v>3220</v>
      </c>
    </row>
    <row r="602" spans="1:4" ht="31.5" customHeight="1" x14ac:dyDescent="0.25">
      <c r="A602" s="39" t="s">
        <v>2550</v>
      </c>
      <c r="B602" s="39" t="s">
        <v>4559</v>
      </c>
      <c r="C602" s="40" t="s">
        <v>837</v>
      </c>
      <c r="D602" s="41" t="s">
        <v>3221</v>
      </c>
    </row>
    <row r="603" spans="1:4" ht="31.5" customHeight="1" x14ac:dyDescent="0.25">
      <c r="A603" s="39" t="s">
        <v>2555</v>
      </c>
      <c r="B603" s="39" t="s">
        <v>4560</v>
      </c>
      <c r="C603" s="40" t="s">
        <v>823</v>
      </c>
      <c r="D603" s="41" t="s">
        <v>3222</v>
      </c>
    </row>
    <row r="604" spans="1:4" ht="31.5" customHeight="1" x14ac:dyDescent="0.25">
      <c r="A604" s="39" t="s">
        <v>2559</v>
      </c>
      <c r="B604" s="39" t="s">
        <v>4561</v>
      </c>
      <c r="C604" s="40" t="s">
        <v>303</v>
      </c>
      <c r="D604" s="41" t="s">
        <v>3223</v>
      </c>
    </row>
    <row r="605" spans="1:4" ht="31.5" customHeight="1" x14ac:dyDescent="0.25">
      <c r="A605" s="39" t="s">
        <v>2563</v>
      </c>
      <c r="B605" s="39" t="s">
        <v>4562</v>
      </c>
      <c r="C605" s="40" t="s">
        <v>606</v>
      </c>
      <c r="D605" s="41" t="s">
        <v>3224</v>
      </c>
    </row>
    <row r="606" spans="1:4" ht="31.5" customHeight="1" x14ac:dyDescent="0.25">
      <c r="A606" s="39" t="s">
        <v>2568</v>
      </c>
      <c r="B606" s="39" t="s">
        <v>4563</v>
      </c>
      <c r="C606" s="40" t="s">
        <v>606</v>
      </c>
      <c r="D606" s="41" t="s">
        <v>3225</v>
      </c>
    </row>
    <row r="607" spans="1:4" ht="47.25" customHeight="1" x14ac:dyDescent="0.25">
      <c r="A607" s="39" t="s">
        <v>2572</v>
      </c>
      <c r="B607" s="39" t="s">
        <v>4564</v>
      </c>
      <c r="C607" s="40" t="s">
        <v>4565</v>
      </c>
      <c r="D607" s="41" t="s">
        <v>3226</v>
      </c>
    </row>
    <row r="608" spans="1:4" ht="31.5" customHeight="1" x14ac:dyDescent="0.25">
      <c r="A608" s="39" t="s">
        <v>2576</v>
      </c>
      <c r="B608" s="39" t="s">
        <v>4566</v>
      </c>
      <c r="C608" s="40" t="s">
        <v>291</v>
      </c>
      <c r="D608" s="41" t="s">
        <v>3227</v>
      </c>
    </row>
    <row r="609" spans="1:4" ht="47.25" customHeight="1" x14ac:dyDescent="0.25">
      <c r="A609" s="39" t="s">
        <v>2581</v>
      </c>
      <c r="B609" s="39" t="s">
        <v>4567</v>
      </c>
      <c r="C609" s="40" t="s">
        <v>4460</v>
      </c>
      <c r="D609" s="41" t="s">
        <v>3228</v>
      </c>
    </row>
    <row r="610" spans="1:4" ht="31.5" customHeight="1" x14ac:dyDescent="0.25">
      <c r="A610" s="39" t="s">
        <v>2583</v>
      </c>
      <c r="B610" s="39" t="s">
        <v>4568</v>
      </c>
      <c r="C610" s="40" t="s">
        <v>2432</v>
      </c>
      <c r="D610" s="41" t="s">
        <v>3229</v>
      </c>
    </row>
    <row r="611" spans="1:4" ht="47.25" customHeight="1" x14ac:dyDescent="0.25">
      <c r="A611" s="39" t="s">
        <v>2585</v>
      </c>
      <c r="B611" s="39" t="s">
        <v>4569</v>
      </c>
      <c r="C611" s="40" t="s">
        <v>1091</v>
      </c>
      <c r="D611" s="41" t="s">
        <v>3230</v>
      </c>
    </row>
    <row r="612" spans="1:4" ht="47.25" customHeight="1" x14ac:dyDescent="0.25">
      <c r="A612" s="39" t="s">
        <v>2587</v>
      </c>
      <c r="B612" s="39" t="s">
        <v>4570</v>
      </c>
      <c r="C612" s="40" t="s">
        <v>4571</v>
      </c>
      <c r="D612" s="41" t="s">
        <v>3231</v>
      </c>
    </row>
    <row r="613" spans="1:4" ht="47.25" customHeight="1" x14ac:dyDescent="0.25">
      <c r="A613" s="39" t="s">
        <v>2589</v>
      </c>
      <c r="B613" s="39" t="s">
        <v>4572</v>
      </c>
      <c r="C613" s="40" t="s">
        <v>280</v>
      </c>
      <c r="D613" s="41" t="s">
        <v>3232</v>
      </c>
    </row>
    <row r="614" spans="1:4" ht="31.5" customHeight="1" x14ac:dyDescent="0.25">
      <c r="A614" s="39" t="s">
        <v>2591</v>
      </c>
      <c r="B614" s="39" t="s">
        <v>4573</v>
      </c>
      <c r="C614" s="40" t="s">
        <v>4574</v>
      </c>
      <c r="D614" s="41" t="s">
        <v>3233</v>
      </c>
    </row>
    <row r="615" spans="1:4" ht="31.5" customHeight="1" x14ac:dyDescent="0.25">
      <c r="A615" s="39" t="s">
        <v>2593</v>
      </c>
      <c r="B615" s="39" t="s">
        <v>4575</v>
      </c>
      <c r="C615" s="40" t="s">
        <v>4576</v>
      </c>
      <c r="D615" s="41" t="s">
        <v>3234</v>
      </c>
    </row>
    <row r="616" spans="1:4" ht="47.25" customHeight="1" x14ac:dyDescent="0.25">
      <c r="A616" s="39" t="s">
        <v>2595</v>
      </c>
      <c r="B616" s="39" t="s">
        <v>4577</v>
      </c>
      <c r="C616" s="40" t="s">
        <v>837</v>
      </c>
      <c r="D616" s="41" t="s">
        <v>3235</v>
      </c>
    </row>
    <row r="617" spans="1:4" ht="31.5" customHeight="1" x14ac:dyDescent="0.25">
      <c r="A617" s="39" t="s">
        <v>2597</v>
      </c>
      <c r="B617" s="39" t="s">
        <v>4578</v>
      </c>
      <c r="C617" s="40" t="s">
        <v>4579</v>
      </c>
      <c r="D617" s="41" t="s">
        <v>3236</v>
      </c>
    </row>
    <row r="618" spans="1:4" ht="31.5" customHeight="1" x14ac:dyDescent="0.25">
      <c r="A618" s="39" t="s">
        <v>2599</v>
      </c>
      <c r="B618" s="39" t="s">
        <v>4580</v>
      </c>
      <c r="C618" s="40" t="s">
        <v>1256</v>
      </c>
      <c r="D618" s="41" t="s">
        <v>3237</v>
      </c>
    </row>
    <row r="619" spans="1:4" ht="78.75" customHeight="1" x14ac:dyDescent="0.25">
      <c r="A619" s="39" t="s">
        <v>2601</v>
      </c>
      <c r="B619" s="39" t="s">
        <v>4581</v>
      </c>
      <c r="C619" s="40" t="s">
        <v>709</v>
      </c>
      <c r="D619" s="41" t="s">
        <v>3238</v>
      </c>
    </row>
    <row r="620" spans="1:4" ht="47.25" customHeight="1" x14ac:dyDescent="0.25">
      <c r="A620" s="39" t="s">
        <v>2603</v>
      </c>
      <c r="B620" s="39" t="s">
        <v>4582</v>
      </c>
      <c r="C620" s="40" t="s">
        <v>4182</v>
      </c>
      <c r="D620" s="41" t="s">
        <v>3239</v>
      </c>
    </row>
    <row r="621" spans="1:4" ht="47.25" customHeight="1" x14ac:dyDescent="0.25">
      <c r="A621" s="39" t="s">
        <v>2605</v>
      </c>
      <c r="B621" s="39" t="s">
        <v>4583</v>
      </c>
      <c r="C621" s="40" t="s">
        <v>588</v>
      </c>
      <c r="D621" s="41" t="s">
        <v>3240</v>
      </c>
    </row>
    <row r="622" spans="1:4" ht="31.5" customHeight="1" x14ac:dyDescent="0.25">
      <c r="A622" s="39" t="s">
        <v>2607</v>
      </c>
      <c r="B622" s="39" t="s">
        <v>4584</v>
      </c>
      <c r="C622" s="40" t="s">
        <v>233</v>
      </c>
      <c r="D622" s="41" t="s">
        <v>3241</v>
      </c>
    </row>
    <row r="623" spans="1:4" ht="63" customHeight="1" x14ac:dyDescent="0.25">
      <c r="A623" s="39" t="s">
        <v>2609</v>
      </c>
      <c r="B623" s="39" t="s">
        <v>4585</v>
      </c>
      <c r="C623" s="51" t="s">
        <v>4586</v>
      </c>
      <c r="D623" s="41" t="s">
        <v>3242</v>
      </c>
    </row>
    <row r="624" spans="1:4" ht="47.25" customHeight="1" x14ac:dyDescent="0.25">
      <c r="A624" s="39" t="s">
        <v>2611</v>
      </c>
      <c r="B624" s="39" t="s">
        <v>4587</v>
      </c>
      <c r="C624" s="40" t="s">
        <v>3806</v>
      </c>
      <c r="D624" s="41" t="s">
        <v>3243</v>
      </c>
    </row>
    <row r="625" spans="1:4" ht="47.25" customHeight="1" x14ac:dyDescent="0.25">
      <c r="A625" s="39" t="s">
        <v>2613</v>
      </c>
      <c r="B625" s="39" t="s">
        <v>4588</v>
      </c>
      <c r="C625" s="40" t="s">
        <v>1365</v>
      </c>
      <c r="D625" s="41" t="s">
        <v>3244</v>
      </c>
    </row>
    <row r="626" spans="1:4" ht="47.25" customHeight="1" x14ac:dyDescent="0.25">
      <c r="A626" s="39" t="s">
        <v>2615</v>
      </c>
      <c r="B626" s="39" t="s">
        <v>4589</v>
      </c>
      <c r="C626" s="40" t="s">
        <v>4590</v>
      </c>
      <c r="D626" s="41" t="s">
        <v>3245</v>
      </c>
    </row>
    <row r="627" spans="1:4" ht="31.5" customHeight="1" x14ac:dyDescent="0.25">
      <c r="A627" s="39" t="s">
        <v>2617</v>
      </c>
      <c r="B627" s="39" t="s">
        <v>4591</v>
      </c>
      <c r="C627" s="40" t="s">
        <v>397</v>
      </c>
      <c r="D627" s="41" t="s">
        <v>3246</v>
      </c>
    </row>
    <row r="628" spans="1:4" ht="31.5" customHeight="1" x14ac:dyDescent="0.25">
      <c r="A628" s="39" t="s">
        <v>2619</v>
      </c>
      <c r="B628" s="39" t="s">
        <v>4592</v>
      </c>
      <c r="C628" s="40" t="s">
        <v>4077</v>
      </c>
      <c r="D628" s="41" t="s">
        <v>3247</v>
      </c>
    </row>
    <row r="629" spans="1:4" ht="47.25" customHeight="1" x14ac:dyDescent="0.25">
      <c r="A629" s="39" t="s">
        <v>4593</v>
      </c>
      <c r="B629" s="39" t="s">
        <v>4594</v>
      </c>
      <c r="C629" s="40" t="s">
        <v>4087</v>
      </c>
      <c r="D629" s="41" t="s">
        <v>3248</v>
      </c>
    </row>
    <row r="630" spans="1:4" ht="47.25" customHeight="1" x14ac:dyDescent="0.25">
      <c r="A630" s="39" t="s">
        <v>4595</v>
      </c>
      <c r="B630" s="39" t="s">
        <v>4596</v>
      </c>
      <c r="C630" s="40" t="s">
        <v>4597</v>
      </c>
      <c r="D630" s="41" t="s">
        <v>3249</v>
      </c>
    </row>
    <row r="631" spans="1:4" ht="63" customHeight="1" x14ac:dyDescent="0.25">
      <c r="A631" s="39" t="s">
        <v>4598</v>
      </c>
      <c r="B631" s="39" t="s">
        <v>4599</v>
      </c>
      <c r="C631" s="40" t="s">
        <v>4432</v>
      </c>
      <c r="D631" s="41" t="s">
        <v>3250</v>
      </c>
    </row>
    <row r="632" spans="1:4" ht="47.25" customHeight="1" x14ac:dyDescent="0.25">
      <c r="A632" s="39" t="s">
        <v>4600</v>
      </c>
      <c r="B632" s="39" t="s">
        <v>4601</v>
      </c>
      <c r="C632" s="40" t="s">
        <v>323</v>
      </c>
      <c r="D632" s="41" t="s">
        <v>3251</v>
      </c>
    </row>
    <row r="633" spans="1:4" ht="47.25" customHeight="1" x14ac:dyDescent="0.25">
      <c r="A633" s="39" t="s">
        <v>4602</v>
      </c>
      <c r="B633" s="39" t="s">
        <v>4603</v>
      </c>
      <c r="C633" s="40" t="s">
        <v>4376</v>
      </c>
      <c r="D633" s="41" t="s">
        <v>3252</v>
      </c>
    </row>
    <row r="634" spans="1:4" ht="31.5" customHeight="1" x14ac:dyDescent="0.25">
      <c r="A634" s="39" t="s">
        <v>4604</v>
      </c>
      <c r="B634" s="39" t="s">
        <v>4605</v>
      </c>
      <c r="C634" s="40" t="s">
        <v>4554</v>
      </c>
      <c r="D634" s="41" t="s">
        <v>3253</v>
      </c>
    </row>
    <row r="635" spans="1:4" ht="31.5" customHeight="1" x14ac:dyDescent="0.25">
      <c r="A635" s="39" t="s">
        <v>4606</v>
      </c>
      <c r="B635" s="39" t="s">
        <v>4607</v>
      </c>
      <c r="C635" s="40" t="s">
        <v>3957</v>
      </c>
      <c r="D635" s="41" t="s">
        <v>3254</v>
      </c>
    </row>
    <row r="636" spans="1:4" ht="31.5" customHeight="1" x14ac:dyDescent="0.25">
      <c r="A636" s="39" t="s">
        <v>4608</v>
      </c>
      <c r="B636" s="39" t="s">
        <v>4609</v>
      </c>
      <c r="C636" s="40" t="s">
        <v>3957</v>
      </c>
      <c r="D636" s="41" t="s">
        <v>3255</v>
      </c>
    </row>
    <row r="637" spans="1:4" ht="63" customHeight="1" x14ac:dyDescent="0.25">
      <c r="A637" s="39" t="s">
        <v>4610</v>
      </c>
      <c r="B637" s="39" t="s">
        <v>4611</v>
      </c>
      <c r="C637" s="40" t="s">
        <v>1560</v>
      </c>
      <c r="D637" s="41" t="s">
        <v>3256</v>
      </c>
    </row>
    <row r="638" spans="1:4" ht="31.5" customHeight="1" x14ac:dyDescent="0.25">
      <c r="A638" s="39" t="s">
        <v>4612</v>
      </c>
      <c r="B638" s="39" t="s">
        <v>4613</v>
      </c>
      <c r="C638" s="40" t="s">
        <v>291</v>
      </c>
      <c r="D638" s="41" t="s">
        <v>3257</v>
      </c>
    </row>
    <row r="639" spans="1:4" ht="47.25" customHeight="1" x14ac:dyDescent="0.25">
      <c r="A639" s="39" t="s">
        <v>4614</v>
      </c>
      <c r="B639" s="39" t="s">
        <v>4615</v>
      </c>
      <c r="C639" s="40" t="s">
        <v>4616</v>
      </c>
      <c r="D639" s="41" t="s">
        <v>3258</v>
      </c>
    </row>
    <row r="640" spans="1:4" ht="47.25" customHeight="1" x14ac:dyDescent="0.25">
      <c r="A640" s="39" t="s">
        <v>4617</v>
      </c>
      <c r="B640" s="39" t="s">
        <v>4618</v>
      </c>
      <c r="C640" s="40" t="s">
        <v>4174</v>
      </c>
      <c r="D640" s="41" t="s">
        <v>3259</v>
      </c>
    </row>
    <row r="641" spans="1:4" ht="47.25" customHeight="1" x14ac:dyDescent="0.25">
      <c r="A641" s="39" t="s">
        <v>4619</v>
      </c>
      <c r="B641" s="39" t="s">
        <v>4620</v>
      </c>
      <c r="C641" s="40" t="s">
        <v>4621</v>
      </c>
      <c r="D641" s="41" t="s">
        <v>3260</v>
      </c>
    </row>
    <row r="642" spans="1:4" ht="47.25" customHeight="1" x14ac:dyDescent="0.25">
      <c r="A642" s="39" t="s">
        <v>4622</v>
      </c>
      <c r="B642" s="39" t="s">
        <v>4623</v>
      </c>
      <c r="C642" s="40" t="s">
        <v>632</v>
      </c>
      <c r="D642" s="41" t="s">
        <v>3261</v>
      </c>
    </row>
    <row r="643" spans="1:4" ht="47.25" customHeight="1" x14ac:dyDescent="0.25">
      <c r="A643" s="39" t="s">
        <v>4624</v>
      </c>
      <c r="B643" s="39" t="s">
        <v>4625</v>
      </c>
      <c r="C643" s="40" t="s">
        <v>1225</v>
      </c>
      <c r="D643" s="41" t="s">
        <v>3262</v>
      </c>
    </row>
    <row r="644" spans="1:4" ht="63" customHeight="1" x14ac:dyDescent="0.25">
      <c r="A644" s="39" t="s">
        <v>4626</v>
      </c>
      <c r="B644" s="39" t="s">
        <v>4627</v>
      </c>
      <c r="C644" s="40" t="s">
        <v>4628</v>
      </c>
      <c r="D644" s="41" t="s">
        <v>3263</v>
      </c>
    </row>
    <row r="645" spans="1:4" ht="94.5" customHeight="1" x14ac:dyDescent="0.25">
      <c r="A645" s="39" t="s">
        <v>4629</v>
      </c>
      <c r="B645" s="39" t="s">
        <v>4630</v>
      </c>
      <c r="C645" s="40" t="s">
        <v>975</v>
      </c>
      <c r="D645" s="41" t="s">
        <v>3264</v>
      </c>
    </row>
    <row r="646" spans="1:4" ht="47.25" customHeight="1" x14ac:dyDescent="0.25">
      <c r="A646" s="39" t="s">
        <v>4631</v>
      </c>
      <c r="B646" s="39" t="s">
        <v>4632</v>
      </c>
      <c r="C646" s="40" t="s">
        <v>4633</v>
      </c>
      <c r="D646" s="41" t="s">
        <v>3265</v>
      </c>
    </row>
    <row r="647" spans="1:4" ht="63" customHeight="1" x14ac:dyDescent="0.25">
      <c r="A647" s="39" t="s">
        <v>4634</v>
      </c>
      <c r="B647" s="39" t="s">
        <v>4635</v>
      </c>
      <c r="C647" s="40" t="s">
        <v>4633</v>
      </c>
      <c r="D647" s="41" t="s">
        <v>3266</v>
      </c>
    </row>
    <row r="648" spans="1:4" x14ac:dyDescent="0.25">
      <c r="A648" s="39" t="s">
        <v>4636</v>
      </c>
      <c r="B648" s="39" t="s">
        <v>4637</v>
      </c>
      <c r="C648" s="40" t="s">
        <v>661</v>
      </c>
      <c r="D648" s="41" t="s">
        <v>3267</v>
      </c>
    </row>
    <row r="649" spans="1:4" ht="47.25" customHeight="1" x14ac:dyDescent="0.25">
      <c r="A649" s="39" t="s">
        <v>4638</v>
      </c>
      <c r="B649" s="39" t="s">
        <v>4639</v>
      </c>
      <c r="C649" s="40" t="s">
        <v>4554</v>
      </c>
      <c r="D649" s="41" t="s">
        <v>3268</v>
      </c>
    </row>
    <row r="650" spans="1:4" ht="47.25" customHeight="1" x14ac:dyDescent="0.25">
      <c r="A650" s="39" t="s">
        <v>4640</v>
      </c>
      <c r="B650" s="39" t="s">
        <v>4641</v>
      </c>
      <c r="C650" s="40" t="s">
        <v>3881</v>
      </c>
      <c r="D650" s="41" t="s">
        <v>3269</v>
      </c>
    </row>
    <row r="651" spans="1:4" ht="47.25" customHeight="1" x14ac:dyDescent="0.25">
      <c r="A651" s="39" t="s">
        <v>4642</v>
      </c>
      <c r="B651" s="39" t="s">
        <v>4643</v>
      </c>
      <c r="C651" s="40" t="s">
        <v>576</v>
      </c>
      <c r="D651" s="41" t="s">
        <v>3270</v>
      </c>
    </row>
    <row r="652" spans="1:4" ht="63" customHeight="1" x14ac:dyDescent="0.25">
      <c r="A652" s="39" t="s">
        <v>4644</v>
      </c>
      <c r="B652" s="39" t="s">
        <v>4645</v>
      </c>
      <c r="C652" s="40" t="s">
        <v>1225</v>
      </c>
      <c r="D652" s="41" t="s">
        <v>3271</v>
      </c>
    </row>
    <row r="653" spans="1:4" ht="63" customHeight="1" x14ac:dyDescent="0.25">
      <c r="A653" s="39" t="s">
        <v>4646</v>
      </c>
      <c r="B653" s="39" t="s">
        <v>4647</v>
      </c>
      <c r="C653" s="40" t="s">
        <v>1225</v>
      </c>
      <c r="D653" s="41" t="s">
        <v>3272</v>
      </c>
    </row>
    <row r="654" spans="1:4" ht="47.25" customHeight="1" x14ac:dyDescent="0.25">
      <c r="A654" s="39" t="s">
        <v>4648</v>
      </c>
      <c r="B654" s="39" t="s">
        <v>4649</v>
      </c>
      <c r="C654" s="40" t="s">
        <v>2066</v>
      </c>
      <c r="D654" s="41" t="s">
        <v>3273</v>
      </c>
    </row>
    <row r="655" spans="1:4" ht="47.25" customHeight="1" x14ac:dyDescent="0.25">
      <c r="A655" s="39" t="s">
        <v>4650</v>
      </c>
      <c r="B655" s="39" t="s">
        <v>4651</v>
      </c>
      <c r="C655" s="40" t="s">
        <v>2066</v>
      </c>
      <c r="D655" s="41" t="s">
        <v>3274</v>
      </c>
    </row>
    <row r="656" spans="1:4" ht="31.5" customHeight="1" x14ac:dyDescent="0.25">
      <c r="A656" s="39" t="s">
        <v>4652</v>
      </c>
      <c r="B656" s="39" t="s">
        <v>4653</v>
      </c>
      <c r="C656" s="40" t="s">
        <v>4654</v>
      </c>
      <c r="D656" s="41" t="s">
        <v>3275</v>
      </c>
    </row>
    <row r="657" spans="1:4" ht="47.25" customHeight="1" x14ac:dyDescent="0.25">
      <c r="A657" s="39" t="s">
        <v>4655</v>
      </c>
      <c r="B657" s="39" t="s">
        <v>4656</v>
      </c>
      <c r="C657" s="40" t="s">
        <v>632</v>
      </c>
      <c r="D657" s="41" t="s">
        <v>3276</v>
      </c>
    </row>
    <row r="658" spans="1:4" ht="63" customHeight="1" x14ac:dyDescent="0.25">
      <c r="A658" s="39" t="s">
        <v>4657</v>
      </c>
      <c r="B658" s="39" t="s">
        <v>4658</v>
      </c>
      <c r="C658" s="40" t="s">
        <v>4659</v>
      </c>
      <c r="D658" s="41" t="s">
        <v>3277</v>
      </c>
    </row>
    <row r="659" spans="1:4" ht="47.25" customHeight="1" x14ac:dyDescent="0.25">
      <c r="A659" s="39" t="s">
        <v>4660</v>
      </c>
      <c r="B659" s="39" t="s">
        <v>4661</v>
      </c>
      <c r="C659" s="40" t="s">
        <v>547</v>
      </c>
      <c r="D659" s="41" t="s">
        <v>3278</v>
      </c>
    </row>
    <row r="660" spans="1:4" ht="31.5" customHeight="1" x14ac:dyDescent="0.25">
      <c r="A660" s="39" t="s">
        <v>4662</v>
      </c>
      <c r="B660" s="39" t="s">
        <v>4663</v>
      </c>
      <c r="C660" s="40" t="s">
        <v>4664</v>
      </c>
      <c r="D660" s="41" t="s">
        <v>3279</v>
      </c>
    </row>
    <row r="661" spans="1:4" ht="47.25" customHeight="1" x14ac:dyDescent="0.25">
      <c r="A661" s="39" t="s">
        <v>4665</v>
      </c>
      <c r="B661" s="39" t="s">
        <v>4666</v>
      </c>
      <c r="C661" s="40" t="s">
        <v>4363</v>
      </c>
      <c r="D661" s="41" t="s">
        <v>3280</v>
      </c>
    </row>
    <row r="662" spans="1:4" ht="31.5" customHeight="1" x14ac:dyDescent="0.25">
      <c r="A662" s="39" t="s">
        <v>4667</v>
      </c>
      <c r="B662" s="39" t="s">
        <v>4668</v>
      </c>
      <c r="C662" s="40" t="s">
        <v>4129</v>
      </c>
      <c r="D662" s="41" t="s">
        <v>3281</v>
      </c>
    </row>
    <row r="663" spans="1:4" ht="31.5" customHeight="1" x14ac:dyDescent="0.25">
      <c r="A663" s="39" t="s">
        <v>4669</v>
      </c>
      <c r="B663" s="39" t="s">
        <v>4670</v>
      </c>
      <c r="C663" s="40" t="s">
        <v>823</v>
      </c>
      <c r="D663" s="41" t="s">
        <v>3282</v>
      </c>
    </row>
    <row r="664" spans="1:4" ht="47.25" customHeight="1" x14ac:dyDescent="0.25">
      <c r="A664" s="39" t="s">
        <v>4671</v>
      </c>
      <c r="B664" s="39" t="s">
        <v>4672</v>
      </c>
      <c r="C664" s="40" t="s">
        <v>1134</v>
      </c>
      <c r="D664" s="41" t="s">
        <v>3283</v>
      </c>
    </row>
    <row r="665" spans="1:4" ht="31.5" customHeight="1" x14ac:dyDescent="0.25">
      <c r="A665" s="39" t="s">
        <v>4673</v>
      </c>
      <c r="B665" s="39" t="s">
        <v>4674</v>
      </c>
      <c r="C665" s="40" t="s">
        <v>424</v>
      </c>
      <c r="D665" s="41" t="s">
        <v>3284</v>
      </c>
    </row>
    <row r="666" spans="1:4" ht="47.25" customHeight="1" x14ac:dyDescent="0.25">
      <c r="A666" s="39" t="s">
        <v>4675</v>
      </c>
      <c r="B666" s="39" t="s">
        <v>4676</v>
      </c>
      <c r="C666" s="40" t="s">
        <v>4677</v>
      </c>
      <c r="D666" s="41" t="s">
        <v>3285</v>
      </c>
    </row>
    <row r="667" spans="1:4" ht="47.25" customHeight="1" x14ac:dyDescent="0.25">
      <c r="A667" s="39" t="s">
        <v>4678</v>
      </c>
      <c r="B667" s="39" t="s">
        <v>4679</v>
      </c>
      <c r="C667" s="40" t="s">
        <v>4680</v>
      </c>
      <c r="D667" s="41" t="s">
        <v>3286</v>
      </c>
    </row>
    <row r="668" spans="1:4" ht="63" customHeight="1" x14ac:dyDescent="0.25">
      <c r="A668" s="39" t="s">
        <v>4681</v>
      </c>
      <c r="B668" s="39" t="s">
        <v>4682</v>
      </c>
      <c r="C668" s="40" t="s">
        <v>3839</v>
      </c>
      <c r="D668" s="41" t="s">
        <v>3287</v>
      </c>
    </row>
    <row r="669" spans="1:4" ht="31.5" customHeight="1" x14ac:dyDescent="0.25">
      <c r="A669" s="39" t="s">
        <v>4683</v>
      </c>
      <c r="B669" s="39" t="s">
        <v>4684</v>
      </c>
      <c r="C669" s="40" t="s">
        <v>3839</v>
      </c>
      <c r="D669" s="41" t="s">
        <v>3288</v>
      </c>
    </row>
    <row r="670" spans="1:4" ht="31.5" customHeight="1" x14ac:dyDescent="0.25">
      <c r="A670" s="39" t="s">
        <v>4685</v>
      </c>
      <c r="B670" s="39" t="s">
        <v>4686</v>
      </c>
      <c r="C670" s="40" t="s">
        <v>4687</v>
      </c>
      <c r="D670" s="41" t="s">
        <v>3289</v>
      </c>
    </row>
    <row r="671" spans="1:4" ht="31.5" customHeight="1" x14ac:dyDescent="0.25">
      <c r="A671" s="39" t="s">
        <v>4688</v>
      </c>
      <c r="B671" s="39" t="s">
        <v>4689</v>
      </c>
      <c r="C671" s="40" t="s">
        <v>1406</v>
      </c>
      <c r="D671" s="41" t="s">
        <v>3290</v>
      </c>
    </row>
    <row r="672" spans="1:4" ht="63" customHeight="1" x14ac:dyDescent="0.25">
      <c r="A672" s="39" t="s">
        <v>4690</v>
      </c>
      <c r="B672" s="39" t="s">
        <v>4691</v>
      </c>
      <c r="C672" s="40" t="s">
        <v>785</v>
      </c>
      <c r="D672" s="41" t="s">
        <v>3291</v>
      </c>
    </row>
    <row r="673" spans="1:4" ht="47.25" customHeight="1" x14ac:dyDescent="0.25">
      <c r="A673" s="39" t="s">
        <v>4692</v>
      </c>
      <c r="B673" s="39" t="s">
        <v>4693</v>
      </c>
      <c r="C673" s="40" t="s">
        <v>4664</v>
      </c>
      <c r="D673" s="41" t="s">
        <v>3292</v>
      </c>
    </row>
    <row r="674" spans="1:4" ht="63" customHeight="1" x14ac:dyDescent="0.25">
      <c r="A674" s="39" t="s">
        <v>4694</v>
      </c>
      <c r="B674" s="39" t="s">
        <v>4695</v>
      </c>
      <c r="C674" s="40" t="s">
        <v>452</v>
      </c>
      <c r="D674" s="41" t="s">
        <v>3293</v>
      </c>
    </row>
    <row r="675" spans="1:4" ht="63" customHeight="1" x14ac:dyDescent="0.25">
      <c r="A675" s="39" t="s">
        <v>4696</v>
      </c>
      <c r="B675" s="39" t="s">
        <v>4697</v>
      </c>
      <c r="C675" s="40" t="s">
        <v>452</v>
      </c>
      <c r="D675" s="41" t="s">
        <v>3294</v>
      </c>
    </row>
    <row r="676" spans="1:4" ht="47.25" customHeight="1" x14ac:dyDescent="0.25">
      <c r="A676" s="39" t="s">
        <v>4698</v>
      </c>
      <c r="B676" s="39" t="s">
        <v>4699</v>
      </c>
      <c r="C676" s="40" t="s">
        <v>1356</v>
      </c>
      <c r="D676" s="41" t="s">
        <v>3295</v>
      </c>
    </row>
    <row r="677" spans="1:4" ht="31.5" customHeight="1" x14ac:dyDescent="0.25">
      <c r="A677" s="39" t="s">
        <v>4700</v>
      </c>
      <c r="B677" s="39" t="s">
        <v>4701</v>
      </c>
      <c r="C677" s="40" t="s">
        <v>4157</v>
      </c>
      <c r="D677" s="41" t="s">
        <v>3296</v>
      </c>
    </row>
    <row r="678" spans="1:4" ht="31.5" customHeight="1" x14ac:dyDescent="0.25">
      <c r="A678" s="39" t="s">
        <v>4702</v>
      </c>
      <c r="B678" s="39" t="s">
        <v>4703</v>
      </c>
      <c r="C678" s="40" t="s">
        <v>3839</v>
      </c>
      <c r="D678" s="41" t="s">
        <v>3297</v>
      </c>
    </row>
    <row r="679" spans="1:4" ht="47.25" customHeight="1" x14ac:dyDescent="0.25">
      <c r="A679" s="39" t="s">
        <v>4704</v>
      </c>
      <c r="B679" s="39" t="s">
        <v>4705</v>
      </c>
      <c r="C679" s="40" t="s">
        <v>4706</v>
      </c>
      <c r="D679" s="41" t="s">
        <v>3298</v>
      </c>
    </row>
    <row r="680" spans="1:4" ht="31.5" customHeight="1" x14ac:dyDescent="0.25">
      <c r="A680" s="39" t="s">
        <v>4707</v>
      </c>
      <c r="B680" s="39" t="s">
        <v>4708</v>
      </c>
      <c r="C680" s="40" t="s">
        <v>2359</v>
      </c>
      <c r="D680" s="41" t="s">
        <v>3299</v>
      </c>
    </row>
    <row r="681" spans="1:4" ht="47.25" customHeight="1" x14ac:dyDescent="0.25">
      <c r="A681" s="39" t="s">
        <v>4709</v>
      </c>
      <c r="B681" s="39" t="s">
        <v>4710</v>
      </c>
      <c r="C681" s="40" t="s">
        <v>4515</v>
      </c>
      <c r="D681" s="41" t="s">
        <v>3300</v>
      </c>
    </row>
    <row r="682" spans="1:4" ht="31.5" customHeight="1" x14ac:dyDescent="0.25">
      <c r="A682" s="39" t="s">
        <v>4711</v>
      </c>
      <c r="B682" s="39" t="s">
        <v>4712</v>
      </c>
      <c r="C682" s="40" t="s">
        <v>1256</v>
      </c>
      <c r="D682" s="41" t="s">
        <v>3301</v>
      </c>
    </row>
    <row r="683" spans="1:4" ht="31.5" customHeight="1" x14ac:dyDescent="0.25">
      <c r="A683" s="39" t="s">
        <v>4713</v>
      </c>
      <c r="B683" s="39" t="s">
        <v>4714</v>
      </c>
      <c r="C683" s="40" t="s">
        <v>2538</v>
      </c>
      <c r="D683" s="41" t="s">
        <v>3302</v>
      </c>
    </row>
    <row r="684" spans="1:4" ht="31.5" customHeight="1" x14ac:dyDescent="0.25">
      <c r="A684" s="39" t="s">
        <v>4715</v>
      </c>
      <c r="B684" s="39" t="s">
        <v>4716</v>
      </c>
      <c r="C684" s="40" t="s">
        <v>330</v>
      </c>
      <c r="D684" s="41" t="s">
        <v>3303</v>
      </c>
    </row>
    <row r="685" spans="1:4" ht="31.5" customHeight="1" x14ac:dyDescent="0.25">
      <c r="A685" s="39" t="s">
        <v>4717</v>
      </c>
      <c r="B685" s="39" t="s">
        <v>4718</v>
      </c>
      <c r="C685" s="40" t="s">
        <v>3806</v>
      </c>
      <c r="D685" s="41" t="s">
        <v>3304</v>
      </c>
    </row>
    <row r="686" spans="1:4" ht="31.5" customHeight="1" x14ac:dyDescent="0.25">
      <c r="A686" s="39" t="s">
        <v>4719</v>
      </c>
      <c r="B686" s="39" t="s">
        <v>4720</v>
      </c>
      <c r="C686" s="40" t="s">
        <v>323</v>
      </c>
      <c r="D686" s="41" t="s">
        <v>3305</v>
      </c>
    </row>
    <row r="687" spans="1:4" ht="47.25" customHeight="1" x14ac:dyDescent="0.25">
      <c r="A687" s="39" t="s">
        <v>4721</v>
      </c>
      <c r="B687" s="39" t="s">
        <v>4722</v>
      </c>
      <c r="C687" s="40" t="s">
        <v>164</v>
      </c>
      <c r="D687" s="41" t="s">
        <v>3306</v>
      </c>
    </row>
    <row r="688" spans="1:4" ht="47.25" customHeight="1" x14ac:dyDescent="0.25">
      <c r="A688" s="39" t="s">
        <v>4723</v>
      </c>
      <c r="B688" s="39" t="s">
        <v>4724</v>
      </c>
      <c r="C688" s="40" t="s">
        <v>407</v>
      </c>
      <c r="D688" s="41" t="s">
        <v>3307</v>
      </c>
    </row>
    <row r="689" spans="1:4" ht="47.25" customHeight="1" x14ac:dyDescent="0.25">
      <c r="A689" s="39" t="s">
        <v>4725</v>
      </c>
      <c r="B689" s="39" t="s">
        <v>4726</v>
      </c>
      <c r="C689" s="40" t="s">
        <v>4727</v>
      </c>
      <c r="D689" s="41" t="s">
        <v>3308</v>
      </c>
    </row>
    <row r="690" spans="1:4" ht="63" customHeight="1" x14ac:dyDescent="0.25">
      <c r="A690" s="39" t="s">
        <v>4728</v>
      </c>
      <c r="B690" s="39" t="s">
        <v>4729</v>
      </c>
      <c r="C690" s="40" t="s">
        <v>1120</v>
      </c>
      <c r="D690" s="41" t="s">
        <v>3309</v>
      </c>
    </row>
    <row r="691" spans="1:4" ht="47.25" customHeight="1" x14ac:dyDescent="0.25">
      <c r="A691" s="39" t="s">
        <v>4730</v>
      </c>
      <c r="B691" s="39" t="s">
        <v>4731</v>
      </c>
      <c r="C691" s="40" t="s">
        <v>3969</v>
      </c>
      <c r="D691" s="41" t="s">
        <v>3310</v>
      </c>
    </row>
    <row r="692" spans="1:4" ht="47.25" customHeight="1" x14ac:dyDescent="0.25">
      <c r="A692" s="39" t="s">
        <v>4732</v>
      </c>
      <c r="B692" s="39" t="s">
        <v>4733</v>
      </c>
      <c r="C692" s="40" t="s">
        <v>407</v>
      </c>
      <c r="D692" s="41" t="s">
        <v>3311</v>
      </c>
    </row>
    <row r="693" spans="1:4" ht="63" customHeight="1" x14ac:dyDescent="0.25">
      <c r="A693" s="39" t="s">
        <v>4734</v>
      </c>
      <c r="B693" s="39" t="s">
        <v>4735</v>
      </c>
      <c r="C693" s="40" t="s">
        <v>303</v>
      </c>
      <c r="D693" s="41" t="s">
        <v>3312</v>
      </c>
    </row>
    <row r="694" spans="1:4" ht="47.25" customHeight="1" x14ac:dyDescent="0.25">
      <c r="A694" s="39" t="s">
        <v>4736</v>
      </c>
      <c r="B694" s="39" t="s">
        <v>4737</v>
      </c>
      <c r="C694" s="40" t="s">
        <v>2397</v>
      </c>
      <c r="D694" s="41" t="s">
        <v>3313</v>
      </c>
    </row>
    <row r="695" spans="1:4" ht="47.25" customHeight="1" x14ac:dyDescent="0.25">
      <c r="A695" s="39" t="s">
        <v>4738</v>
      </c>
      <c r="B695" s="39" t="s">
        <v>4739</v>
      </c>
      <c r="C695" s="40" t="s">
        <v>1134</v>
      </c>
      <c r="D695" s="41" t="s">
        <v>3314</v>
      </c>
    </row>
    <row r="696" spans="1:4" ht="63" customHeight="1" x14ac:dyDescent="0.25">
      <c r="A696" s="39" t="s">
        <v>4740</v>
      </c>
      <c r="B696" s="39" t="s">
        <v>4741</v>
      </c>
      <c r="C696" s="40" t="s">
        <v>1091</v>
      </c>
      <c r="D696" s="41" t="s">
        <v>3315</v>
      </c>
    </row>
    <row r="697" spans="1:4" ht="63" customHeight="1" x14ac:dyDescent="0.25">
      <c r="A697" s="39" t="s">
        <v>4742</v>
      </c>
      <c r="B697" s="39" t="s">
        <v>4743</v>
      </c>
      <c r="C697" s="40" t="s">
        <v>537</v>
      </c>
      <c r="D697" s="41" t="s">
        <v>3316</v>
      </c>
    </row>
    <row r="698" spans="1:4" ht="47.25" customHeight="1" x14ac:dyDescent="0.25">
      <c r="A698" s="39" t="s">
        <v>4744</v>
      </c>
      <c r="B698" s="39" t="s">
        <v>4745</v>
      </c>
      <c r="C698" s="40" t="s">
        <v>537</v>
      </c>
      <c r="D698" s="41" t="s">
        <v>3317</v>
      </c>
    </row>
    <row r="699" spans="1:4" ht="47.25" customHeight="1" x14ac:dyDescent="0.25">
      <c r="A699" s="39" t="s">
        <v>4746</v>
      </c>
      <c r="B699" s="39" t="s">
        <v>4747</v>
      </c>
      <c r="C699" s="40" t="s">
        <v>4748</v>
      </c>
      <c r="D699" s="41" t="s">
        <v>3318</v>
      </c>
    </row>
    <row r="700" spans="1:4" ht="31.5" customHeight="1" x14ac:dyDescent="0.25">
      <c r="A700" s="39" t="s">
        <v>4749</v>
      </c>
      <c r="B700" s="39" t="s">
        <v>4750</v>
      </c>
      <c r="C700" s="40" t="s">
        <v>1256</v>
      </c>
      <c r="D700" s="41" t="s">
        <v>3319</v>
      </c>
    </row>
    <row r="701" spans="1:4" ht="47.25" customHeight="1" x14ac:dyDescent="0.25">
      <c r="A701" s="39" t="s">
        <v>4751</v>
      </c>
      <c r="B701" s="39" t="s">
        <v>4752</v>
      </c>
      <c r="C701" s="40" t="s">
        <v>1157</v>
      </c>
      <c r="D701" s="41" t="s">
        <v>3320</v>
      </c>
    </row>
    <row r="702" spans="1:4" ht="63" customHeight="1" x14ac:dyDescent="0.25">
      <c r="A702" s="39" t="s">
        <v>4753</v>
      </c>
      <c r="B702" s="39" t="s">
        <v>4754</v>
      </c>
      <c r="C702" s="40" t="s">
        <v>65</v>
      </c>
      <c r="D702" s="41" t="s">
        <v>3321</v>
      </c>
    </row>
    <row r="703" spans="1:4" ht="31.5" customHeight="1" x14ac:dyDescent="0.25">
      <c r="A703" s="39" t="s">
        <v>4755</v>
      </c>
      <c r="B703" s="39" t="s">
        <v>4756</v>
      </c>
      <c r="C703" s="40" t="s">
        <v>4757</v>
      </c>
      <c r="D703" s="41" t="s">
        <v>3322</v>
      </c>
    </row>
    <row r="704" spans="1:4" ht="31.5" customHeight="1" x14ac:dyDescent="0.25">
      <c r="A704" s="39" t="s">
        <v>4758</v>
      </c>
      <c r="B704" s="39" t="s">
        <v>4759</v>
      </c>
      <c r="C704" s="40" t="s">
        <v>2286</v>
      </c>
      <c r="D704" s="41" t="s">
        <v>3323</v>
      </c>
    </row>
    <row r="705" spans="1:4" ht="63" customHeight="1" x14ac:dyDescent="0.25">
      <c r="A705" s="39" t="s">
        <v>4760</v>
      </c>
      <c r="B705" s="39" t="s">
        <v>4761</v>
      </c>
      <c r="C705" s="40" t="s">
        <v>3969</v>
      </c>
      <c r="D705" s="41" t="s">
        <v>3324</v>
      </c>
    </row>
    <row r="706" spans="1:4" ht="31.5" customHeight="1" x14ac:dyDescent="0.25">
      <c r="A706" s="39" t="s">
        <v>4762</v>
      </c>
      <c r="B706" s="39" t="s">
        <v>4763</v>
      </c>
      <c r="C706" s="40" t="s">
        <v>4571</v>
      </c>
      <c r="D706" s="41" t="s">
        <v>3325</v>
      </c>
    </row>
    <row r="707" spans="1:4" ht="63" customHeight="1" x14ac:dyDescent="0.25">
      <c r="A707" s="39" t="s">
        <v>4764</v>
      </c>
      <c r="B707" s="39" t="s">
        <v>4765</v>
      </c>
      <c r="C707" s="40" t="s">
        <v>4766</v>
      </c>
      <c r="D707" s="41" t="s">
        <v>3326</v>
      </c>
    </row>
    <row r="708" spans="1:4" ht="47.25" customHeight="1" x14ac:dyDescent="0.25">
      <c r="A708" s="39" t="s">
        <v>4767</v>
      </c>
      <c r="B708" s="39" t="s">
        <v>4768</v>
      </c>
      <c r="C708" s="40" t="s">
        <v>685</v>
      </c>
      <c r="D708" s="41" t="s">
        <v>3327</v>
      </c>
    </row>
    <row r="709" spans="1:4" ht="31.5" customHeight="1" x14ac:dyDescent="0.25">
      <c r="A709" s="39" t="s">
        <v>4769</v>
      </c>
      <c r="B709" s="39" t="s">
        <v>4770</v>
      </c>
      <c r="C709" s="40" t="s">
        <v>4771</v>
      </c>
      <c r="D709" s="41" t="s">
        <v>3328</v>
      </c>
    </row>
    <row r="710" spans="1:4" ht="63" customHeight="1" x14ac:dyDescent="0.25">
      <c r="A710" s="39" t="s">
        <v>4772</v>
      </c>
      <c r="B710" s="39" t="s">
        <v>4773</v>
      </c>
      <c r="C710" s="40" t="s">
        <v>4311</v>
      </c>
      <c r="D710" s="41" t="s">
        <v>3329</v>
      </c>
    </row>
    <row r="711" spans="1:4" ht="47.25" customHeight="1" x14ac:dyDescent="0.25">
      <c r="A711" s="39" t="s">
        <v>4774</v>
      </c>
      <c r="B711" s="39" t="s">
        <v>4775</v>
      </c>
      <c r="C711" s="40" t="s">
        <v>1184</v>
      </c>
      <c r="D711" s="41" t="s">
        <v>3330</v>
      </c>
    </row>
    <row r="712" spans="1:4" ht="31.5" customHeight="1" x14ac:dyDescent="0.25">
      <c r="A712" s="39" t="s">
        <v>4776</v>
      </c>
      <c r="B712" s="39" t="s">
        <v>4777</v>
      </c>
      <c r="C712" s="40" t="s">
        <v>886</v>
      </c>
      <c r="D712" s="41" t="s">
        <v>3331</v>
      </c>
    </row>
    <row r="713" spans="1:4" ht="47.25" customHeight="1" x14ac:dyDescent="0.25">
      <c r="A713" s="39" t="s">
        <v>4778</v>
      </c>
      <c r="B713" s="39" t="s">
        <v>4779</v>
      </c>
      <c r="C713" s="40" t="s">
        <v>965</v>
      </c>
      <c r="D713" s="41" t="s">
        <v>3332</v>
      </c>
    </row>
    <row r="714" spans="1:4" ht="31.5" customHeight="1" x14ac:dyDescent="0.25">
      <c r="A714" s="39" t="s">
        <v>4780</v>
      </c>
      <c r="B714" s="39" t="s">
        <v>4781</v>
      </c>
      <c r="C714" s="40" t="s">
        <v>4096</v>
      </c>
      <c r="D714" s="41" t="s">
        <v>3333</v>
      </c>
    </row>
    <row r="715" spans="1:4" ht="78.75" customHeight="1" x14ac:dyDescent="0.25">
      <c r="A715" s="39" t="s">
        <v>4782</v>
      </c>
      <c r="B715" s="39" t="s">
        <v>4783</v>
      </c>
      <c r="C715" s="40" t="s">
        <v>4784</v>
      </c>
      <c r="D715" s="41" t="s">
        <v>3334</v>
      </c>
    </row>
    <row r="716" spans="1:4" ht="31.5" customHeight="1" x14ac:dyDescent="0.25">
      <c r="A716" s="39" t="s">
        <v>4785</v>
      </c>
      <c r="B716" s="39" t="s">
        <v>4786</v>
      </c>
      <c r="C716" s="40" t="s">
        <v>1617</v>
      </c>
      <c r="D716" s="41" t="s">
        <v>3335</v>
      </c>
    </row>
    <row r="717" spans="1:4" ht="31.5" customHeight="1" x14ac:dyDescent="0.25">
      <c r="A717" s="39" t="s">
        <v>4787</v>
      </c>
      <c r="B717" s="39" t="s">
        <v>4788</v>
      </c>
      <c r="C717" s="40" t="s">
        <v>588</v>
      </c>
      <c r="D717" s="41" t="s">
        <v>3336</v>
      </c>
    </row>
    <row r="718" spans="1:4" ht="31.5" customHeight="1" x14ac:dyDescent="0.25">
      <c r="A718" s="39" t="s">
        <v>4789</v>
      </c>
      <c r="B718" s="39" t="s">
        <v>4790</v>
      </c>
      <c r="C718" s="40" t="s">
        <v>303</v>
      </c>
      <c r="D718" s="41" t="s">
        <v>3337</v>
      </c>
    </row>
    <row r="719" spans="1:4" ht="31.5" customHeight="1" x14ac:dyDescent="0.25">
      <c r="A719" s="39" t="s">
        <v>4791</v>
      </c>
      <c r="B719" s="39" t="s">
        <v>4792</v>
      </c>
      <c r="C719" s="40" t="s">
        <v>4793</v>
      </c>
      <c r="D719" s="41" t="s">
        <v>3338</v>
      </c>
    </row>
    <row r="720" spans="1:4" ht="63" customHeight="1" x14ac:dyDescent="0.25">
      <c r="A720" s="39" t="s">
        <v>4794</v>
      </c>
      <c r="B720" s="39" t="s">
        <v>4795</v>
      </c>
      <c r="C720" s="40" t="s">
        <v>661</v>
      </c>
      <c r="D720" s="41" t="s">
        <v>3339</v>
      </c>
    </row>
    <row r="721" spans="1:4" ht="47.25" customHeight="1" x14ac:dyDescent="0.25">
      <c r="A721" s="39" t="s">
        <v>4796</v>
      </c>
      <c r="B721" s="39" t="s">
        <v>4797</v>
      </c>
      <c r="C721" s="40" t="s">
        <v>772</v>
      </c>
      <c r="D721" s="41" t="s">
        <v>3340</v>
      </c>
    </row>
    <row r="722" spans="1:4" ht="47.25" customHeight="1" x14ac:dyDescent="0.25">
      <c r="A722" s="39" t="s">
        <v>4798</v>
      </c>
      <c r="B722" s="39" t="s">
        <v>4799</v>
      </c>
      <c r="C722" s="40" t="s">
        <v>1356</v>
      </c>
      <c r="D722" s="41" t="s">
        <v>3341</v>
      </c>
    </row>
    <row r="723" spans="1:4" ht="47.25" customHeight="1" x14ac:dyDescent="0.25">
      <c r="A723" s="39" t="s">
        <v>4800</v>
      </c>
      <c r="B723" s="39" t="s">
        <v>4801</v>
      </c>
      <c r="C723" s="40" t="s">
        <v>2347</v>
      </c>
      <c r="D723" s="41" t="s">
        <v>3342</v>
      </c>
    </row>
    <row r="724" spans="1:4" ht="47.25" customHeight="1" x14ac:dyDescent="0.25">
      <c r="A724" s="39" t="s">
        <v>4802</v>
      </c>
      <c r="B724" s="39" t="s">
        <v>4803</v>
      </c>
      <c r="C724" s="40" t="s">
        <v>4311</v>
      </c>
      <c r="D724" s="41" t="s">
        <v>3343</v>
      </c>
    </row>
    <row r="725" spans="1:4" ht="47.25" customHeight="1" x14ac:dyDescent="0.25">
      <c r="A725" s="39" t="s">
        <v>4804</v>
      </c>
      <c r="B725" s="39" t="s">
        <v>4805</v>
      </c>
      <c r="C725" s="40" t="s">
        <v>4806</v>
      </c>
      <c r="D725" s="41" t="s">
        <v>3344</v>
      </c>
    </row>
    <row r="726" spans="1:4" ht="63" customHeight="1" x14ac:dyDescent="0.25">
      <c r="A726" s="39" t="s">
        <v>4807</v>
      </c>
      <c r="B726" s="39" t="s">
        <v>4808</v>
      </c>
      <c r="C726" s="40" t="s">
        <v>993</v>
      </c>
      <c r="D726" s="41" t="s">
        <v>3345</v>
      </c>
    </row>
    <row r="727" spans="1:4" ht="31.5" customHeight="1" x14ac:dyDescent="0.25">
      <c r="A727" s="39" t="s">
        <v>4809</v>
      </c>
      <c r="B727" s="39" t="s">
        <v>4810</v>
      </c>
      <c r="C727" s="40" t="s">
        <v>1370</v>
      </c>
      <c r="D727" s="41" t="s">
        <v>3346</v>
      </c>
    </row>
    <row r="728" spans="1:4" ht="31.5" customHeight="1" x14ac:dyDescent="0.25">
      <c r="A728" s="39" t="s">
        <v>4811</v>
      </c>
      <c r="B728" s="39" t="s">
        <v>4812</v>
      </c>
      <c r="C728" s="40" t="s">
        <v>1370</v>
      </c>
      <c r="D728" s="41" t="s">
        <v>3347</v>
      </c>
    </row>
    <row r="729" spans="1:4" ht="31.5" customHeight="1" x14ac:dyDescent="0.25">
      <c r="A729" s="39" t="s">
        <v>4813</v>
      </c>
      <c r="B729" s="39" t="s">
        <v>4814</v>
      </c>
      <c r="C729" s="40" t="s">
        <v>1686</v>
      </c>
      <c r="D729" s="41" t="s">
        <v>3348</v>
      </c>
    </row>
    <row r="730" spans="1:4" ht="47.25" customHeight="1" x14ac:dyDescent="0.25">
      <c r="A730" s="39" t="s">
        <v>4815</v>
      </c>
      <c r="B730" s="39" t="s">
        <v>4816</v>
      </c>
      <c r="C730" s="40" t="s">
        <v>4817</v>
      </c>
      <c r="D730" s="41" t="s">
        <v>3349</v>
      </c>
    </row>
    <row r="731" spans="1:4" ht="31.5" customHeight="1" x14ac:dyDescent="0.25">
      <c r="A731" s="39" t="s">
        <v>4818</v>
      </c>
      <c r="B731" s="39" t="s">
        <v>4819</v>
      </c>
      <c r="C731" s="40" t="s">
        <v>3972</v>
      </c>
      <c r="D731" s="41" t="s">
        <v>3350</v>
      </c>
    </row>
    <row r="732" spans="1:4" ht="31.5" customHeight="1" x14ac:dyDescent="0.25">
      <c r="A732" s="39" t="s">
        <v>4820</v>
      </c>
      <c r="B732" s="39" t="s">
        <v>4821</v>
      </c>
      <c r="C732" s="40" t="s">
        <v>3972</v>
      </c>
      <c r="D732" s="41" t="s">
        <v>3351</v>
      </c>
    </row>
    <row r="733" spans="1:4" ht="47.25" customHeight="1" x14ac:dyDescent="0.25">
      <c r="A733" s="39" t="s">
        <v>4822</v>
      </c>
      <c r="B733" s="39" t="s">
        <v>4823</v>
      </c>
      <c r="C733" s="40" t="s">
        <v>1436</v>
      </c>
      <c r="D733" s="41" t="s">
        <v>3352</v>
      </c>
    </row>
    <row r="734" spans="1:4" ht="31.5" customHeight="1" x14ac:dyDescent="0.25">
      <c r="A734" s="39" t="s">
        <v>4824</v>
      </c>
      <c r="B734" s="39" t="s">
        <v>4825</v>
      </c>
      <c r="C734" s="40" t="s">
        <v>3992</v>
      </c>
      <c r="D734" s="41" t="s">
        <v>3353</v>
      </c>
    </row>
    <row r="735" spans="1:4" ht="31.5" customHeight="1" x14ac:dyDescent="0.25">
      <c r="A735" s="39" t="s">
        <v>4826</v>
      </c>
      <c r="B735" s="39" t="s">
        <v>4827</v>
      </c>
      <c r="C735" s="40" t="s">
        <v>720</v>
      </c>
      <c r="D735" s="41" t="s">
        <v>3354</v>
      </c>
    </row>
    <row r="736" spans="1:4" ht="31.5" customHeight="1" x14ac:dyDescent="0.25">
      <c r="A736" s="39" t="s">
        <v>4828</v>
      </c>
      <c r="B736" s="39" t="s">
        <v>4829</v>
      </c>
      <c r="C736" s="40" t="s">
        <v>4830</v>
      </c>
      <c r="D736" s="41" t="s">
        <v>3355</v>
      </c>
    </row>
    <row r="737" spans="1:4" ht="31.5" customHeight="1" x14ac:dyDescent="0.25">
      <c r="A737" s="39" t="s">
        <v>4831</v>
      </c>
      <c r="B737" s="39" t="s">
        <v>4832</v>
      </c>
      <c r="C737" s="40" t="s">
        <v>4833</v>
      </c>
      <c r="D737" s="41" t="s">
        <v>3356</v>
      </c>
    </row>
    <row r="738" spans="1:4" ht="47.25" customHeight="1" x14ac:dyDescent="0.25">
      <c r="A738" s="39" t="s">
        <v>4834</v>
      </c>
      <c r="B738" s="39" t="s">
        <v>4835</v>
      </c>
      <c r="C738" s="40" t="s">
        <v>4836</v>
      </c>
      <c r="D738" s="41" t="s">
        <v>3357</v>
      </c>
    </row>
    <row r="739" spans="1:4" ht="31.5" customHeight="1" x14ac:dyDescent="0.25">
      <c r="A739" s="39" t="s">
        <v>4837</v>
      </c>
      <c r="B739" s="39" t="s">
        <v>4838</v>
      </c>
      <c r="C739" s="40" t="s">
        <v>3914</v>
      </c>
      <c r="D739" s="41" t="s">
        <v>3358</v>
      </c>
    </row>
    <row r="740" spans="1:4" ht="31.5" customHeight="1" x14ac:dyDescent="0.25">
      <c r="A740" s="39" t="s">
        <v>4839</v>
      </c>
      <c r="B740" s="39" t="s">
        <v>4840</v>
      </c>
      <c r="C740" s="40" t="s">
        <v>3914</v>
      </c>
      <c r="D740" s="41" t="s">
        <v>3359</v>
      </c>
    </row>
    <row r="741" spans="1:4" ht="31.5" customHeight="1" x14ac:dyDescent="0.25">
      <c r="A741" s="39" t="s">
        <v>4841</v>
      </c>
      <c r="B741" s="39" t="s">
        <v>4842</v>
      </c>
      <c r="C741" s="40" t="s">
        <v>542</v>
      </c>
      <c r="D741" s="41" t="s">
        <v>3360</v>
      </c>
    </row>
    <row r="742" spans="1:4" ht="47.25" customHeight="1" x14ac:dyDescent="0.25">
      <c r="A742" s="39" t="s">
        <v>4843</v>
      </c>
      <c r="B742" s="39" t="s">
        <v>4844</v>
      </c>
      <c r="C742" s="40" t="s">
        <v>4845</v>
      </c>
      <c r="D742" s="41" t="s">
        <v>3361</v>
      </c>
    </row>
    <row r="743" spans="1:4" ht="31.5" customHeight="1" x14ac:dyDescent="0.25">
      <c r="A743" s="39" t="s">
        <v>4846</v>
      </c>
      <c r="B743" s="39" t="s">
        <v>4847</v>
      </c>
      <c r="C743" s="40" t="s">
        <v>4103</v>
      </c>
      <c r="D743" s="41" t="s">
        <v>3362</v>
      </c>
    </row>
    <row r="744" spans="1:4" ht="63" customHeight="1" x14ac:dyDescent="0.25">
      <c r="A744" s="39" t="s">
        <v>4848</v>
      </c>
      <c r="B744" s="39" t="s">
        <v>4849</v>
      </c>
      <c r="C744" s="40" t="s">
        <v>656</v>
      </c>
      <c r="D744" s="41" t="s">
        <v>3363</v>
      </c>
    </row>
    <row r="745" spans="1:4" ht="31.5" customHeight="1" x14ac:dyDescent="0.25">
      <c r="A745" s="39" t="s">
        <v>4850</v>
      </c>
      <c r="B745" s="39" t="s">
        <v>4851</v>
      </c>
      <c r="C745" s="40" t="s">
        <v>1143</v>
      </c>
      <c r="D745" s="41" t="s">
        <v>3364</v>
      </c>
    </row>
    <row r="746" spans="1:4" ht="63" customHeight="1" x14ac:dyDescent="0.25">
      <c r="A746" s="39" t="s">
        <v>4852</v>
      </c>
      <c r="B746" s="39" t="s">
        <v>4853</v>
      </c>
      <c r="C746" s="40" t="s">
        <v>4011</v>
      </c>
      <c r="D746" s="41" t="s">
        <v>3365</v>
      </c>
    </row>
    <row r="747" spans="1:4" ht="31.5" customHeight="1" x14ac:dyDescent="0.25">
      <c r="A747" s="39" t="s">
        <v>4854</v>
      </c>
      <c r="B747" s="39" t="s">
        <v>4855</v>
      </c>
      <c r="C747" s="40" t="s">
        <v>1555</v>
      </c>
      <c r="D747" s="41" t="s">
        <v>3366</v>
      </c>
    </row>
    <row r="748" spans="1:4" ht="31.5" customHeight="1" x14ac:dyDescent="0.25">
      <c r="A748" s="39" t="s">
        <v>4856</v>
      </c>
      <c r="B748" s="39" t="s">
        <v>4857</v>
      </c>
      <c r="C748" s="40" t="s">
        <v>1356</v>
      </c>
      <c r="D748" s="41" t="s">
        <v>3367</v>
      </c>
    </row>
    <row r="749" spans="1:4" ht="47.25" customHeight="1" x14ac:dyDescent="0.25">
      <c r="A749" s="39" t="s">
        <v>4858</v>
      </c>
      <c r="B749" s="39" t="s">
        <v>4859</v>
      </c>
      <c r="C749" s="40" t="s">
        <v>3881</v>
      </c>
      <c r="D749" s="41" t="s">
        <v>3368</v>
      </c>
    </row>
    <row r="750" spans="1:4" ht="47.25" customHeight="1" x14ac:dyDescent="0.25">
      <c r="A750" s="39" t="s">
        <v>4860</v>
      </c>
      <c r="B750" s="39" t="s">
        <v>4861</v>
      </c>
      <c r="C750" s="40" t="s">
        <v>106</v>
      </c>
      <c r="D750" s="41" t="s">
        <v>3369</v>
      </c>
    </row>
    <row r="751" spans="1:4" ht="47.25" customHeight="1" x14ac:dyDescent="0.25">
      <c r="A751" s="39" t="s">
        <v>4862</v>
      </c>
      <c r="B751" s="39" t="s">
        <v>4863</v>
      </c>
      <c r="C751" s="40" t="s">
        <v>975</v>
      </c>
      <c r="D751" s="41" t="s">
        <v>3370</v>
      </c>
    </row>
    <row r="752" spans="1:4" ht="31.5" customHeight="1" x14ac:dyDescent="0.25">
      <c r="A752" s="39" t="s">
        <v>4864</v>
      </c>
      <c r="B752" s="39" t="s">
        <v>4865</v>
      </c>
      <c r="C752" s="40" t="s">
        <v>4866</v>
      </c>
      <c r="D752" s="41" t="s">
        <v>3371</v>
      </c>
    </row>
    <row r="753" spans="1:4" ht="47.25" customHeight="1" x14ac:dyDescent="0.25">
      <c r="A753" s="39" t="s">
        <v>4867</v>
      </c>
      <c r="B753" s="39" t="s">
        <v>4868</v>
      </c>
      <c r="C753" s="40" t="s">
        <v>1504</v>
      </c>
      <c r="D753" s="41" t="s">
        <v>3372</v>
      </c>
    </row>
    <row r="754" spans="1:4" ht="31.5" customHeight="1" x14ac:dyDescent="0.25">
      <c r="A754" s="39" t="s">
        <v>4869</v>
      </c>
      <c r="B754" s="39" t="s">
        <v>4870</v>
      </c>
      <c r="C754" s="40" t="s">
        <v>3949</v>
      </c>
      <c r="D754" s="41" t="s">
        <v>3373</v>
      </c>
    </row>
    <row r="755" spans="1:4" ht="31.5" customHeight="1" x14ac:dyDescent="0.25">
      <c r="A755" s="39" t="s">
        <v>4871</v>
      </c>
      <c r="B755" s="39" t="s">
        <v>4872</v>
      </c>
      <c r="C755" s="40" t="s">
        <v>4873</v>
      </c>
      <c r="D755" s="41" t="s">
        <v>3374</v>
      </c>
    </row>
    <row r="756" spans="1:4" ht="47.25" customHeight="1" x14ac:dyDescent="0.25">
      <c r="A756" s="39" t="s">
        <v>4874</v>
      </c>
      <c r="B756" s="39" t="s">
        <v>4875</v>
      </c>
      <c r="C756" s="40" t="s">
        <v>4876</v>
      </c>
      <c r="D756" s="41" t="s">
        <v>3375</v>
      </c>
    </row>
    <row r="757" spans="1:4" ht="31.5" customHeight="1" x14ac:dyDescent="0.25">
      <c r="A757" s="39" t="s">
        <v>4877</v>
      </c>
      <c r="B757" s="39" t="s">
        <v>4878</v>
      </c>
      <c r="C757" s="40" t="s">
        <v>1042</v>
      </c>
      <c r="D757" s="41" t="s">
        <v>3376</v>
      </c>
    </row>
    <row r="758" spans="1:4" ht="63" customHeight="1" x14ac:dyDescent="0.25">
      <c r="A758" s="39" t="s">
        <v>4879</v>
      </c>
      <c r="B758" s="39" t="s">
        <v>4880</v>
      </c>
      <c r="C758" s="40" t="s">
        <v>1348</v>
      </c>
      <c r="D758" s="41" t="s">
        <v>3377</v>
      </c>
    </row>
    <row r="759" spans="1:4" ht="47.25" customHeight="1" x14ac:dyDescent="0.25">
      <c r="A759" s="39" t="s">
        <v>4881</v>
      </c>
      <c r="B759" s="39" t="s">
        <v>4882</v>
      </c>
      <c r="C759" s="40" t="s">
        <v>4883</v>
      </c>
      <c r="D759" s="41" t="s">
        <v>3378</v>
      </c>
    </row>
    <row r="760" spans="1:4" ht="47.25" customHeight="1" x14ac:dyDescent="0.25">
      <c r="A760" s="39" t="s">
        <v>4884</v>
      </c>
      <c r="B760" s="39" t="s">
        <v>4885</v>
      </c>
      <c r="C760" s="40" t="s">
        <v>4361</v>
      </c>
      <c r="D760" s="41" t="s">
        <v>3379</v>
      </c>
    </row>
    <row r="761" spans="1:4" ht="47.25" customHeight="1" x14ac:dyDescent="0.25">
      <c r="A761" s="39" t="s">
        <v>4886</v>
      </c>
      <c r="B761" s="39" t="s">
        <v>4887</v>
      </c>
      <c r="C761" s="40" t="s">
        <v>2302</v>
      </c>
      <c r="D761" s="41" t="s">
        <v>3380</v>
      </c>
    </row>
    <row r="762" spans="1:4" ht="31.5" customHeight="1" x14ac:dyDescent="0.25">
      <c r="A762" s="39" t="s">
        <v>4888</v>
      </c>
      <c r="B762" s="39" t="s">
        <v>4889</v>
      </c>
      <c r="C762" s="40" t="s">
        <v>1406</v>
      </c>
      <c r="D762" s="41" t="s">
        <v>3381</v>
      </c>
    </row>
    <row r="763" spans="1:4" ht="47.25" customHeight="1" x14ac:dyDescent="0.25">
      <c r="A763" s="39" t="s">
        <v>4890</v>
      </c>
      <c r="B763" s="39" t="s">
        <v>4891</v>
      </c>
      <c r="C763" s="40" t="s">
        <v>1725</v>
      </c>
      <c r="D763" s="41" t="s">
        <v>3382</v>
      </c>
    </row>
    <row r="764" spans="1:4" ht="31.5" customHeight="1" x14ac:dyDescent="0.25">
      <c r="A764" s="39" t="s">
        <v>4892</v>
      </c>
      <c r="B764" s="39" t="s">
        <v>4893</v>
      </c>
      <c r="C764" s="40" t="s">
        <v>4894</v>
      </c>
      <c r="D764" s="41" t="s">
        <v>3383</v>
      </c>
    </row>
    <row r="765" spans="1:4" ht="31.5" customHeight="1" x14ac:dyDescent="0.25">
      <c r="A765" s="39" t="s">
        <v>4895</v>
      </c>
      <c r="B765" s="39" t="s">
        <v>4896</v>
      </c>
      <c r="C765" s="40" t="s">
        <v>407</v>
      </c>
      <c r="D765" s="41" t="s">
        <v>3384</v>
      </c>
    </row>
    <row r="766" spans="1:4" ht="47.25" customHeight="1" x14ac:dyDescent="0.25">
      <c r="A766" s="39" t="s">
        <v>4897</v>
      </c>
      <c r="B766" s="39" t="s">
        <v>4898</v>
      </c>
      <c r="C766" s="40" t="s">
        <v>1555</v>
      </c>
      <c r="D766" s="41" t="s">
        <v>3385</v>
      </c>
    </row>
    <row r="767" spans="1:4" ht="31.5" customHeight="1" x14ac:dyDescent="0.25">
      <c r="A767" s="39" t="s">
        <v>4899</v>
      </c>
      <c r="B767" s="39" t="s">
        <v>4900</v>
      </c>
      <c r="C767" s="40" t="s">
        <v>211</v>
      </c>
      <c r="D767" s="41" t="s">
        <v>3386</v>
      </c>
    </row>
    <row r="768" spans="1:4" ht="47.25" customHeight="1" x14ac:dyDescent="0.25">
      <c r="A768" s="39" t="s">
        <v>4901</v>
      </c>
      <c r="B768" s="39" t="s">
        <v>4902</v>
      </c>
      <c r="C768" s="40" t="s">
        <v>4903</v>
      </c>
      <c r="D768" s="41" t="s">
        <v>3387</v>
      </c>
    </row>
    <row r="769" spans="1:4" ht="47.25" customHeight="1" x14ac:dyDescent="0.25">
      <c r="A769" s="39" t="s">
        <v>4904</v>
      </c>
      <c r="B769" s="39" t="s">
        <v>4905</v>
      </c>
      <c r="C769" s="40" t="s">
        <v>4057</v>
      </c>
      <c r="D769" s="41" t="s">
        <v>3388</v>
      </c>
    </row>
    <row r="770" spans="1:4" ht="31.5" customHeight="1" x14ac:dyDescent="0.25">
      <c r="A770" s="39" t="s">
        <v>4906</v>
      </c>
      <c r="B770" s="39" t="s">
        <v>4907</v>
      </c>
      <c r="C770" s="40" t="s">
        <v>4908</v>
      </c>
      <c r="D770" s="41" t="s">
        <v>3389</v>
      </c>
    </row>
    <row r="771" spans="1:4" ht="63" customHeight="1" x14ac:dyDescent="0.25">
      <c r="A771" s="39" t="s">
        <v>4909</v>
      </c>
      <c r="B771" s="39" t="s">
        <v>4910</v>
      </c>
      <c r="C771" s="40" t="s">
        <v>2376</v>
      </c>
      <c r="D771" s="41" t="s">
        <v>3390</v>
      </c>
    </row>
    <row r="772" spans="1:4" ht="47.25" customHeight="1" x14ac:dyDescent="0.25">
      <c r="A772" s="39" t="s">
        <v>4911</v>
      </c>
      <c r="B772" s="39" t="s">
        <v>4912</v>
      </c>
      <c r="C772" s="40" t="s">
        <v>1356</v>
      </c>
      <c r="D772" s="41" t="s">
        <v>3391</v>
      </c>
    </row>
    <row r="773" spans="1:4" ht="31.5" customHeight="1" x14ac:dyDescent="0.25">
      <c r="A773" s="39" t="s">
        <v>4913</v>
      </c>
      <c r="B773" s="39" t="s">
        <v>4914</v>
      </c>
      <c r="C773" s="40" t="s">
        <v>2441</v>
      </c>
      <c r="D773" s="41" t="s">
        <v>3392</v>
      </c>
    </row>
    <row r="774" spans="1:4" ht="47.25" customHeight="1" x14ac:dyDescent="0.25">
      <c r="A774" s="39" t="s">
        <v>4915</v>
      </c>
      <c r="B774" s="39" t="s">
        <v>4916</v>
      </c>
      <c r="C774" s="40" t="s">
        <v>1504</v>
      </c>
      <c r="D774" s="41" t="s">
        <v>3393</v>
      </c>
    </row>
    <row r="775" spans="1:4" ht="47.25" customHeight="1" x14ac:dyDescent="0.25">
      <c r="A775" s="39" t="s">
        <v>4917</v>
      </c>
      <c r="B775" s="39" t="s">
        <v>4918</v>
      </c>
      <c r="C775" s="40" t="s">
        <v>4084</v>
      </c>
      <c r="D775" s="41" t="s">
        <v>3394</v>
      </c>
    </row>
    <row r="776" spans="1:4" ht="47.25" customHeight="1" x14ac:dyDescent="0.25">
      <c r="A776" s="39" t="s">
        <v>4919</v>
      </c>
      <c r="B776" s="39" t="s">
        <v>4920</v>
      </c>
      <c r="C776" s="40" t="s">
        <v>1504</v>
      </c>
      <c r="D776" s="41" t="s">
        <v>3395</v>
      </c>
    </row>
    <row r="777" spans="1:4" ht="63" customHeight="1" x14ac:dyDescent="0.25">
      <c r="A777" s="39" t="s">
        <v>4921</v>
      </c>
      <c r="B777" s="39" t="s">
        <v>4922</v>
      </c>
      <c r="C777" s="40" t="s">
        <v>4923</v>
      </c>
      <c r="D777" s="41" t="s">
        <v>3396</v>
      </c>
    </row>
    <row r="778" spans="1:4" ht="63" customHeight="1" x14ac:dyDescent="0.25">
      <c r="A778" s="39" t="s">
        <v>4924</v>
      </c>
      <c r="B778" s="39" t="s">
        <v>4925</v>
      </c>
      <c r="C778" s="40" t="s">
        <v>4926</v>
      </c>
      <c r="D778" s="41" t="s">
        <v>3397</v>
      </c>
    </row>
    <row r="779" spans="1:4" ht="31.5" customHeight="1" x14ac:dyDescent="0.25">
      <c r="A779" s="39" t="s">
        <v>4927</v>
      </c>
      <c r="B779" s="39" t="s">
        <v>4928</v>
      </c>
      <c r="C779" s="40" t="s">
        <v>646</v>
      </c>
      <c r="D779" s="41" t="s">
        <v>3398</v>
      </c>
    </row>
    <row r="780" spans="1:4" ht="31.5" customHeight="1" x14ac:dyDescent="0.25">
      <c r="A780" s="39" t="s">
        <v>4929</v>
      </c>
      <c r="B780" s="39" t="s">
        <v>4930</v>
      </c>
      <c r="C780" s="40" t="s">
        <v>407</v>
      </c>
      <c r="D780" s="41" t="s">
        <v>3399</v>
      </c>
    </row>
    <row r="781" spans="1:4" ht="47.25" customHeight="1" x14ac:dyDescent="0.25">
      <c r="A781" s="39" t="s">
        <v>4931</v>
      </c>
      <c r="B781" s="39" t="s">
        <v>4932</v>
      </c>
      <c r="C781" s="40" t="s">
        <v>2347</v>
      </c>
      <c r="D781" s="41" t="s">
        <v>3400</v>
      </c>
    </row>
    <row r="782" spans="1:4" ht="47.25" customHeight="1" x14ac:dyDescent="0.25">
      <c r="A782" s="39" t="s">
        <v>4933</v>
      </c>
      <c r="B782" s="39" t="s">
        <v>4934</v>
      </c>
      <c r="C782" s="40" t="s">
        <v>4935</v>
      </c>
      <c r="D782" s="41" t="s">
        <v>3401</v>
      </c>
    </row>
    <row r="783" spans="1:4" ht="31.5" customHeight="1" x14ac:dyDescent="0.25">
      <c r="A783" s="39" t="s">
        <v>4936</v>
      </c>
      <c r="B783" s="39" t="s">
        <v>4937</v>
      </c>
      <c r="C783" s="40" t="s">
        <v>3917</v>
      </c>
      <c r="D783" s="41" t="s">
        <v>3402</v>
      </c>
    </row>
    <row r="784" spans="1:4" ht="47.25" customHeight="1" x14ac:dyDescent="0.25">
      <c r="A784" s="39" t="s">
        <v>4938</v>
      </c>
      <c r="B784" s="39" t="s">
        <v>4939</v>
      </c>
      <c r="C784" s="40" t="s">
        <v>4940</v>
      </c>
      <c r="D784" s="41" t="s">
        <v>3403</v>
      </c>
    </row>
    <row r="785" spans="1:4" ht="31.5" customHeight="1" x14ac:dyDescent="0.25">
      <c r="A785" s="39" t="s">
        <v>4941</v>
      </c>
      <c r="B785" s="39" t="s">
        <v>4942</v>
      </c>
      <c r="C785" s="40" t="s">
        <v>1406</v>
      </c>
      <c r="D785" s="41" t="s">
        <v>3404</v>
      </c>
    </row>
    <row r="786" spans="1:4" ht="47.25" customHeight="1" x14ac:dyDescent="0.25">
      <c r="A786" s="39" t="s">
        <v>4943</v>
      </c>
      <c r="B786" s="39" t="s">
        <v>4944</v>
      </c>
      <c r="C786" s="40" t="s">
        <v>424</v>
      </c>
      <c r="D786" s="41" t="s">
        <v>3405</v>
      </c>
    </row>
    <row r="787" spans="1:4" ht="47.25" customHeight="1" x14ac:dyDescent="0.25">
      <c r="A787" s="39" t="s">
        <v>4945</v>
      </c>
      <c r="B787" s="39" t="s">
        <v>4946</v>
      </c>
      <c r="C787" s="40" t="s">
        <v>4171</v>
      </c>
      <c r="D787" s="41" t="s">
        <v>3406</v>
      </c>
    </row>
    <row r="788" spans="1:4" ht="47.25" customHeight="1" x14ac:dyDescent="0.25">
      <c r="A788" s="39" t="s">
        <v>4947</v>
      </c>
      <c r="B788" s="39" t="s">
        <v>4948</v>
      </c>
      <c r="C788" s="40" t="s">
        <v>852</v>
      </c>
      <c r="D788" s="41" t="s">
        <v>3407</v>
      </c>
    </row>
    <row r="789" spans="1:4" ht="31.5" customHeight="1" x14ac:dyDescent="0.25">
      <c r="A789" s="39" t="s">
        <v>4949</v>
      </c>
      <c r="B789" s="39" t="s">
        <v>4950</v>
      </c>
      <c r="C789" s="40" t="s">
        <v>4951</v>
      </c>
      <c r="D789" s="41" t="s">
        <v>3408</v>
      </c>
    </row>
    <row r="790" spans="1:4" ht="47.25" customHeight="1" x14ac:dyDescent="0.25">
      <c r="A790" s="39" t="s">
        <v>4952</v>
      </c>
      <c r="B790" s="39" t="s">
        <v>4953</v>
      </c>
      <c r="C790" s="40" t="s">
        <v>457</v>
      </c>
      <c r="D790" s="41" t="s">
        <v>3409</v>
      </c>
    </row>
    <row r="791" spans="1:4" ht="31.5" customHeight="1" x14ac:dyDescent="0.25">
      <c r="A791" s="39" t="s">
        <v>4954</v>
      </c>
      <c r="B791" s="39" t="s">
        <v>4955</v>
      </c>
      <c r="C791" s="40" t="s">
        <v>4154</v>
      </c>
      <c r="D791" s="41" t="s">
        <v>3410</v>
      </c>
    </row>
    <row r="792" spans="1:4" ht="47.25" customHeight="1" x14ac:dyDescent="0.25">
      <c r="A792" s="39" t="s">
        <v>4956</v>
      </c>
      <c r="B792" s="39" t="s">
        <v>4957</v>
      </c>
      <c r="C792" s="40" t="s">
        <v>985</v>
      </c>
      <c r="D792" s="41" t="s">
        <v>3411</v>
      </c>
    </row>
    <row r="793" spans="1:4" ht="47.25" customHeight="1" x14ac:dyDescent="0.25">
      <c r="A793" s="39" t="s">
        <v>4958</v>
      </c>
      <c r="B793" s="39" t="s">
        <v>4959</v>
      </c>
      <c r="C793" s="40" t="s">
        <v>3851</v>
      </c>
      <c r="D793" s="41" t="s">
        <v>3412</v>
      </c>
    </row>
    <row r="794" spans="1:4" ht="63" customHeight="1" x14ac:dyDescent="0.25">
      <c r="A794" s="39" t="s">
        <v>4960</v>
      </c>
      <c r="B794" s="39" t="s">
        <v>4961</v>
      </c>
      <c r="C794" s="40" t="s">
        <v>1134</v>
      </c>
      <c r="D794" s="41" t="s">
        <v>3413</v>
      </c>
    </row>
    <row r="795" spans="1:4" ht="63" customHeight="1" x14ac:dyDescent="0.25">
      <c r="A795" s="39" t="s">
        <v>4962</v>
      </c>
      <c r="B795" s="39" t="s">
        <v>4963</v>
      </c>
      <c r="C795" s="40" t="s">
        <v>606</v>
      </c>
      <c r="D795" s="41" t="s">
        <v>3414</v>
      </c>
    </row>
    <row r="796" spans="1:4" ht="47.25" customHeight="1" x14ac:dyDescent="0.25">
      <c r="A796" s="39" t="s">
        <v>4964</v>
      </c>
      <c r="B796" s="39" t="s">
        <v>4965</v>
      </c>
      <c r="C796" s="40" t="s">
        <v>685</v>
      </c>
      <c r="D796" s="41" t="s">
        <v>3415</v>
      </c>
    </row>
    <row r="797" spans="1:4" ht="78.75" customHeight="1" x14ac:dyDescent="0.25">
      <c r="A797" s="39" t="s">
        <v>4966</v>
      </c>
      <c r="B797" s="39" t="s">
        <v>4967</v>
      </c>
      <c r="C797" s="40" t="s">
        <v>4157</v>
      </c>
      <c r="D797" s="41" t="s">
        <v>3416</v>
      </c>
    </row>
    <row r="798" spans="1:4" ht="63" customHeight="1" x14ac:dyDescent="0.25">
      <c r="A798" s="39" t="s">
        <v>4968</v>
      </c>
      <c r="B798" s="39" t="s">
        <v>4969</v>
      </c>
      <c r="C798" s="40" t="s">
        <v>386</v>
      </c>
      <c r="D798" s="41" t="s">
        <v>3417</v>
      </c>
    </row>
    <row r="799" spans="1:4" ht="31.5" customHeight="1" x14ac:dyDescent="0.25">
      <c r="A799" s="39" t="s">
        <v>4970</v>
      </c>
      <c r="B799" s="39" t="s">
        <v>4971</v>
      </c>
      <c r="C799" s="40" t="s">
        <v>537</v>
      </c>
      <c r="D799" s="41" t="s">
        <v>3418</v>
      </c>
    </row>
    <row r="800" spans="1:4" ht="31.5" customHeight="1" x14ac:dyDescent="0.25">
      <c r="A800" s="39" t="s">
        <v>4972</v>
      </c>
      <c r="B800" s="39" t="s">
        <v>4973</v>
      </c>
      <c r="C800" s="40" t="s">
        <v>1725</v>
      </c>
      <c r="D800" s="41" t="s">
        <v>3419</v>
      </c>
    </row>
    <row r="801" spans="1:4" ht="47.25" customHeight="1" x14ac:dyDescent="0.25">
      <c r="A801" s="39" t="s">
        <v>4974</v>
      </c>
      <c r="B801" s="39" t="s">
        <v>4975</v>
      </c>
      <c r="C801" s="40" t="s">
        <v>661</v>
      </c>
      <c r="D801" s="41" t="s">
        <v>3420</v>
      </c>
    </row>
    <row r="802" spans="1:4" ht="31.5" customHeight="1" x14ac:dyDescent="0.25">
      <c r="A802" s="39" t="s">
        <v>4976</v>
      </c>
      <c r="B802" s="39" t="s">
        <v>4977</v>
      </c>
      <c r="C802" s="40" t="s">
        <v>952</v>
      </c>
      <c r="D802" s="41" t="s">
        <v>3421</v>
      </c>
    </row>
    <row r="803" spans="1:4" ht="47.25" customHeight="1" x14ac:dyDescent="0.25">
      <c r="A803" s="39" t="s">
        <v>4978</v>
      </c>
      <c r="B803" s="39" t="s">
        <v>4979</v>
      </c>
      <c r="C803" s="40" t="s">
        <v>1134</v>
      </c>
      <c r="D803" s="41" t="s">
        <v>3422</v>
      </c>
    </row>
    <row r="804" spans="1:4" ht="47.25" customHeight="1" x14ac:dyDescent="0.25">
      <c r="A804" s="39" t="s">
        <v>4980</v>
      </c>
      <c r="B804" s="39" t="s">
        <v>4981</v>
      </c>
      <c r="C804" s="40" t="s">
        <v>4001</v>
      </c>
      <c r="D804" s="41" t="s">
        <v>3423</v>
      </c>
    </row>
    <row r="805" spans="1:4" ht="47.25" customHeight="1" x14ac:dyDescent="0.25">
      <c r="A805" s="39" t="s">
        <v>4982</v>
      </c>
      <c r="B805" s="39" t="s">
        <v>4983</v>
      </c>
      <c r="C805" s="40" t="s">
        <v>3992</v>
      </c>
      <c r="D805" s="41" t="s">
        <v>3424</v>
      </c>
    </row>
    <row r="806" spans="1:4" ht="47.25" customHeight="1" x14ac:dyDescent="0.25">
      <c r="A806" s="39" t="s">
        <v>4984</v>
      </c>
      <c r="B806" s="39" t="s">
        <v>4985</v>
      </c>
      <c r="C806" s="40" t="s">
        <v>352</v>
      </c>
      <c r="D806" s="41" t="s">
        <v>3425</v>
      </c>
    </row>
    <row r="807" spans="1:4" ht="63" customHeight="1" x14ac:dyDescent="0.25">
      <c r="A807" s="39" t="s">
        <v>4986</v>
      </c>
      <c r="B807" s="39" t="s">
        <v>4987</v>
      </c>
      <c r="C807" s="40" t="s">
        <v>4157</v>
      </c>
      <c r="D807" s="41" t="s">
        <v>3426</v>
      </c>
    </row>
    <row r="808" spans="1:4" ht="47.25" customHeight="1" x14ac:dyDescent="0.25">
      <c r="A808" s="39" t="s">
        <v>4988</v>
      </c>
      <c r="B808" s="39" t="s">
        <v>4989</v>
      </c>
      <c r="C808" s="40" t="s">
        <v>4990</v>
      </c>
      <c r="D808" s="41" t="s">
        <v>3427</v>
      </c>
    </row>
    <row r="809" spans="1:4" ht="47.25" customHeight="1" x14ac:dyDescent="0.25">
      <c r="A809" s="39" t="s">
        <v>4991</v>
      </c>
      <c r="B809" s="39" t="s">
        <v>4992</v>
      </c>
      <c r="C809" s="40" t="s">
        <v>4993</v>
      </c>
      <c r="D809" s="41" t="s">
        <v>3428</v>
      </c>
    </row>
    <row r="810" spans="1:4" ht="47.25" customHeight="1" x14ac:dyDescent="0.25">
      <c r="A810" s="39" t="s">
        <v>4994</v>
      </c>
      <c r="B810" s="39" t="s">
        <v>4995</v>
      </c>
      <c r="C810" s="40" t="s">
        <v>3992</v>
      </c>
      <c r="D810" s="41" t="s">
        <v>3429</v>
      </c>
    </row>
    <row r="811" spans="1:4" ht="47.25" customHeight="1" x14ac:dyDescent="0.25">
      <c r="A811" s="39" t="s">
        <v>4996</v>
      </c>
      <c r="B811" s="39" t="s">
        <v>4997</v>
      </c>
      <c r="C811" s="40" t="s">
        <v>106</v>
      </c>
      <c r="D811" s="41" t="s">
        <v>3430</v>
      </c>
    </row>
    <row r="812" spans="1:4" ht="47.25" customHeight="1" x14ac:dyDescent="0.25">
      <c r="A812" s="39" t="s">
        <v>4998</v>
      </c>
      <c r="B812" s="39" t="s">
        <v>4999</v>
      </c>
      <c r="C812" s="40" t="s">
        <v>5000</v>
      </c>
      <c r="D812" s="41" t="s">
        <v>3431</v>
      </c>
    </row>
    <row r="813" spans="1:4" ht="63" customHeight="1" x14ac:dyDescent="0.25">
      <c r="A813" s="39" t="s">
        <v>5001</v>
      </c>
      <c r="B813" s="39" t="s">
        <v>5002</v>
      </c>
      <c r="C813" s="40" t="s">
        <v>814</v>
      </c>
      <c r="D813" s="41" t="s">
        <v>3432</v>
      </c>
    </row>
    <row r="814" spans="1:4" ht="31.5" customHeight="1" x14ac:dyDescent="0.25">
      <c r="A814" s="39" t="s">
        <v>5003</v>
      </c>
      <c r="B814" s="39" t="s">
        <v>5004</v>
      </c>
      <c r="C814" s="40" t="s">
        <v>1356</v>
      </c>
      <c r="D814" s="41" t="s">
        <v>3433</v>
      </c>
    </row>
    <row r="815" spans="1:4" ht="78.75" customHeight="1" x14ac:dyDescent="0.25">
      <c r="A815" s="39" t="s">
        <v>5005</v>
      </c>
      <c r="B815" s="39" t="s">
        <v>5006</v>
      </c>
      <c r="C815" s="40" t="s">
        <v>5007</v>
      </c>
      <c r="D815" s="41" t="s">
        <v>3434</v>
      </c>
    </row>
    <row r="816" spans="1:4" ht="63" customHeight="1" x14ac:dyDescent="0.25">
      <c r="A816" s="39" t="s">
        <v>5008</v>
      </c>
      <c r="B816" s="39" t="s">
        <v>5009</v>
      </c>
      <c r="C816" s="40" t="s">
        <v>391</v>
      </c>
      <c r="D816" s="41" t="s">
        <v>3435</v>
      </c>
    </row>
    <row r="817" spans="1:4" ht="78.75" customHeight="1" x14ac:dyDescent="0.25">
      <c r="A817" s="39" t="s">
        <v>5010</v>
      </c>
      <c r="B817" s="39" t="s">
        <v>5011</v>
      </c>
      <c r="C817" s="40" t="s">
        <v>240</v>
      </c>
      <c r="D817" s="41" t="s">
        <v>3436</v>
      </c>
    </row>
    <row r="818" spans="1:4" ht="31.5" customHeight="1" x14ac:dyDescent="0.25">
      <c r="A818" s="39" t="s">
        <v>5012</v>
      </c>
      <c r="B818" s="39" t="s">
        <v>5013</v>
      </c>
      <c r="C818" s="40" t="s">
        <v>5014</v>
      </c>
      <c r="D818" s="41" t="s">
        <v>3437</v>
      </c>
    </row>
    <row r="819" spans="1:4" ht="31.5" customHeight="1" x14ac:dyDescent="0.25">
      <c r="A819" s="39" t="s">
        <v>5015</v>
      </c>
      <c r="B819" s="39" t="s">
        <v>5016</v>
      </c>
      <c r="C819" s="40" t="s">
        <v>1356</v>
      </c>
      <c r="D819" s="41" t="s">
        <v>3438</v>
      </c>
    </row>
    <row r="820" spans="1:4" ht="47.25" customHeight="1" x14ac:dyDescent="0.25">
      <c r="A820" s="39" t="s">
        <v>5017</v>
      </c>
      <c r="B820" s="39" t="s">
        <v>5018</v>
      </c>
      <c r="C820" s="40" t="s">
        <v>1555</v>
      </c>
      <c r="D820" s="41" t="s">
        <v>3439</v>
      </c>
    </row>
    <row r="821" spans="1:4" ht="63" customHeight="1" x14ac:dyDescent="0.25">
      <c r="A821" s="39" t="s">
        <v>5019</v>
      </c>
      <c r="B821" s="39" t="s">
        <v>5020</v>
      </c>
      <c r="C821" s="40" t="s">
        <v>5021</v>
      </c>
      <c r="D821" s="41" t="s">
        <v>3440</v>
      </c>
    </row>
    <row r="822" spans="1:4" ht="31.5" customHeight="1" x14ac:dyDescent="0.25">
      <c r="A822" s="39" t="s">
        <v>5022</v>
      </c>
      <c r="B822" s="39" t="s">
        <v>5023</v>
      </c>
      <c r="C822" s="40" t="s">
        <v>4426</v>
      </c>
      <c r="D822" s="41" t="s">
        <v>3441</v>
      </c>
    </row>
    <row r="823" spans="1:4" ht="31.5" customHeight="1" x14ac:dyDescent="0.25">
      <c r="A823" s="39" t="s">
        <v>5024</v>
      </c>
      <c r="B823" s="39" t="s">
        <v>5025</v>
      </c>
      <c r="C823" s="40" t="s">
        <v>1356</v>
      </c>
      <c r="D823" s="41" t="s">
        <v>3442</v>
      </c>
    </row>
    <row r="824" spans="1:4" x14ac:dyDescent="0.25">
      <c r="A824" s="39" t="s">
        <v>5026</v>
      </c>
      <c r="B824" s="39" t="s">
        <v>5027</v>
      </c>
      <c r="C824" s="40" t="s">
        <v>2079</v>
      </c>
      <c r="D824" s="41" t="s">
        <v>3443</v>
      </c>
    </row>
    <row r="825" spans="1:4" ht="31.5" customHeight="1" x14ac:dyDescent="0.25">
      <c r="A825" s="39" t="s">
        <v>5028</v>
      </c>
      <c r="B825" s="39" t="s">
        <v>5029</v>
      </c>
      <c r="C825" s="40" t="s">
        <v>4426</v>
      </c>
      <c r="D825" s="41" t="s">
        <v>3444</v>
      </c>
    </row>
    <row r="826" spans="1:4" ht="63" customHeight="1" x14ac:dyDescent="0.25">
      <c r="A826" s="39" t="s">
        <v>5030</v>
      </c>
      <c r="B826" s="39" t="s">
        <v>5031</v>
      </c>
      <c r="C826" s="40" t="s">
        <v>92</v>
      </c>
      <c r="D826" s="41" t="s">
        <v>3445</v>
      </c>
    </row>
    <row r="827" spans="1:4" ht="78.75" customHeight="1" x14ac:dyDescent="0.25">
      <c r="A827" s="39" t="s">
        <v>5032</v>
      </c>
      <c r="B827" s="39" t="s">
        <v>5033</v>
      </c>
      <c r="C827" s="40" t="s">
        <v>4990</v>
      </c>
      <c r="D827" s="41" t="s">
        <v>3446</v>
      </c>
    </row>
    <row r="828" spans="1:4" ht="47.25" customHeight="1" x14ac:dyDescent="0.25">
      <c r="A828" s="39" t="s">
        <v>5034</v>
      </c>
      <c r="B828" s="39" t="s">
        <v>5035</v>
      </c>
      <c r="C828" s="40" t="s">
        <v>2469</v>
      </c>
      <c r="D828" s="41" t="s">
        <v>3447</v>
      </c>
    </row>
    <row r="829" spans="1:4" ht="31.5" customHeight="1" x14ac:dyDescent="0.25">
      <c r="A829" s="39" t="s">
        <v>5036</v>
      </c>
      <c r="B829" s="39" t="s">
        <v>5037</v>
      </c>
      <c r="C829" s="40" t="s">
        <v>4466</v>
      </c>
      <c r="D829" s="41" t="s">
        <v>3448</v>
      </c>
    </row>
    <row r="830" spans="1:4" ht="63" customHeight="1" x14ac:dyDescent="0.25">
      <c r="A830" s="39" t="s">
        <v>5038</v>
      </c>
      <c r="B830" s="39" t="s">
        <v>5039</v>
      </c>
      <c r="C830" s="40" t="s">
        <v>1509</v>
      </c>
      <c r="D830" s="41" t="s">
        <v>3449</v>
      </c>
    </row>
    <row r="831" spans="1:4" ht="47.25" customHeight="1" x14ac:dyDescent="0.25">
      <c r="A831" s="39" t="s">
        <v>5040</v>
      </c>
      <c r="B831" s="39" t="s">
        <v>5041</v>
      </c>
      <c r="C831" s="40" t="s">
        <v>4466</v>
      </c>
      <c r="D831" s="41" t="s">
        <v>3450</v>
      </c>
    </row>
    <row r="832" spans="1:4" ht="63" customHeight="1" x14ac:dyDescent="0.25">
      <c r="A832" s="39" t="s">
        <v>5042</v>
      </c>
      <c r="B832" s="39" t="s">
        <v>5043</v>
      </c>
      <c r="C832" s="40" t="s">
        <v>661</v>
      </c>
      <c r="D832" s="41" t="s">
        <v>3451</v>
      </c>
    </row>
    <row r="833" spans="1:5" ht="31.5" customHeight="1" x14ac:dyDescent="0.25">
      <c r="A833" s="39" t="s">
        <v>5044</v>
      </c>
      <c r="B833" s="39" t="s">
        <v>5045</v>
      </c>
      <c r="C833" s="40" t="s">
        <v>1327</v>
      </c>
      <c r="D833" s="41" t="s">
        <v>3452</v>
      </c>
    </row>
    <row r="834" spans="1:5" ht="31.5" customHeight="1" x14ac:dyDescent="0.25">
      <c r="A834" s="39" t="s">
        <v>5046</v>
      </c>
      <c r="B834" s="39" t="s">
        <v>5047</v>
      </c>
      <c r="C834" s="40" t="s">
        <v>5048</v>
      </c>
      <c r="D834" s="41" t="s">
        <v>3453</v>
      </c>
    </row>
    <row r="835" spans="1:5" ht="47.25" customHeight="1" x14ac:dyDescent="0.25">
      <c r="A835" s="39" t="s">
        <v>5049</v>
      </c>
      <c r="B835" s="39" t="s">
        <v>5050</v>
      </c>
      <c r="C835" s="40" t="s">
        <v>157</v>
      </c>
      <c r="D835" s="41" t="s">
        <v>3454</v>
      </c>
    </row>
    <row r="836" spans="1:5" ht="47.25" customHeight="1" x14ac:dyDescent="0.25">
      <c r="A836" s="39" t="s">
        <v>5051</v>
      </c>
      <c r="B836" s="39" t="s">
        <v>5052</v>
      </c>
      <c r="C836" s="40" t="s">
        <v>4466</v>
      </c>
      <c r="D836" s="41" t="s">
        <v>3455</v>
      </c>
    </row>
    <row r="837" spans="1:5" ht="63" customHeight="1" x14ac:dyDescent="0.25">
      <c r="A837" s="39" t="s">
        <v>5053</v>
      </c>
      <c r="B837" s="39" t="s">
        <v>5054</v>
      </c>
      <c r="C837" s="40" t="s">
        <v>5055</v>
      </c>
      <c r="D837" s="41" t="s">
        <v>3456</v>
      </c>
    </row>
    <row r="838" spans="1:5" ht="31.5" customHeight="1" x14ac:dyDescent="0.25">
      <c r="A838" s="39" t="s">
        <v>5056</v>
      </c>
      <c r="B838" s="39" t="s">
        <v>5057</v>
      </c>
      <c r="C838" s="40" t="s">
        <v>4940</v>
      </c>
      <c r="D838" s="41" t="s">
        <v>3457</v>
      </c>
    </row>
    <row r="839" spans="1:5" ht="47.25" customHeight="1" x14ac:dyDescent="0.25">
      <c r="A839" s="39" t="s">
        <v>5058</v>
      </c>
      <c r="B839" s="39" t="s">
        <v>5059</v>
      </c>
      <c r="C839" s="40" t="s">
        <v>5060</v>
      </c>
      <c r="D839" s="41" t="s">
        <v>3458</v>
      </c>
    </row>
    <row r="840" spans="1:5" ht="31.5" customHeight="1" x14ac:dyDescent="0.25">
      <c r="A840" s="39" t="s">
        <v>5061</v>
      </c>
      <c r="B840" s="39" t="s">
        <v>5062</v>
      </c>
      <c r="C840" s="40" t="s">
        <v>5063</v>
      </c>
      <c r="D840" s="41" t="s">
        <v>3459</v>
      </c>
    </row>
    <row r="841" spans="1:5" ht="63" customHeight="1" x14ac:dyDescent="0.25">
      <c r="A841" s="39" t="s">
        <v>5064</v>
      </c>
      <c r="B841" s="39" t="s">
        <v>5065</v>
      </c>
      <c r="C841" s="40" t="s">
        <v>2218</v>
      </c>
      <c r="D841" s="41" t="s">
        <v>3460</v>
      </c>
    </row>
    <row r="842" spans="1:5" ht="47.25" customHeight="1" x14ac:dyDescent="0.25">
      <c r="A842" s="39" t="s">
        <v>5066</v>
      </c>
      <c r="B842" s="39" t="s">
        <v>5067</v>
      </c>
      <c r="C842" s="40" t="s">
        <v>2218</v>
      </c>
      <c r="D842" s="41" t="s">
        <v>3461</v>
      </c>
    </row>
    <row r="843" spans="1:5" ht="47.25" customHeight="1" x14ac:dyDescent="0.25">
      <c r="A843" s="39" t="s">
        <v>5068</v>
      </c>
      <c r="B843" s="39" t="s">
        <v>5069</v>
      </c>
      <c r="C843" s="40" t="s">
        <v>5070</v>
      </c>
      <c r="D843" s="41" t="s">
        <v>3462</v>
      </c>
    </row>
    <row r="844" spans="1:5" ht="31.5" customHeight="1" x14ac:dyDescent="0.25">
      <c r="A844" s="39" t="s">
        <v>5071</v>
      </c>
      <c r="B844" s="39" t="s">
        <v>5072</v>
      </c>
      <c r="C844" s="40" t="s">
        <v>1225</v>
      </c>
      <c r="D844" s="41" t="s">
        <v>3463</v>
      </c>
    </row>
    <row r="845" spans="1:5" s="28" customFormat="1" ht="31.5" customHeight="1" x14ac:dyDescent="0.25">
      <c r="A845" s="39" t="s">
        <v>5073</v>
      </c>
      <c r="B845" s="39" t="s">
        <v>5074</v>
      </c>
      <c r="C845" s="40" t="s">
        <v>5075</v>
      </c>
      <c r="D845" s="41" t="s">
        <v>3464</v>
      </c>
      <c r="E845" s="26"/>
    </row>
    <row r="846" spans="1:5" s="28" customFormat="1" ht="63" customHeight="1" x14ac:dyDescent="0.25">
      <c r="A846" s="39" t="s">
        <v>5076</v>
      </c>
      <c r="B846" s="39" t="s">
        <v>5077</v>
      </c>
      <c r="C846" s="40" t="s">
        <v>1560</v>
      </c>
      <c r="D846" s="41" t="s">
        <v>3465</v>
      </c>
      <c r="E846" s="26"/>
    </row>
    <row r="847" spans="1:5" s="28" customFormat="1" ht="31.5" customHeight="1" x14ac:dyDescent="0.25">
      <c r="A847" s="39" t="s">
        <v>5078</v>
      </c>
      <c r="B847" s="39" t="s">
        <v>5079</v>
      </c>
      <c r="C847" s="40" t="s">
        <v>823</v>
      </c>
      <c r="D847" s="41" t="s">
        <v>3466</v>
      </c>
      <c r="E847" s="26"/>
    </row>
    <row r="848" spans="1:5" s="28" customFormat="1" ht="47.25" customHeight="1" x14ac:dyDescent="0.25">
      <c r="A848" s="39" t="s">
        <v>5080</v>
      </c>
      <c r="B848" s="39" t="s">
        <v>5081</v>
      </c>
      <c r="C848" s="40" t="s">
        <v>4171</v>
      </c>
      <c r="D848" s="41" t="s">
        <v>3467</v>
      </c>
      <c r="E848" s="26"/>
    </row>
    <row r="849" spans="1:5" s="28" customFormat="1" ht="31.5" customHeight="1" x14ac:dyDescent="0.25">
      <c r="A849" s="39" t="s">
        <v>5082</v>
      </c>
      <c r="B849" s="39" t="s">
        <v>5083</v>
      </c>
      <c r="C849" s="40" t="s">
        <v>5075</v>
      </c>
      <c r="D849" s="41" t="s">
        <v>3468</v>
      </c>
      <c r="E849" s="26"/>
    </row>
    <row r="850" spans="1:5" s="28" customFormat="1" ht="31.5" customHeight="1" x14ac:dyDescent="0.25">
      <c r="A850" s="39" t="s">
        <v>5084</v>
      </c>
      <c r="B850" s="39" t="s">
        <v>5085</v>
      </c>
      <c r="C850" s="40" t="s">
        <v>4161</v>
      </c>
      <c r="D850" s="41" t="s">
        <v>3469</v>
      </c>
      <c r="E850" s="26"/>
    </row>
    <row r="851" spans="1:5" s="28" customFormat="1" ht="47.25" customHeight="1" x14ac:dyDescent="0.25">
      <c r="A851" s="39" t="s">
        <v>5086</v>
      </c>
      <c r="B851" s="39" t="s">
        <v>5087</v>
      </c>
      <c r="C851" s="40" t="s">
        <v>1504</v>
      </c>
      <c r="D851" s="41" t="s">
        <v>3470</v>
      </c>
      <c r="E851" s="26"/>
    </row>
    <row r="852" spans="1:5" s="28" customFormat="1" ht="31.5" customHeight="1" x14ac:dyDescent="0.25">
      <c r="A852" s="39" t="s">
        <v>5088</v>
      </c>
      <c r="B852" s="39" t="s">
        <v>5089</v>
      </c>
      <c r="C852" s="40" t="s">
        <v>4579</v>
      </c>
      <c r="D852" s="41" t="s">
        <v>3471</v>
      </c>
      <c r="E852" s="26"/>
    </row>
    <row r="853" spans="1:5" s="28" customFormat="1" ht="63" customHeight="1" x14ac:dyDescent="0.25">
      <c r="A853" s="39" t="s">
        <v>5090</v>
      </c>
      <c r="B853" s="39" t="s">
        <v>5091</v>
      </c>
      <c r="C853" s="40" t="s">
        <v>192</v>
      </c>
      <c r="D853" s="41" t="s">
        <v>3472</v>
      </c>
      <c r="E853" s="26"/>
    </row>
    <row r="854" spans="1:5" s="28" customFormat="1" ht="31.5" customHeight="1" x14ac:dyDescent="0.25">
      <c r="A854" s="39" t="s">
        <v>5092</v>
      </c>
      <c r="B854" s="39" t="s">
        <v>5093</v>
      </c>
      <c r="C854" s="40" t="s">
        <v>1401</v>
      </c>
      <c r="D854" s="41" t="s">
        <v>3473</v>
      </c>
      <c r="E854" s="26"/>
    </row>
    <row r="855" spans="1:5" s="28" customFormat="1" ht="31.5" customHeight="1" x14ac:dyDescent="0.25">
      <c r="A855" s="39" t="s">
        <v>5094</v>
      </c>
      <c r="B855" s="39" t="s">
        <v>5095</v>
      </c>
      <c r="C855" s="40" t="s">
        <v>447</v>
      </c>
      <c r="D855" s="41" t="s">
        <v>3474</v>
      </c>
      <c r="E855" s="26"/>
    </row>
    <row r="856" spans="1:5" s="28" customFormat="1" ht="47.25" customHeight="1" x14ac:dyDescent="0.25">
      <c r="A856" s="39" t="s">
        <v>5096</v>
      </c>
      <c r="B856" s="39" t="s">
        <v>5097</v>
      </c>
      <c r="C856" s="40" t="s">
        <v>4466</v>
      </c>
      <c r="D856" s="41" t="s">
        <v>3475</v>
      </c>
      <c r="E856" s="26"/>
    </row>
    <row r="857" spans="1:5" s="28" customFormat="1" ht="63" customHeight="1" x14ac:dyDescent="0.25">
      <c r="A857" s="39" t="s">
        <v>5098</v>
      </c>
      <c r="B857" s="39" t="s">
        <v>5099</v>
      </c>
      <c r="C857" s="40" t="s">
        <v>4363</v>
      </c>
      <c r="D857" s="41" t="s">
        <v>3476</v>
      </c>
      <c r="E857" s="26"/>
    </row>
    <row r="858" spans="1:5" s="28" customFormat="1" ht="31.5" customHeight="1" x14ac:dyDescent="0.25">
      <c r="A858" s="39" t="s">
        <v>5100</v>
      </c>
      <c r="B858" s="39" t="s">
        <v>5101</v>
      </c>
      <c r="C858" s="40" t="s">
        <v>424</v>
      </c>
      <c r="D858" s="41" t="s">
        <v>3477</v>
      </c>
      <c r="E858" s="26"/>
    </row>
    <row r="859" spans="1:5" ht="47.25" customHeight="1" x14ac:dyDescent="0.25">
      <c r="A859" s="39" t="s">
        <v>5102</v>
      </c>
      <c r="B859" s="39" t="s">
        <v>5103</v>
      </c>
      <c r="C859" s="40" t="s">
        <v>1459</v>
      </c>
      <c r="D859" s="41" t="s">
        <v>3478</v>
      </c>
    </row>
    <row r="860" spans="1:5" ht="47.25" customHeight="1" x14ac:dyDescent="0.25">
      <c r="A860" s="39" t="s">
        <v>5104</v>
      </c>
      <c r="B860" s="39" t="s">
        <v>5105</v>
      </c>
      <c r="C860" s="40" t="s">
        <v>192</v>
      </c>
      <c r="D860" s="41" t="s">
        <v>3479</v>
      </c>
    </row>
    <row r="861" spans="1:5" ht="31.5" customHeight="1" x14ac:dyDescent="0.25">
      <c r="A861" s="39" t="s">
        <v>5106</v>
      </c>
      <c r="B861" s="39" t="s">
        <v>5107</v>
      </c>
      <c r="C861" s="40" t="s">
        <v>5108</v>
      </c>
      <c r="D861" s="41" t="s">
        <v>3480</v>
      </c>
    </row>
    <row r="862" spans="1:5" ht="47.25" customHeight="1" x14ac:dyDescent="0.25">
      <c r="A862" s="39" t="s">
        <v>5109</v>
      </c>
      <c r="B862" s="39" t="s">
        <v>5110</v>
      </c>
      <c r="C862" s="40" t="s">
        <v>5111</v>
      </c>
      <c r="D862" s="41" t="s">
        <v>3481</v>
      </c>
    </row>
    <row r="863" spans="1:5" ht="47.25" customHeight="1" x14ac:dyDescent="0.25">
      <c r="A863" s="39" t="s">
        <v>5112</v>
      </c>
      <c r="B863" s="39" t="s">
        <v>5113</v>
      </c>
      <c r="C863" s="40" t="s">
        <v>2066</v>
      </c>
      <c r="D863" s="41" t="s">
        <v>3482</v>
      </c>
    </row>
    <row r="864" spans="1:5" ht="31.5" customHeight="1" x14ac:dyDescent="0.25">
      <c r="A864" s="39" t="s">
        <v>5114</v>
      </c>
      <c r="B864" s="39" t="s">
        <v>5115</v>
      </c>
      <c r="C864" s="40" t="s">
        <v>4426</v>
      </c>
      <c r="D864" s="41" t="s">
        <v>3483</v>
      </c>
    </row>
    <row r="865" spans="1:4" ht="31.5" customHeight="1" x14ac:dyDescent="0.25">
      <c r="A865" s="39" t="s">
        <v>5116</v>
      </c>
      <c r="B865" s="39" t="s">
        <v>5117</v>
      </c>
      <c r="C865" s="40" t="s">
        <v>606</v>
      </c>
      <c r="D865" s="41" t="s">
        <v>3484</v>
      </c>
    </row>
    <row r="866" spans="1:4" ht="47.25" customHeight="1" x14ac:dyDescent="0.25">
      <c r="A866" s="39" t="s">
        <v>5118</v>
      </c>
      <c r="B866" s="39" t="s">
        <v>5119</v>
      </c>
      <c r="C866" s="40" t="s">
        <v>2066</v>
      </c>
      <c r="D866" s="41" t="s">
        <v>3485</v>
      </c>
    </row>
    <row r="867" spans="1:4" ht="47.25" customHeight="1" x14ac:dyDescent="0.25">
      <c r="A867" s="39" t="s">
        <v>5120</v>
      </c>
      <c r="B867" s="39" t="s">
        <v>5121</v>
      </c>
      <c r="C867" s="40" t="s">
        <v>199</v>
      </c>
      <c r="D867" s="41" t="s">
        <v>3486</v>
      </c>
    </row>
    <row r="868" spans="1:4" ht="63" customHeight="1" x14ac:dyDescent="0.25">
      <c r="A868" s="39" t="s">
        <v>5122</v>
      </c>
      <c r="B868" s="39" t="s">
        <v>5123</v>
      </c>
      <c r="C868" s="40" t="s">
        <v>5124</v>
      </c>
      <c r="D868" s="41" t="s">
        <v>3487</v>
      </c>
    </row>
    <row r="869" spans="1:4" ht="47.25" customHeight="1" x14ac:dyDescent="0.25">
      <c r="A869" s="39" t="s">
        <v>5125</v>
      </c>
      <c r="B869" s="39" t="s">
        <v>5126</v>
      </c>
      <c r="C869" s="40" t="s">
        <v>2218</v>
      </c>
      <c r="D869" s="41" t="s">
        <v>3488</v>
      </c>
    </row>
    <row r="870" spans="1:4" ht="31.5" customHeight="1" x14ac:dyDescent="0.25">
      <c r="A870" s="39" t="s">
        <v>5127</v>
      </c>
      <c r="B870" s="39" t="s">
        <v>5128</v>
      </c>
      <c r="C870" s="40" t="s">
        <v>2218</v>
      </c>
      <c r="D870" s="41" t="s">
        <v>3489</v>
      </c>
    </row>
    <row r="871" spans="1:4" ht="31.5" customHeight="1" x14ac:dyDescent="0.25">
      <c r="A871" s="39" t="s">
        <v>5129</v>
      </c>
      <c r="B871" s="39" t="s">
        <v>5130</v>
      </c>
      <c r="C871" s="40" t="s">
        <v>2218</v>
      </c>
      <c r="D871" s="41" t="s">
        <v>3490</v>
      </c>
    </row>
    <row r="872" spans="1:4" ht="31.5" customHeight="1" x14ac:dyDescent="0.25">
      <c r="A872" s="39" t="s">
        <v>5131</v>
      </c>
      <c r="B872" s="39" t="s">
        <v>5132</v>
      </c>
      <c r="C872" s="40" t="s">
        <v>2218</v>
      </c>
      <c r="D872" s="41" t="s">
        <v>3491</v>
      </c>
    </row>
    <row r="873" spans="1:4" ht="31.5" customHeight="1" x14ac:dyDescent="0.25">
      <c r="A873" s="39" t="s">
        <v>5133</v>
      </c>
      <c r="B873" s="39" t="s">
        <v>5134</v>
      </c>
      <c r="C873" s="40" t="s">
        <v>106</v>
      </c>
      <c r="D873" s="41" t="s">
        <v>3492</v>
      </c>
    </row>
    <row r="874" spans="1:4" ht="47.25" customHeight="1" x14ac:dyDescent="0.25">
      <c r="A874" s="39" t="s">
        <v>5135</v>
      </c>
      <c r="B874" s="39" t="s">
        <v>5136</v>
      </c>
      <c r="C874" s="40" t="s">
        <v>106</v>
      </c>
      <c r="D874" s="41" t="s">
        <v>3493</v>
      </c>
    </row>
    <row r="875" spans="1:4" ht="31.5" customHeight="1" x14ac:dyDescent="0.25">
      <c r="A875" s="39" t="s">
        <v>5137</v>
      </c>
      <c r="B875" s="39" t="s">
        <v>5138</v>
      </c>
      <c r="C875" s="40" t="s">
        <v>391</v>
      </c>
      <c r="D875" s="41" t="s">
        <v>3494</v>
      </c>
    </row>
    <row r="876" spans="1:4" ht="47.25" customHeight="1" x14ac:dyDescent="0.25">
      <c r="A876" s="39" t="s">
        <v>5139</v>
      </c>
      <c r="B876" s="39" t="s">
        <v>5140</v>
      </c>
      <c r="C876" s="40" t="s">
        <v>1235</v>
      </c>
      <c r="D876" s="41" t="s">
        <v>3495</v>
      </c>
    </row>
    <row r="877" spans="1:4" ht="31.5" customHeight="1" x14ac:dyDescent="0.25">
      <c r="A877" s="39" t="s">
        <v>5141</v>
      </c>
      <c r="B877" s="39" t="s">
        <v>5142</v>
      </c>
      <c r="C877" s="40" t="s">
        <v>2066</v>
      </c>
      <c r="D877" s="41" t="s">
        <v>3496</v>
      </c>
    </row>
    <row r="878" spans="1:4" ht="47.25" customHeight="1" x14ac:dyDescent="0.25">
      <c r="A878" s="39" t="s">
        <v>5143</v>
      </c>
      <c r="B878" s="39" t="s">
        <v>5144</v>
      </c>
      <c r="C878" s="40" t="s">
        <v>965</v>
      </c>
      <c r="D878" s="41" t="s">
        <v>3497</v>
      </c>
    </row>
    <row r="879" spans="1:4" ht="63" customHeight="1" x14ac:dyDescent="0.25">
      <c r="A879" s="39" t="s">
        <v>5145</v>
      </c>
      <c r="B879" s="39" t="s">
        <v>5146</v>
      </c>
      <c r="C879" s="40" t="s">
        <v>386</v>
      </c>
      <c r="D879" s="41" t="s">
        <v>3498</v>
      </c>
    </row>
    <row r="880" spans="1:4" ht="63" customHeight="1" x14ac:dyDescent="0.25">
      <c r="A880" s="39" t="s">
        <v>5147</v>
      </c>
      <c r="B880" s="39" t="s">
        <v>5148</v>
      </c>
      <c r="C880" s="40" t="s">
        <v>199</v>
      </c>
      <c r="D880" s="41" t="s">
        <v>3499</v>
      </c>
    </row>
    <row r="881" spans="1:4" ht="63" customHeight="1" x14ac:dyDescent="0.25">
      <c r="A881" s="39" t="s">
        <v>5149</v>
      </c>
      <c r="B881" s="39" t="s">
        <v>5150</v>
      </c>
      <c r="C881" s="40" t="s">
        <v>3997</v>
      </c>
      <c r="D881" s="41" t="s">
        <v>3500</v>
      </c>
    </row>
    <row r="882" spans="1:4" ht="63" customHeight="1" x14ac:dyDescent="0.25">
      <c r="A882" s="39" t="s">
        <v>5151</v>
      </c>
      <c r="B882" s="39" t="s">
        <v>5152</v>
      </c>
      <c r="C882" s="40" t="s">
        <v>407</v>
      </c>
      <c r="D882" s="41" t="s">
        <v>3501</v>
      </c>
    </row>
    <row r="883" spans="1:4" ht="63" customHeight="1" x14ac:dyDescent="0.25">
      <c r="A883" s="39" t="s">
        <v>5153</v>
      </c>
      <c r="B883" s="39" t="s">
        <v>5154</v>
      </c>
      <c r="C883" s="40" t="s">
        <v>5155</v>
      </c>
      <c r="D883" s="41" t="s">
        <v>3502</v>
      </c>
    </row>
    <row r="884" spans="1:4" ht="47.25" customHeight="1" x14ac:dyDescent="0.25">
      <c r="A884" s="39" t="s">
        <v>5156</v>
      </c>
      <c r="B884" s="39" t="s">
        <v>5157</v>
      </c>
      <c r="C884" s="40" t="s">
        <v>1157</v>
      </c>
      <c r="D884" s="41" t="s">
        <v>3503</v>
      </c>
    </row>
    <row r="885" spans="1:4" ht="47.25" customHeight="1" x14ac:dyDescent="0.25">
      <c r="A885" s="39" t="s">
        <v>5158</v>
      </c>
      <c r="B885" s="39" t="s">
        <v>5159</v>
      </c>
      <c r="C885" s="40" t="s">
        <v>496</v>
      </c>
      <c r="D885" s="41" t="s">
        <v>3504</v>
      </c>
    </row>
    <row r="886" spans="1:4" ht="47.25" customHeight="1" x14ac:dyDescent="0.25">
      <c r="A886" s="39" t="s">
        <v>5160</v>
      </c>
      <c r="B886" s="39" t="s">
        <v>5161</v>
      </c>
      <c r="C886" s="40" t="s">
        <v>496</v>
      </c>
      <c r="D886" s="41" t="s">
        <v>3505</v>
      </c>
    </row>
    <row r="887" spans="1:4" ht="31.5" customHeight="1" x14ac:dyDescent="0.25">
      <c r="A887" s="39" t="s">
        <v>5162</v>
      </c>
      <c r="B887" s="39" t="s">
        <v>5163</v>
      </c>
      <c r="C887" s="40" t="s">
        <v>2565</v>
      </c>
      <c r="D887" s="41" t="s">
        <v>3506</v>
      </c>
    </row>
    <row r="888" spans="1:4" ht="31.5" customHeight="1" x14ac:dyDescent="0.25">
      <c r="A888" s="39" t="s">
        <v>5164</v>
      </c>
      <c r="B888" s="39" t="s">
        <v>5165</v>
      </c>
      <c r="C888" s="40" t="s">
        <v>3972</v>
      </c>
      <c r="D888" s="41" t="s">
        <v>3507</v>
      </c>
    </row>
    <row r="889" spans="1:4" ht="31.5" customHeight="1" x14ac:dyDescent="0.25">
      <c r="A889" s="39" t="s">
        <v>5166</v>
      </c>
      <c r="B889" s="39" t="s">
        <v>5167</v>
      </c>
      <c r="C889" s="40" t="s">
        <v>3972</v>
      </c>
      <c r="D889" s="41" t="s">
        <v>3508</v>
      </c>
    </row>
    <row r="890" spans="1:4" ht="31.5" customHeight="1" x14ac:dyDescent="0.25">
      <c r="A890" s="39" t="s">
        <v>5168</v>
      </c>
      <c r="B890" s="39" t="s">
        <v>5169</v>
      </c>
      <c r="C890" s="40" t="s">
        <v>3972</v>
      </c>
      <c r="D890" s="41" t="s">
        <v>3509</v>
      </c>
    </row>
    <row r="891" spans="1:4" ht="31.5" customHeight="1" x14ac:dyDescent="0.25">
      <c r="A891" s="39" t="s">
        <v>5170</v>
      </c>
      <c r="B891" s="39" t="s">
        <v>5171</v>
      </c>
      <c r="C891" s="40" t="s">
        <v>4873</v>
      </c>
      <c r="D891" s="41" t="s">
        <v>3510</v>
      </c>
    </row>
    <row r="892" spans="1:4" ht="47.25" customHeight="1" x14ac:dyDescent="0.25">
      <c r="A892" s="39" t="s">
        <v>5172</v>
      </c>
      <c r="B892" s="39" t="s">
        <v>5173</v>
      </c>
      <c r="C892" s="40" t="s">
        <v>2218</v>
      </c>
      <c r="D892" s="41" t="s">
        <v>3511</v>
      </c>
    </row>
    <row r="893" spans="1:4" ht="47.25" customHeight="1" x14ac:dyDescent="0.25">
      <c r="A893" s="39" t="s">
        <v>5174</v>
      </c>
      <c r="B893" s="39" t="s">
        <v>5175</v>
      </c>
      <c r="C893" s="40" t="s">
        <v>1327</v>
      </c>
      <c r="D893" s="41" t="s">
        <v>3512</v>
      </c>
    </row>
    <row r="894" spans="1:4" ht="31.5" customHeight="1" x14ac:dyDescent="0.25">
      <c r="A894" s="39" t="s">
        <v>5176</v>
      </c>
      <c r="B894" s="39" t="s">
        <v>5177</v>
      </c>
      <c r="C894" s="51" t="s">
        <v>5178</v>
      </c>
      <c r="D894" s="41" t="s">
        <v>3513</v>
      </c>
    </row>
    <row r="895" spans="1:4" ht="63" customHeight="1" x14ac:dyDescent="0.25">
      <c r="A895" s="39" t="s">
        <v>5179</v>
      </c>
      <c r="B895" s="39" t="s">
        <v>5180</v>
      </c>
      <c r="C895" s="40" t="s">
        <v>2312</v>
      </c>
      <c r="D895" s="41" t="s">
        <v>3514</v>
      </c>
    </row>
    <row r="896" spans="1:4" ht="47.25" customHeight="1" x14ac:dyDescent="0.25">
      <c r="A896" s="39" t="s">
        <v>5181</v>
      </c>
      <c r="B896" s="39" t="s">
        <v>5182</v>
      </c>
      <c r="C896" s="40" t="s">
        <v>1454</v>
      </c>
      <c r="D896" s="41" t="s">
        <v>3515</v>
      </c>
    </row>
    <row r="897" spans="1:4" ht="47.25" customHeight="1" x14ac:dyDescent="0.25">
      <c r="A897" s="39" t="s">
        <v>5183</v>
      </c>
      <c r="B897" s="39" t="s">
        <v>5184</v>
      </c>
      <c r="C897" s="40" t="s">
        <v>2249</v>
      </c>
      <c r="D897" s="41" t="s">
        <v>3516</v>
      </c>
    </row>
    <row r="898" spans="1:4" ht="63" customHeight="1" x14ac:dyDescent="0.25">
      <c r="A898" s="39" t="s">
        <v>5185</v>
      </c>
      <c r="B898" s="39" t="s">
        <v>5186</v>
      </c>
      <c r="C898" s="40" t="s">
        <v>1152</v>
      </c>
      <c r="D898" s="41" t="s">
        <v>3517</v>
      </c>
    </row>
    <row r="899" spans="1:4" ht="47.25" customHeight="1" x14ac:dyDescent="0.25">
      <c r="A899" s="39" t="s">
        <v>5187</v>
      </c>
      <c r="B899" s="39" t="s">
        <v>5188</v>
      </c>
      <c r="C899" s="40" t="s">
        <v>4411</v>
      </c>
      <c r="D899" s="41" t="s">
        <v>3518</v>
      </c>
    </row>
    <row r="900" spans="1:4" ht="47.25" customHeight="1" x14ac:dyDescent="0.25">
      <c r="A900" s="39" t="s">
        <v>5189</v>
      </c>
      <c r="B900" s="39" t="s">
        <v>5190</v>
      </c>
      <c r="C900" s="40" t="s">
        <v>1348</v>
      </c>
      <c r="D900" s="41" t="s">
        <v>3519</v>
      </c>
    </row>
    <row r="901" spans="1:4" ht="31.5" customHeight="1" x14ac:dyDescent="0.25">
      <c r="A901" s="39" t="s">
        <v>5191</v>
      </c>
      <c r="B901" s="39" t="s">
        <v>5192</v>
      </c>
      <c r="C901" s="40" t="s">
        <v>1892</v>
      </c>
      <c r="D901" s="41" t="s">
        <v>3520</v>
      </c>
    </row>
    <row r="902" spans="1:4" ht="63" customHeight="1" x14ac:dyDescent="0.25">
      <c r="A902" s="39" t="s">
        <v>5193</v>
      </c>
      <c r="B902" s="39" t="s">
        <v>5194</v>
      </c>
      <c r="C902" s="40" t="s">
        <v>952</v>
      </c>
      <c r="D902" s="41" t="s">
        <v>3521</v>
      </c>
    </row>
    <row r="903" spans="1:4" ht="47.25" customHeight="1" x14ac:dyDescent="0.25">
      <c r="A903" s="39" t="s">
        <v>5195</v>
      </c>
      <c r="B903" s="39" t="s">
        <v>5196</v>
      </c>
      <c r="C903" s="40" t="s">
        <v>632</v>
      </c>
      <c r="D903" s="41" t="s">
        <v>3522</v>
      </c>
    </row>
    <row r="904" spans="1:4" ht="47.25" customHeight="1" x14ac:dyDescent="0.25">
      <c r="A904" s="39" t="s">
        <v>5197</v>
      </c>
      <c r="B904" s="39" t="s">
        <v>5198</v>
      </c>
      <c r="C904" s="40" t="s">
        <v>4466</v>
      </c>
      <c r="D904" s="41" t="s">
        <v>3523</v>
      </c>
    </row>
    <row r="905" spans="1:4" ht="47.25" customHeight="1" x14ac:dyDescent="0.25">
      <c r="A905" s="39" t="s">
        <v>5199</v>
      </c>
      <c r="B905" s="39" t="s">
        <v>5200</v>
      </c>
      <c r="C905" s="40" t="s">
        <v>1219</v>
      </c>
      <c r="D905" s="41" t="s">
        <v>3524</v>
      </c>
    </row>
    <row r="906" spans="1:4" ht="31.5" customHeight="1" x14ac:dyDescent="0.25">
      <c r="A906" s="39" t="s">
        <v>5201</v>
      </c>
      <c r="B906" s="39" t="s">
        <v>5202</v>
      </c>
      <c r="C906" s="40" t="s">
        <v>1406</v>
      </c>
      <c r="D906" s="41" t="s">
        <v>3525</v>
      </c>
    </row>
    <row r="907" spans="1:4" ht="31.5" customHeight="1" x14ac:dyDescent="0.25">
      <c r="A907" s="39" t="s">
        <v>5203</v>
      </c>
      <c r="B907" s="39" t="s">
        <v>5204</v>
      </c>
      <c r="C907" s="40" t="s">
        <v>1380</v>
      </c>
      <c r="D907" s="41" t="s">
        <v>3526</v>
      </c>
    </row>
    <row r="908" spans="1:4" ht="47.25" customHeight="1" x14ac:dyDescent="0.25">
      <c r="A908" s="39" t="s">
        <v>5205</v>
      </c>
      <c r="B908" s="39" t="s">
        <v>5206</v>
      </c>
      <c r="C908" s="40" t="s">
        <v>1134</v>
      </c>
      <c r="D908" s="41" t="s">
        <v>3527</v>
      </c>
    </row>
    <row r="909" spans="1:4" ht="78.75" customHeight="1" x14ac:dyDescent="0.25">
      <c r="A909" s="39" t="s">
        <v>5207</v>
      </c>
      <c r="B909" s="39" t="s">
        <v>5208</v>
      </c>
      <c r="C909" s="40" t="s">
        <v>3823</v>
      </c>
      <c r="D909" s="41" t="s">
        <v>3528</v>
      </c>
    </row>
    <row r="910" spans="1:4" ht="31.5" customHeight="1" x14ac:dyDescent="0.25">
      <c r="A910" s="39" t="s">
        <v>5209</v>
      </c>
      <c r="B910" s="39" t="s">
        <v>5210</v>
      </c>
      <c r="C910" s="40" t="s">
        <v>2218</v>
      </c>
      <c r="D910" s="41" t="s">
        <v>3529</v>
      </c>
    </row>
    <row r="911" spans="1:4" ht="47.25" customHeight="1" x14ac:dyDescent="0.25">
      <c r="A911" s="39" t="s">
        <v>5211</v>
      </c>
      <c r="B911" s="39" t="s">
        <v>5212</v>
      </c>
      <c r="C911" s="40" t="s">
        <v>3806</v>
      </c>
      <c r="D911" s="41" t="s">
        <v>3530</v>
      </c>
    </row>
    <row r="912" spans="1:4" ht="31.5" customHeight="1" x14ac:dyDescent="0.25">
      <c r="A912" s="39" t="s">
        <v>5213</v>
      </c>
      <c r="B912" s="39" t="s">
        <v>5214</v>
      </c>
      <c r="C912" s="40" t="s">
        <v>3806</v>
      </c>
      <c r="D912" s="41" t="s">
        <v>3531</v>
      </c>
    </row>
    <row r="913" spans="1:4" ht="31.5" customHeight="1" x14ac:dyDescent="0.25">
      <c r="A913" s="39" t="s">
        <v>5215</v>
      </c>
      <c r="B913" s="39" t="s">
        <v>5216</v>
      </c>
      <c r="C913" s="40" t="s">
        <v>3806</v>
      </c>
      <c r="D913" s="41" t="s">
        <v>3532</v>
      </c>
    </row>
    <row r="914" spans="1:4" ht="31.5" customHeight="1" x14ac:dyDescent="0.25">
      <c r="A914" s="39" t="s">
        <v>5217</v>
      </c>
      <c r="B914" s="39" t="s">
        <v>5218</v>
      </c>
      <c r="C914" s="40" t="s">
        <v>3806</v>
      </c>
      <c r="D914" s="41" t="s">
        <v>3533</v>
      </c>
    </row>
    <row r="915" spans="1:4" ht="47.25" customHeight="1" x14ac:dyDescent="0.25">
      <c r="A915" s="39" t="s">
        <v>5219</v>
      </c>
      <c r="B915" s="39" t="s">
        <v>5220</v>
      </c>
      <c r="C915" s="40" t="s">
        <v>3806</v>
      </c>
      <c r="D915" s="41" t="s">
        <v>3534</v>
      </c>
    </row>
    <row r="916" spans="1:4" ht="31.5" customHeight="1" x14ac:dyDescent="0.25">
      <c r="A916" s="39" t="s">
        <v>5221</v>
      </c>
      <c r="B916" s="39" t="s">
        <v>5222</v>
      </c>
      <c r="C916" s="40" t="s">
        <v>1612</v>
      </c>
      <c r="D916" s="41" t="s">
        <v>3535</v>
      </c>
    </row>
    <row r="917" spans="1:4" ht="31.5" customHeight="1" x14ac:dyDescent="0.25">
      <c r="A917" s="39" t="s">
        <v>5223</v>
      </c>
      <c r="B917" s="39" t="s">
        <v>5224</v>
      </c>
      <c r="C917" s="40" t="s">
        <v>280</v>
      </c>
      <c r="D917" s="41" t="s">
        <v>3536</v>
      </c>
    </row>
    <row r="918" spans="1:4" ht="47.25" customHeight="1" x14ac:dyDescent="0.25">
      <c r="A918" s="39" t="s">
        <v>5225</v>
      </c>
      <c r="B918" s="39" t="s">
        <v>5226</v>
      </c>
      <c r="C918" s="40" t="s">
        <v>542</v>
      </c>
      <c r="D918" s="41" t="s">
        <v>3537</v>
      </c>
    </row>
    <row r="919" spans="1:4" ht="31.5" customHeight="1" x14ac:dyDescent="0.25">
      <c r="A919" s="39" t="s">
        <v>5227</v>
      </c>
      <c r="B919" s="39" t="s">
        <v>5228</v>
      </c>
      <c r="C919" s="40" t="s">
        <v>5229</v>
      </c>
      <c r="D919" s="41" t="s">
        <v>3538</v>
      </c>
    </row>
    <row r="920" spans="1:4" ht="31.5" customHeight="1" x14ac:dyDescent="0.25">
      <c r="A920" s="39" t="s">
        <v>5230</v>
      </c>
      <c r="B920" s="39" t="s">
        <v>5231</v>
      </c>
      <c r="C920" s="40" t="s">
        <v>5232</v>
      </c>
      <c r="D920" s="41" t="s">
        <v>3539</v>
      </c>
    </row>
    <row r="921" spans="1:4" ht="31.5" customHeight="1" x14ac:dyDescent="0.25">
      <c r="A921" s="39" t="s">
        <v>5233</v>
      </c>
      <c r="B921" s="39" t="s">
        <v>5234</v>
      </c>
      <c r="C921" s="40" t="s">
        <v>809</v>
      </c>
      <c r="D921" s="41" t="s">
        <v>3540</v>
      </c>
    </row>
    <row r="922" spans="1:4" ht="63" customHeight="1" x14ac:dyDescent="0.25">
      <c r="A922" s="39" t="s">
        <v>5235</v>
      </c>
      <c r="B922" s="39" t="s">
        <v>5236</v>
      </c>
      <c r="C922" s="40" t="s">
        <v>1080</v>
      </c>
      <c r="D922" s="41" t="s">
        <v>3541</v>
      </c>
    </row>
    <row r="923" spans="1:4" ht="63" customHeight="1" x14ac:dyDescent="0.25">
      <c r="A923" s="39" t="s">
        <v>5237</v>
      </c>
      <c r="B923" s="39" t="s">
        <v>5238</v>
      </c>
      <c r="C923" s="40" t="s">
        <v>2002</v>
      </c>
      <c r="D923" s="41" t="s">
        <v>3542</v>
      </c>
    </row>
    <row r="924" spans="1:4" ht="47.25" customHeight="1" x14ac:dyDescent="0.25">
      <c r="A924" s="39" t="s">
        <v>5239</v>
      </c>
      <c r="B924" s="39" t="s">
        <v>5240</v>
      </c>
      <c r="C924" s="40" t="s">
        <v>87</v>
      </c>
      <c r="D924" s="41" t="s">
        <v>3543</v>
      </c>
    </row>
    <row r="925" spans="1:4" ht="47.25" customHeight="1" x14ac:dyDescent="0.25">
      <c r="A925" s="39" t="s">
        <v>5241</v>
      </c>
      <c r="B925" s="39" t="s">
        <v>5242</v>
      </c>
      <c r="C925" s="40" t="s">
        <v>537</v>
      </c>
      <c r="D925" s="41" t="s">
        <v>3544</v>
      </c>
    </row>
    <row r="926" spans="1:4" ht="47.25" customHeight="1" x14ac:dyDescent="0.25">
      <c r="A926" s="39" t="s">
        <v>5243</v>
      </c>
      <c r="B926" s="39" t="s">
        <v>5244</v>
      </c>
      <c r="C926" s="40" t="s">
        <v>219</v>
      </c>
      <c r="D926" s="41" t="s">
        <v>3545</v>
      </c>
    </row>
    <row r="927" spans="1:4" ht="47.25" customHeight="1" x14ac:dyDescent="0.25">
      <c r="A927" s="39" t="s">
        <v>5245</v>
      </c>
      <c r="B927" s="39" t="s">
        <v>5246</v>
      </c>
      <c r="C927" s="40" t="s">
        <v>2312</v>
      </c>
      <c r="D927" s="41" t="s">
        <v>3546</v>
      </c>
    </row>
    <row r="928" spans="1:4" ht="31.5" customHeight="1" x14ac:dyDescent="0.25">
      <c r="A928" s="39" t="s">
        <v>5247</v>
      </c>
      <c r="B928" s="39" t="s">
        <v>5248</v>
      </c>
      <c r="C928" s="40" t="s">
        <v>2312</v>
      </c>
      <c r="D928" s="41" t="s">
        <v>3547</v>
      </c>
    </row>
    <row r="929" spans="1:4" ht="63" customHeight="1" x14ac:dyDescent="0.25">
      <c r="A929" s="39" t="s">
        <v>5249</v>
      </c>
      <c r="B929" s="39" t="s">
        <v>5250</v>
      </c>
      <c r="C929" s="40" t="s">
        <v>1230</v>
      </c>
      <c r="D929" s="41" t="s">
        <v>3548</v>
      </c>
    </row>
    <row r="930" spans="1:4" ht="47.25" customHeight="1" x14ac:dyDescent="0.25">
      <c r="A930" s="39" t="s">
        <v>5251</v>
      </c>
      <c r="B930" s="39" t="s">
        <v>5252</v>
      </c>
      <c r="C930" s="40" t="s">
        <v>606</v>
      </c>
      <c r="D930" s="41" t="s">
        <v>3549</v>
      </c>
    </row>
    <row r="931" spans="1:4" ht="31.5" customHeight="1" x14ac:dyDescent="0.25">
      <c r="A931" s="39" t="s">
        <v>5253</v>
      </c>
      <c r="B931" s="39" t="s">
        <v>5254</v>
      </c>
      <c r="C931" s="40" t="s">
        <v>814</v>
      </c>
      <c r="D931" s="41" t="s">
        <v>3550</v>
      </c>
    </row>
    <row r="932" spans="1:4" ht="31.5" customHeight="1" x14ac:dyDescent="0.25">
      <c r="A932" s="39" t="s">
        <v>5255</v>
      </c>
      <c r="B932" s="39" t="s">
        <v>5256</v>
      </c>
      <c r="C932" s="40" t="s">
        <v>3865</v>
      </c>
      <c r="D932" s="41" t="s">
        <v>3551</v>
      </c>
    </row>
    <row r="933" spans="1:4" ht="31.5" customHeight="1" x14ac:dyDescent="0.25">
      <c r="A933" s="39" t="s">
        <v>5257</v>
      </c>
      <c r="B933" s="39" t="s">
        <v>5258</v>
      </c>
      <c r="C933" s="40" t="s">
        <v>537</v>
      </c>
      <c r="D933" s="41" t="s">
        <v>3552</v>
      </c>
    </row>
    <row r="934" spans="1:4" ht="47.25" customHeight="1" x14ac:dyDescent="0.25">
      <c r="A934" s="39" t="s">
        <v>5259</v>
      </c>
      <c r="B934" s="39" t="s">
        <v>5260</v>
      </c>
      <c r="C934" s="40" t="s">
        <v>5261</v>
      </c>
      <c r="D934" s="41" t="s">
        <v>3553</v>
      </c>
    </row>
    <row r="935" spans="1:4" ht="47.25" customHeight="1" x14ac:dyDescent="0.25">
      <c r="A935" s="39" t="s">
        <v>5262</v>
      </c>
      <c r="B935" s="39" t="s">
        <v>5263</v>
      </c>
      <c r="C935" s="40" t="s">
        <v>552</v>
      </c>
      <c r="D935" s="41" t="s">
        <v>3554</v>
      </c>
    </row>
    <row r="936" spans="1:4" ht="31.5" customHeight="1" x14ac:dyDescent="0.25">
      <c r="A936" s="39" t="s">
        <v>5264</v>
      </c>
      <c r="B936" s="39" t="s">
        <v>5265</v>
      </c>
      <c r="C936" s="40" t="s">
        <v>1380</v>
      </c>
      <c r="D936" s="41" t="s">
        <v>3555</v>
      </c>
    </row>
    <row r="937" spans="1:4" ht="47.25" customHeight="1" x14ac:dyDescent="0.25">
      <c r="A937" s="39" t="s">
        <v>5266</v>
      </c>
      <c r="B937" s="39" t="s">
        <v>5267</v>
      </c>
      <c r="C937" s="40" t="s">
        <v>3949</v>
      </c>
      <c r="D937" s="41" t="s">
        <v>3556</v>
      </c>
    </row>
    <row r="938" spans="1:4" ht="47.25" customHeight="1" x14ac:dyDescent="0.25">
      <c r="A938" s="39" t="s">
        <v>5268</v>
      </c>
      <c r="B938" s="39" t="s">
        <v>5269</v>
      </c>
      <c r="C938" s="40" t="s">
        <v>985</v>
      </c>
      <c r="D938" s="41" t="s">
        <v>3557</v>
      </c>
    </row>
    <row r="939" spans="1:4" ht="31.5" customHeight="1" x14ac:dyDescent="0.25">
      <c r="A939" s="39" t="s">
        <v>5270</v>
      </c>
      <c r="B939" s="39" t="s">
        <v>5271</v>
      </c>
      <c r="C939" s="40" t="s">
        <v>496</v>
      </c>
      <c r="D939" s="41" t="s">
        <v>3558</v>
      </c>
    </row>
    <row r="940" spans="1:4" ht="31.5" customHeight="1" x14ac:dyDescent="0.25">
      <c r="A940" s="39" t="s">
        <v>5272</v>
      </c>
      <c r="B940" s="39" t="s">
        <v>5273</v>
      </c>
      <c r="C940" s="40" t="s">
        <v>496</v>
      </c>
      <c r="D940" s="41" t="s">
        <v>3559</v>
      </c>
    </row>
    <row r="941" spans="1:4" ht="63" customHeight="1" x14ac:dyDescent="0.25">
      <c r="A941" s="39" t="s">
        <v>5274</v>
      </c>
      <c r="B941" s="39" t="s">
        <v>5275</v>
      </c>
      <c r="C941" s="40" t="s">
        <v>5276</v>
      </c>
      <c r="D941" s="41" t="s">
        <v>3560</v>
      </c>
    </row>
    <row r="942" spans="1:4" ht="47.25" customHeight="1" x14ac:dyDescent="0.25">
      <c r="A942" s="39" t="s">
        <v>5277</v>
      </c>
      <c r="B942" s="39" t="s">
        <v>5278</v>
      </c>
      <c r="C942" s="40" t="s">
        <v>1612</v>
      </c>
      <c r="D942" s="41" t="s">
        <v>3561</v>
      </c>
    </row>
    <row r="943" spans="1:4" ht="31.5" customHeight="1" x14ac:dyDescent="0.25">
      <c r="A943" s="39" t="s">
        <v>5279</v>
      </c>
      <c r="B943" s="39" t="s">
        <v>5280</v>
      </c>
      <c r="C943" s="40" t="s">
        <v>1504</v>
      </c>
      <c r="D943" s="41" t="s">
        <v>3562</v>
      </c>
    </row>
    <row r="944" spans="1:4" ht="47.25" customHeight="1" x14ac:dyDescent="0.25">
      <c r="A944" s="39" t="s">
        <v>5281</v>
      </c>
      <c r="B944" s="39" t="s">
        <v>5282</v>
      </c>
      <c r="C944" s="40" t="s">
        <v>92</v>
      </c>
      <c r="D944" s="41" t="s">
        <v>3563</v>
      </c>
    </row>
    <row r="945" spans="1:4" ht="47.25" customHeight="1" x14ac:dyDescent="0.25">
      <c r="A945" s="39" t="s">
        <v>5283</v>
      </c>
      <c r="B945" s="39" t="s">
        <v>5284</v>
      </c>
      <c r="C945" s="40" t="s">
        <v>5285</v>
      </c>
      <c r="D945" s="41" t="s">
        <v>3564</v>
      </c>
    </row>
    <row r="946" spans="1:4" ht="63" customHeight="1" x14ac:dyDescent="0.25">
      <c r="A946" s="39" t="s">
        <v>5286</v>
      </c>
      <c r="B946" s="39" t="s">
        <v>5287</v>
      </c>
      <c r="C946" s="40" t="s">
        <v>368</v>
      </c>
      <c r="D946" s="41" t="s">
        <v>3565</v>
      </c>
    </row>
    <row r="947" spans="1:4" ht="31.5" customHeight="1" x14ac:dyDescent="0.25">
      <c r="A947" s="39" t="s">
        <v>5288</v>
      </c>
      <c r="B947" s="39" t="s">
        <v>5289</v>
      </c>
      <c r="C947" s="40" t="s">
        <v>199</v>
      </c>
      <c r="D947" s="41" t="s">
        <v>3566</v>
      </c>
    </row>
    <row r="948" spans="1:4" ht="31.5" customHeight="1" x14ac:dyDescent="0.25">
      <c r="A948" s="39" t="s">
        <v>5290</v>
      </c>
      <c r="B948" s="39" t="s">
        <v>5291</v>
      </c>
      <c r="C948" s="40" t="s">
        <v>1612</v>
      </c>
      <c r="D948" s="41" t="s">
        <v>3567</v>
      </c>
    </row>
    <row r="949" spans="1:4" ht="47.25" customHeight="1" x14ac:dyDescent="0.25">
      <c r="A949" s="39" t="s">
        <v>5292</v>
      </c>
      <c r="B949" s="39" t="s">
        <v>5293</v>
      </c>
      <c r="C949" s="40" t="s">
        <v>5294</v>
      </c>
      <c r="D949" s="41" t="s">
        <v>3568</v>
      </c>
    </row>
    <row r="950" spans="1:4" ht="31.5" customHeight="1" x14ac:dyDescent="0.25">
      <c r="A950" s="39" t="s">
        <v>5295</v>
      </c>
      <c r="B950" s="39" t="s">
        <v>5296</v>
      </c>
      <c r="C950" s="40" t="s">
        <v>143</v>
      </c>
      <c r="D950" s="41" t="s">
        <v>3569</v>
      </c>
    </row>
    <row r="951" spans="1:4" ht="47.25" customHeight="1" x14ac:dyDescent="0.25">
      <c r="A951" s="39" t="s">
        <v>5297</v>
      </c>
      <c r="B951" s="39" t="s">
        <v>5298</v>
      </c>
      <c r="C951" s="40" t="s">
        <v>5111</v>
      </c>
      <c r="D951" s="41" t="s">
        <v>3570</v>
      </c>
    </row>
    <row r="952" spans="1:4" ht="47.25" customHeight="1" x14ac:dyDescent="0.25">
      <c r="A952" s="39" t="s">
        <v>5299</v>
      </c>
      <c r="B952" s="39" t="s">
        <v>5300</v>
      </c>
      <c r="C952" s="40" t="s">
        <v>588</v>
      </c>
      <c r="D952" s="41" t="s">
        <v>3571</v>
      </c>
    </row>
    <row r="953" spans="1:4" ht="78.75" customHeight="1" x14ac:dyDescent="0.25">
      <c r="A953" s="39" t="s">
        <v>5301</v>
      </c>
      <c r="B953" s="39" t="s">
        <v>5302</v>
      </c>
      <c r="C953" s="40" t="s">
        <v>1327</v>
      </c>
      <c r="D953" s="41" t="s">
        <v>3572</v>
      </c>
    </row>
    <row r="954" spans="1:4" ht="31.5" customHeight="1" x14ac:dyDescent="0.25">
      <c r="A954" s="39" t="s">
        <v>5303</v>
      </c>
      <c r="B954" s="39" t="s">
        <v>5304</v>
      </c>
      <c r="C954" s="40" t="s">
        <v>1617</v>
      </c>
      <c r="D954" s="41" t="s">
        <v>3573</v>
      </c>
    </row>
    <row r="955" spans="1:4" ht="31.5" customHeight="1" x14ac:dyDescent="0.25">
      <c r="A955" s="39" t="s">
        <v>5305</v>
      </c>
      <c r="B955" s="39" t="s">
        <v>5306</v>
      </c>
      <c r="C955" s="40" t="s">
        <v>4940</v>
      </c>
      <c r="D955" s="41" t="s">
        <v>3574</v>
      </c>
    </row>
    <row r="956" spans="1:4" ht="63" customHeight="1" x14ac:dyDescent="0.25">
      <c r="A956" s="39" t="s">
        <v>5307</v>
      </c>
      <c r="B956" s="39" t="s">
        <v>5308</v>
      </c>
      <c r="C956" s="40" t="s">
        <v>5309</v>
      </c>
      <c r="D956" s="41" t="s">
        <v>3575</v>
      </c>
    </row>
    <row r="957" spans="1:4" ht="31.5" customHeight="1" x14ac:dyDescent="0.25">
      <c r="A957" s="39" t="s">
        <v>5310</v>
      </c>
      <c r="B957" s="39" t="s">
        <v>5311</v>
      </c>
      <c r="C957" s="40" t="s">
        <v>2441</v>
      </c>
      <c r="D957" s="41" t="s">
        <v>3576</v>
      </c>
    </row>
    <row r="958" spans="1:4" ht="31.5" customHeight="1" x14ac:dyDescent="0.25">
      <c r="A958" s="39" t="s">
        <v>5312</v>
      </c>
      <c r="B958" s="39" t="s">
        <v>5313</v>
      </c>
      <c r="C958" s="40" t="s">
        <v>452</v>
      </c>
      <c r="D958" s="41" t="s">
        <v>3577</v>
      </c>
    </row>
    <row r="959" spans="1:4" ht="31.5" customHeight="1" x14ac:dyDescent="0.25">
      <c r="A959" s="39" t="s">
        <v>5314</v>
      </c>
      <c r="B959" s="39" t="s">
        <v>5315</v>
      </c>
      <c r="C959" s="40" t="s">
        <v>4554</v>
      </c>
      <c r="D959" s="41" t="s">
        <v>3578</v>
      </c>
    </row>
    <row r="960" spans="1:4" ht="47.25" customHeight="1" x14ac:dyDescent="0.25">
      <c r="A960" s="39" t="s">
        <v>5316</v>
      </c>
      <c r="B960" s="39" t="s">
        <v>5317</v>
      </c>
      <c r="C960" s="40" t="s">
        <v>511</v>
      </c>
      <c r="D960" s="41" t="s">
        <v>3579</v>
      </c>
    </row>
    <row r="961" spans="1:4" ht="47.25" customHeight="1" x14ac:dyDescent="0.25">
      <c r="A961" s="39" t="s">
        <v>5318</v>
      </c>
      <c r="B961" s="39" t="s">
        <v>5319</v>
      </c>
      <c r="C961" s="40" t="s">
        <v>5320</v>
      </c>
      <c r="D961" s="41" t="s">
        <v>3580</v>
      </c>
    </row>
    <row r="962" spans="1:4" ht="31.5" customHeight="1" x14ac:dyDescent="0.25">
      <c r="A962" s="39" t="s">
        <v>5321</v>
      </c>
      <c r="B962" s="39" t="s">
        <v>5322</v>
      </c>
      <c r="C962" s="40" t="s">
        <v>87</v>
      </c>
      <c r="D962" s="41" t="s">
        <v>3581</v>
      </c>
    </row>
    <row r="963" spans="1:4" ht="63" customHeight="1" x14ac:dyDescent="0.25">
      <c r="A963" s="39" t="s">
        <v>5323</v>
      </c>
      <c r="B963" s="39" t="s">
        <v>5324</v>
      </c>
      <c r="C963" s="40" t="s">
        <v>402</v>
      </c>
      <c r="D963" s="41" t="s">
        <v>3582</v>
      </c>
    </row>
    <row r="964" spans="1:4" ht="47.25" customHeight="1" x14ac:dyDescent="0.25">
      <c r="A964" s="39" t="s">
        <v>5325</v>
      </c>
      <c r="B964" s="39" t="s">
        <v>5326</v>
      </c>
      <c r="C964" s="40" t="s">
        <v>164</v>
      </c>
      <c r="D964" s="41" t="s">
        <v>3583</v>
      </c>
    </row>
    <row r="965" spans="1:4" ht="47.25" customHeight="1" x14ac:dyDescent="0.25">
      <c r="A965" s="39" t="s">
        <v>5327</v>
      </c>
      <c r="B965" s="39" t="s">
        <v>5328</v>
      </c>
      <c r="C965" s="40" t="s">
        <v>993</v>
      </c>
      <c r="D965" s="41" t="s">
        <v>3584</v>
      </c>
    </row>
    <row r="966" spans="1:4" ht="63" customHeight="1" x14ac:dyDescent="0.25">
      <c r="A966" s="39" t="s">
        <v>5329</v>
      </c>
      <c r="B966" s="39" t="s">
        <v>5330</v>
      </c>
      <c r="C966" s="40" t="s">
        <v>424</v>
      </c>
      <c r="D966" s="41" t="s">
        <v>3585</v>
      </c>
    </row>
    <row r="967" spans="1:4" ht="47.25" customHeight="1" x14ac:dyDescent="0.25">
      <c r="A967" s="39" t="s">
        <v>5331</v>
      </c>
      <c r="B967" s="39" t="s">
        <v>5332</v>
      </c>
      <c r="C967" s="40" t="s">
        <v>1612</v>
      </c>
      <c r="D967" s="41" t="s">
        <v>3586</v>
      </c>
    </row>
    <row r="968" spans="1:4" ht="31.5" customHeight="1" x14ac:dyDescent="0.25">
      <c r="A968" s="39" t="s">
        <v>5333</v>
      </c>
      <c r="B968" s="39" t="s">
        <v>5334</v>
      </c>
      <c r="C968" s="40" t="s">
        <v>5335</v>
      </c>
      <c r="D968" s="41" t="s">
        <v>3587</v>
      </c>
    </row>
    <row r="969" spans="1:4" ht="63" customHeight="1" x14ac:dyDescent="0.25">
      <c r="A969" s="39" t="s">
        <v>5336</v>
      </c>
      <c r="B969" s="39" t="s">
        <v>5337</v>
      </c>
      <c r="C969" s="40" t="s">
        <v>1327</v>
      </c>
      <c r="D969" s="41" t="s">
        <v>3588</v>
      </c>
    </row>
    <row r="970" spans="1:4" ht="47.25" customHeight="1" x14ac:dyDescent="0.25">
      <c r="A970" s="39" t="s">
        <v>5338</v>
      </c>
      <c r="B970" s="39" t="s">
        <v>5339</v>
      </c>
      <c r="C970" s="40" t="s">
        <v>1327</v>
      </c>
      <c r="D970" s="41" t="s">
        <v>3589</v>
      </c>
    </row>
    <row r="971" spans="1:4" ht="63" customHeight="1" x14ac:dyDescent="0.25">
      <c r="A971" s="39" t="s">
        <v>5340</v>
      </c>
      <c r="B971" s="39" t="s">
        <v>5341</v>
      </c>
      <c r="C971" s="40" t="s">
        <v>5342</v>
      </c>
      <c r="D971" s="41" t="s">
        <v>3590</v>
      </c>
    </row>
    <row r="972" spans="1:4" ht="47.25" customHeight="1" x14ac:dyDescent="0.25">
      <c r="A972" s="39" t="s">
        <v>5343</v>
      </c>
      <c r="B972" s="39" t="s">
        <v>5344</v>
      </c>
      <c r="C972" s="40" t="s">
        <v>1225</v>
      </c>
      <c r="D972" s="41" t="s">
        <v>3591</v>
      </c>
    </row>
    <row r="973" spans="1:4" ht="31.5" customHeight="1" x14ac:dyDescent="0.25">
      <c r="A973" s="39" t="s">
        <v>5345</v>
      </c>
      <c r="B973" s="39" t="s">
        <v>5346</v>
      </c>
      <c r="C973" s="40" t="s">
        <v>1454</v>
      </c>
      <c r="D973" s="41" t="s">
        <v>3592</v>
      </c>
    </row>
    <row r="974" spans="1:4" ht="47.25" customHeight="1" x14ac:dyDescent="0.25">
      <c r="A974" s="39" t="s">
        <v>5347</v>
      </c>
      <c r="B974" s="39" t="s">
        <v>5348</v>
      </c>
      <c r="C974" s="40" t="s">
        <v>772</v>
      </c>
      <c r="D974" s="41" t="s">
        <v>3593</v>
      </c>
    </row>
    <row r="975" spans="1:4" ht="31.5" customHeight="1" x14ac:dyDescent="0.25">
      <c r="A975" s="39" t="s">
        <v>5349</v>
      </c>
      <c r="B975" s="39" t="s">
        <v>5350</v>
      </c>
      <c r="C975" s="40" t="s">
        <v>5351</v>
      </c>
      <c r="D975" s="41" t="s">
        <v>3594</v>
      </c>
    </row>
    <row r="976" spans="1:4" ht="63" customHeight="1" x14ac:dyDescent="0.25">
      <c r="A976" s="39" t="s">
        <v>5352</v>
      </c>
      <c r="B976" s="39" t="s">
        <v>5353</v>
      </c>
      <c r="C976" s="40" t="s">
        <v>5351</v>
      </c>
      <c r="D976" s="41" t="s">
        <v>3595</v>
      </c>
    </row>
    <row r="977" spans="1:4" ht="47.25" customHeight="1" x14ac:dyDescent="0.25">
      <c r="A977" s="39" t="s">
        <v>5354</v>
      </c>
      <c r="B977" s="39" t="s">
        <v>5355</v>
      </c>
      <c r="C977" s="40" t="s">
        <v>5356</v>
      </c>
      <c r="D977" s="41" t="s">
        <v>3596</v>
      </c>
    </row>
    <row r="978" spans="1:4" ht="31.5" customHeight="1" x14ac:dyDescent="0.25">
      <c r="A978" s="39" t="s">
        <v>5357</v>
      </c>
      <c r="B978" s="39" t="s">
        <v>5358</v>
      </c>
      <c r="C978" s="40" t="s">
        <v>5359</v>
      </c>
      <c r="D978" s="41" t="s">
        <v>3597</v>
      </c>
    </row>
    <row r="979" spans="1:4" ht="47.25" customHeight="1" x14ac:dyDescent="0.25">
      <c r="A979" s="39" t="s">
        <v>5360</v>
      </c>
      <c r="B979" s="39" t="s">
        <v>5361</v>
      </c>
      <c r="C979" s="40" t="s">
        <v>4174</v>
      </c>
      <c r="D979" s="41" t="s">
        <v>3598</v>
      </c>
    </row>
    <row r="980" spans="1:4" ht="31.5" customHeight="1" x14ac:dyDescent="0.25">
      <c r="A980" s="39" t="s">
        <v>5362</v>
      </c>
      <c r="B980" s="39" t="s">
        <v>5363</v>
      </c>
      <c r="C980" s="40" t="s">
        <v>5364</v>
      </c>
      <c r="D980" s="41" t="s">
        <v>3599</v>
      </c>
    </row>
    <row r="981" spans="1:4" ht="47.25" customHeight="1" x14ac:dyDescent="0.25">
      <c r="A981" s="39" t="s">
        <v>5365</v>
      </c>
      <c r="B981" s="39" t="s">
        <v>5366</v>
      </c>
      <c r="C981" s="40" t="s">
        <v>303</v>
      </c>
      <c r="D981" s="41" t="s">
        <v>3600</v>
      </c>
    </row>
    <row r="982" spans="1:4" ht="47.25" customHeight="1" x14ac:dyDescent="0.25">
      <c r="A982" s="39" t="s">
        <v>5367</v>
      </c>
      <c r="B982" s="39" t="s">
        <v>5368</v>
      </c>
      <c r="C982" s="40" t="s">
        <v>680</v>
      </c>
      <c r="D982" s="41" t="s">
        <v>3601</v>
      </c>
    </row>
    <row r="983" spans="1:4" ht="63" customHeight="1" x14ac:dyDescent="0.25">
      <c r="A983" s="39" t="s">
        <v>5369</v>
      </c>
      <c r="B983" s="39" t="s">
        <v>5370</v>
      </c>
      <c r="C983" s="40" t="s">
        <v>1871</v>
      </c>
      <c r="D983" s="41" t="s">
        <v>3602</v>
      </c>
    </row>
    <row r="984" spans="1:4" ht="47.25" customHeight="1" x14ac:dyDescent="0.25">
      <c r="A984" s="39" t="s">
        <v>5371</v>
      </c>
      <c r="B984" s="39" t="s">
        <v>5372</v>
      </c>
      <c r="C984" s="40" t="s">
        <v>386</v>
      </c>
      <c r="D984" s="41" t="s">
        <v>3603</v>
      </c>
    </row>
    <row r="985" spans="1:4" ht="78.75" customHeight="1" x14ac:dyDescent="0.25">
      <c r="A985" s="39" t="s">
        <v>5373</v>
      </c>
      <c r="B985" s="39" t="s">
        <v>5374</v>
      </c>
      <c r="C985" s="40" t="s">
        <v>4157</v>
      </c>
      <c r="D985" s="41" t="s">
        <v>3604</v>
      </c>
    </row>
    <row r="986" spans="1:4" ht="31.5" customHeight="1" x14ac:dyDescent="0.25">
      <c r="A986" s="39" t="s">
        <v>5375</v>
      </c>
      <c r="B986" s="39" t="s">
        <v>5376</v>
      </c>
      <c r="C986" s="40" t="s">
        <v>1380</v>
      </c>
      <c r="D986" s="41" t="s">
        <v>3605</v>
      </c>
    </row>
    <row r="987" spans="1:4" ht="47.25" customHeight="1" x14ac:dyDescent="0.25">
      <c r="A987" s="39" t="s">
        <v>5377</v>
      </c>
      <c r="B987" s="39" t="s">
        <v>5378</v>
      </c>
      <c r="C987" s="40" t="s">
        <v>5379</v>
      </c>
      <c r="D987" s="41" t="s">
        <v>3606</v>
      </c>
    </row>
    <row r="988" spans="1:4" ht="47.25" customHeight="1" x14ac:dyDescent="0.25">
      <c r="A988" s="39" t="s">
        <v>5380</v>
      </c>
      <c r="B988" s="39" t="s">
        <v>5381</v>
      </c>
      <c r="C988" s="40" t="s">
        <v>965</v>
      </c>
      <c r="D988" s="41" t="s">
        <v>3607</v>
      </c>
    </row>
    <row r="989" spans="1:4" ht="31.5" customHeight="1" x14ac:dyDescent="0.25">
      <c r="A989" s="39" t="s">
        <v>5382</v>
      </c>
      <c r="B989" s="39" t="s">
        <v>5383</v>
      </c>
      <c r="C989" s="40" t="s">
        <v>3867</v>
      </c>
      <c r="D989" s="41" t="s">
        <v>3608</v>
      </c>
    </row>
    <row r="990" spans="1:4" ht="47.25" customHeight="1" x14ac:dyDescent="0.25">
      <c r="A990" s="39" t="s">
        <v>5384</v>
      </c>
      <c r="B990" s="39" t="s">
        <v>5385</v>
      </c>
      <c r="C990" s="40" t="s">
        <v>5386</v>
      </c>
      <c r="D990" s="41" t="s">
        <v>3609</v>
      </c>
    </row>
    <row r="991" spans="1:4" ht="47.25" customHeight="1" x14ac:dyDescent="0.25">
      <c r="A991" s="39" t="s">
        <v>5387</v>
      </c>
      <c r="B991" s="39" t="s">
        <v>5388</v>
      </c>
      <c r="C991" s="40" t="s">
        <v>5335</v>
      </c>
      <c r="D991" s="41" t="s">
        <v>3610</v>
      </c>
    </row>
    <row r="992" spans="1:4" ht="47.25" customHeight="1" x14ac:dyDescent="0.25">
      <c r="A992" s="39" t="s">
        <v>5389</v>
      </c>
      <c r="B992" s="39" t="s">
        <v>5390</v>
      </c>
      <c r="C992" s="51" t="s">
        <v>5391</v>
      </c>
      <c r="D992" s="41" t="s">
        <v>3611</v>
      </c>
    </row>
    <row r="993" spans="1:4" ht="63" customHeight="1" x14ac:dyDescent="0.25">
      <c r="A993" s="39" t="s">
        <v>5392</v>
      </c>
      <c r="B993" s="39" t="s">
        <v>5393</v>
      </c>
      <c r="C993" s="40" t="s">
        <v>240</v>
      </c>
      <c r="D993" s="41" t="s">
        <v>3612</v>
      </c>
    </row>
    <row r="994" spans="1:4" ht="63" customHeight="1" x14ac:dyDescent="0.25">
      <c r="A994" s="39" t="s">
        <v>5394</v>
      </c>
      <c r="B994" s="39" t="s">
        <v>5395</v>
      </c>
      <c r="C994" s="40" t="s">
        <v>240</v>
      </c>
      <c r="D994" s="41" t="s">
        <v>3613</v>
      </c>
    </row>
    <row r="995" spans="1:4" ht="47.25" customHeight="1" x14ac:dyDescent="0.25">
      <c r="A995" s="39" t="s">
        <v>5396</v>
      </c>
      <c r="B995" s="39" t="s">
        <v>5397</v>
      </c>
      <c r="C995" s="40" t="s">
        <v>5379</v>
      </c>
      <c r="D995" s="41" t="s">
        <v>3614</v>
      </c>
    </row>
    <row r="996" spans="1:4" ht="47.25" customHeight="1" x14ac:dyDescent="0.25">
      <c r="A996" s="39" t="s">
        <v>5398</v>
      </c>
      <c r="B996" s="39" t="s">
        <v>5399</v>
      </c>
      <c r="C996" s="40" t="s">
        <v>5379</v>
      </c>
      <c r="D996" s="41" t="s">
        <v>3615</v>
      </c>
    </row>
    <row r="997" spans="1:4" ht="47.25" customHeight="1" x14ac:dyDescent="0.25">
      <c r="A997" s="39" t="s">
        <v>5400</v>
      </c>
      <c r="B997" s="39" t="s">
        <v>5401</v>
      </c>
      <c r="C997" s="40" t="s">
        <v>5060</v>
      </c>
      <c r="D997" s="41" t="s">
        <v>3616</v>
      </c>
    </row>
    <row r="998" spans="1:4" ht="31.5" customHeight="1" x14ac:dyDescent="0.25">
      <c r="A998" s="39" t="s">
        <v>5402</v>
      </c>
      <c r="B998" s="39" t="s">
        <v>5403</v>
      </c>
      <c r="C998" s="40" t="s">
        <v>4432</v>
      </c>
      <c r="D998" s="41" t="s">
        <v>3617</v>
      </c>
    </row>
    <row r="999" spans="1:4" ht="31.5" customHeight="1" x14ac:dyDescent="0.25">
      <c r="A999" s="39" t="s">
        <v>5404</v>
      </c>
      <c r="B999" s="39" t="s">
        <v>5405</v>
      </c>
      <c r="C999" s="40" t="s">
        <v>5406</v>
      </c>
      <c r="D999" s="41" t="s">
        <v>3618</v>
      </c>
    </row>
    <row r="1000" spans="1:4" ht="31.5" customHeight="1" x14ac:dyDescent="0.25">
      <c r="A1000" s="39" t="s">
        <v>5407</v>
      </c>
      <c r="B1000" s="39" t="s">
        <v>5408</v>
      </c>
      <c r="C1000" s="40" t="s">
        <v>368</v>
      </c>
      <c r="D1000" s="41" t="s">
        <v>3619</v>
      </c>
    </row>
    <row r="1001" spans="1:4" ht="47.25" customHeight="1" x14ac:dyDescent="0.25">
      <c r="A1001" s="39" t="s">
        <v>5409</v>
      </c>
      <c r="B1001" s="39" t="s">
        <v>5410</v>
      </c>
      <c r="C1001" s="40" t="s">
        <v>3992</v>
      </c>
      <c r="D1001" s="41" t="s">
        <v>3620</v>
      </c>
    </row>
    <row r="1002" spans="1:4" ht="31.5" customHeight="1" x14ac:dyDescent="0.25">
      <c r="A1002" s="39" t="s">
        <v>5411</v>
      </c>
      <c r="B1002" s="39" t="s">
        <v>5412</v>
      </c>
      <c r="C1002" s="40" t="s">
        <v>5413</v>
      </c>
      <c r="D1002" s="41" t="s">
        <v>3621</v>
      </c>
    </row>
    <row r="1003" spans="1:4" ht="31.5" customHeight="1" x14ac:dyDescent="0.25">
      <c r="A1003" s="39" t="s">
        <v>5414</v>
      </c>
      <c r="B1003" s="39" t="s">
        <v>5415</v>
      </c>
      <c r="C1003" s="40" t="s">
        <v>1380</v>
      </c>
      <c r="D1003" s="41" t="s">
        <v>3622</v>
      </c>
    </row>
    <row r="1004" spans="1:4" ht="63" customHeight="1" x14ac:dyDescent="0.25">
      <c r="A1004" s="39" t="s">
        <v>5416</v>
      </c>
      <c r="B1004" s="39" t="s">
        <v>5417</v>
      </c>
      <c r="C1004" s="40" t="s">
        <v>552</v>
      </c>
      <c r="D1004" s="41" t="s">
        <v>3623</v>
      </c>
    </row>
    <row r="1005" spans="1:4" ht="47.25" customHeight="1" x14ac:dyDescent="0.25">
      <c r="A1005" s="39" t="s">
        <v>5418</v>
      </c>
      <c r="B1005" s="39" t="s">
        <v>5419</v>
      </c>
      <c r="C1005" s="40" t="s">
        <v>5420</v>
      </c>
      <c r="D1005" s="41" t="s">
        <v>3624</v>
      </c>
    </row>
    <row r="1006" spans="1:4" ht="31.5" customHeight="1" x14ac:dyDescent="0.25">
      <c r="A1006" s="39" t="s">
        <v>5421</v>
      </c>
      <c r="B1006" s="39" t="s">
        <v>5422</v>
      </c>
      <c r="C1006" s="40" t="s">
        <v>4001</v>
      </c>
      <c r="D1006" s="41" t="s">
        <v>3625</v>
      </c>
    </row>
    <row r="1007" spans="1:4" ht="31.5" customHeight="1" x14ac:dyDescent="0.25">
      <c r="A1007" s="39" t="s">
        <v>5423</v>
      </c>
      <c r="B1007" s="39" t="s">
        <v>5424</v>
      </c>
      <c r="C1007" s="40" t="s">
        <v>1256</v>
      </c>
      <c r="D1007" s="41" t="s">
        <v>3626</v>
      </c>
    </row>
    <row r="1008" spans="1:4" ht="31.5" customHeight="1" x14ac:dyDescent="0.25">
      <c r="A1008" s="39" t="s">
        <v>5425</v>
      </c>
      <c r="B1008" s="39" t="s">
        <v>5426</v>
      </c>
      <c r="C1008" s="40" t="s">
        <v>1256</v>
      </c>
      <c r="D1008" s="41" t="s">
        <v>3627</v>
      </c>
    </row>
    <row r="1009" spans="1:4" ht="31.5" customHeight="1" x14ac:dyDescent="0.25">
      <c r="A1009" s="39" t="s">
        <v>5427</v>
      </c>
      <c r="B1009" s="39" t="s">
        <v>5428</v>
      </c>
      <c r="C1009" s="40" t="s">
        <v>2432</v>
      </c>
      <c r="D1009" s="41" t="s">
        <v>3628</v>
      </c>
    </row>
    <row r="1010" spans="1:4" ht="31.5" customHeight="1" x14ac:dyDescent="0.25">
      <c r="A1010" s="39" t="s">
        <v>5429</v>
      </c>
      <c r="B1010" s="39" t="s">
        <v>5430</v>
      </c>
      <c r="C1010" s="40" t="s">
        <v>2432</v>
      </c>
      <c r="D1010" s="41" t="s">
        <v>3629</v>
      </c>
    </row>
    <row r="1011" spans="1:4" ht="47.25" customHeight="1" x14ac:dyDescent="0.25">
      <c r="A1011" s="39" t="s">
        <v>5431</v>
      </c>
      <c r="B1011" s="39" t="s">
        <v>5432</v>
      </c>
      <c r="C1011" s="40" t="s">
        <v>431</v>
      </c>
      <c r="D1011" s="41" t="s">
        <v>3630</v>
      </c>
    </row>
    <row r="1012" spans="1:4" x14ac:dyDescent="0.25">
      <c r="A1012" s="39" t="s">
        <v>5433</v>
      </c>
      <c r="B1012" s="39" t="s">
        <v>5434</v>
      </c>
      <c r="C1012" s="40" t="s">
        <v>985</v>
      </c>
      <c r="D1012" s="41" t="s">
        <v>3631</v>
      </c>
    </row>
    <row r="1013" spans="1:4" ht="47.25" customHeight="1" x14ac:dyDescent="0.25">
      <c r="A1013" s="39" t="s">
        <v>5435</v>
      </c>
      <c r="B1013" s="39" t="s">
        <v>5436</v>
      </c>
      <c r="C1013" s="40" t="s">
        <v>1406</v>
      </c>
      <c r="D1013" s="41" t="s">
        <v>3632</v>
      </c>
    </row>
    <row r="1014" spans="1:4" ht="47.25" customHeight="1" x14ac:dyDescent="0.25">
      <c r="A1014" s="39" t="s">
        <v>5437</v>
      </c>
      <c r="B1014" s="39" t="s">
        <v>5438</v>
      </c>
      <c r="C1014" s="40" t="s">
        <v>5439</v>
      </c>
      <c r="D1014" s="41" t="s">
        <v>3633</v>
      </c>
    </row>
    <row r="1015" spans="1:4" ht="31.5" customHeight="1" x14ac:dyDescent="0.25">
      <c r="A1015" s="39" t="s">
        <v>5440</v>
      </c>
      <c r="B1015" s="39" t="s">
        <v>5441</v>
      </c>
      <c r="C1015" s="40" t="s">
        <v>2371</v>
      </c>
      <c r="D1015" s="41" t="s">
        <v>3634</v>
      </c>
    </row>
    <row r="1016" spans="1:4" ht="47.25" customHeight="1" x14ac:dyDescent="0.25">
      <c r="A1016" s="39" t="s">
        <v>5442</v>
      </c>
      <c r="B1016" s="39" t="s">
        <v>5443</v>
      </c>
      <c r="C1016" s="40" t="s">
        <v>4757</v>
      </c>
      <c r="D1016" s="41" t="s">
        <v>3635</v>
      </c>
    </row>
    <row r="1017" spans="1:4" ht="47.25" customHeight="1" x14ac:dyDescent="0.25">
      <c r="A1017" s="39" t="s">
        <v>5444</v>
      </c>
      <c r="B1017" s="39" t="s">
        <v>5445</v>
      </c>
      <c r="C1017" s="40" t="s">
        <v>5446</v>
      </c>
      <c r="D1017" s="41" t="s">
        <v>3636</v>
      </c>
    </row>
    <row r="1018" spans="1:4" ht="63" customHeight="1" x14ac:dyDescent="0.25">
      <c r="A1018" s="39" t="s">
        <v>5447</v>
      </c>
      <c r="B1018" s="39" t="s">
        <v>5448</v>
      </c>
      <c r="C1018" s="40" t="s">
        <v>5449</v>
      </c>
      <c r="D1018" s="41" t="s">
        <v>3637</v>
      </c>
    </row>
    <row r="1019" spans="1:4" ht="31.5" customHeight="1" x14ac:dyDescent="0.25">
      <c r="A1019" s="39" t="s">
        <v>5450</v>
      </c>
      <c r="B1019" s="39" t="s">
        <v>5451</v>
      </c>
      <c r="C1019" s="40" t="s">
        <v>5452</v>
      </c>
      <c r="D1019" s="41" t="s">
        <v>3638</v>
      </c>
    </row>
    <row r="1020" spans="1:4" ht="47.25" customHeight="1" x14ac:dyDescent="0.25">
      <c r="A1020" s="39" t="s">
        <v>5453</v>
      </c>
      <c r="B1020" s="39" t="s">
        <v>5454</v>
      </c>
      <c r="C1020" s="40" t="s">
        <v>785</v>
      </c>
      <c r="D1020" s="41" t="s">
        <v>3639</v>
      </c>
    </row>
    <row r="1021" spans="1:4" ht="31.5" customHeight="1" x14ac:dyDescent="0.25">
      <c r="A1021" s="39" t="s">
        <v>5455</v>
      </c>
      <c r="B1021" s="39" t="s">
        <v>5456</v>
      </c>
      <c r="C1021" s="40" t="s">
        <v>785</v>
      </c>
      <c r="D1021" s="41" t="s">
        <v>3640</v>
      </c>
    </row>
    <row r="1022" spans="1:4" ht="47.25" customHeight="1" x14ac:dyDescent="0.25">
      <c r="A1022" s="39" t="s">
        <v>5457</v>
      </c>
      <c r="B1022" s="39" t="s">
        <v>5458</v>
      </c>
      <c r="C1022" s="40" t="s">
        <v>2066</v>
      </c>
      <c r="D1022" s="41" t="s">
        <v>3641</v>
      </c>
    </row>
    <row r="1023" spans="1:4" ht="47.25" customHeight="1" x14ac:dyDescent="0.25">
      <c r="A1023" s="39" t="s">
        <v>5459</v>
      </c>
      <c r="B1023" s="39" t="s">
        <v>5460</v>
      </c>
      <c r="C1023" s="40" t="s">
        <v>5075</v>
      </c>
      <c r="D1023" s="41" t="s">
        <v>3642</v>
      </c>
    </row>
    <row r="1024" spans="1:4" ht="47.25" customHeight="1" x14ac:dyDescent="0.25">
      <c r="A1024" s="39" t="s">
        <v>5461</v>
      </c>
      <c r="B1024" s="39" t="s">
        <v>5462</v>
      </c>
      <c r="C1024" s="40" t="s">
        <v>5463</v>
      </c>
      <c r="D1024" s="41" t="s">
        <v>3643</v>
      </c>
    </row>
    <row r="1025" spans="1:4" ht="47.25" customHeight="1" x14ac:dyDescent="0.25">
      <c r="A1025" s="39" t="s">
        <v>5464</v>
      </c>
      <c r="B1025" s="39" t="s">
        <v>5465</v>
      </c>
      <c r="C1025" s="40" t="s">
        <v>5463</v>
      </c>
      <c r="D1025" s="41" t="s">
        <v>3644</v>
      </c>
    </row>
    <row r="1026" spans="1:4" ht="63" customHeight="1" x14ac:dyDescent="0.25">
      <c r="A1026" s="39" t="s">
        <v>5466</v>
      </c>
      <c r="B1026" s="39" t="s">
        <v>5467</v>
      </c>
      <c r="C1026" s="40" t="s">
        <v>1380</v>
      </c>
      <c r="D1026" s="41" t="s">
        <v>3645</v>
      </c>
    </row>
    <row r="1027" spans="1:4" ht="47.25" customHeight="1" x14ac:dyDescent="0.25">
      <c r="A1027" s="39" t="s">
        <v>5468</v>
      </c>
      <c r="B1027" s="39" t="s">
        <v>5469</v>
      </c>
      <c r="C1027" s="40" t="s">
        <v>1725</v>
      </c>
      <c r="D1027" s="41" t="s">
        <v>3646</v>
      </c>
    </row>
    <row r="1028" spans="1:4" ht="47.25" customHeight="1" x14ac:dyDescent="0.25">
      <c r="A1028" s="39" t="s">
        <v>5470</v>
      </c>
      <c r="B1028" s="39" t="s">
        <v>5471</v>
      </c>
      <c r="C1028" s="40" t="s">
        <v>106</v>
      </c>
      <c r="D1028" s="41" t="s">
        <v>3647</v>
      </c>
    </row>
    <row r="1029" spans="1:4" ht="47.25" customHeight="1" x14ac:dyDescent="0.25">
      <c r="A1029" s="39" t="s">
        <v>5472</v>
      </c>
      <c r="B1029" s="39" t="s">
        <v>5473</v>
      </c>
      <c r="C1029" s="40" t="s">
        <v>1525</v>
      </c>
      <c r="D1029" s="41" t="s">
        <v>3648</v>
      </c>
    </row>
    <row r="1030" spans="1:4" ht="63" customHeight="1" x14ac:dyDescent="0.25">
      <c r="A1030" s="39" t="s">
        <v>5474</v>
      </c>
      <c r="B1030" s="39" t="s">
        <v>5475</v>
      </c>
      <c r="C1030" s="40" t="s">
        <v>164</v>
      </c>
      <c r="D1030" s="41" t="s">
        <v>3649</v>
      </c>
    </row>
    <row r="1031" spans="1:4" ht="47.25" customHeight="1" x14ac:dyDescent="0.25">
      <c r="A1031" s="39" t="s">
        <v>5476</v>
      </c>
      <c r="B1031" s="39" t="s">
        <v>5477</v>
      </c>
      <c r="C1031" s="40" t="s">
        <v>5413</v>
      </c>
      <c r="D1031" s="41" t="s">
        <v>3650</v>
      </c>
    </row>
    <row r="1032" spans="1:4" ht="31.5" customHeight="1" x14ac:dyDescent="0.25">
      <c r="A1032" s="39" t="s">
        <v>5478</v>
      </c>
      <c r="B1032" s="39" t="s">
        <v>5479</v>
      </c>
      <c r="C1032" s="40" t="s">
        <v>402</v>
      </c>
      <c r="D1032" s="41" t="s">
        <v>3651</v>
      </c>
    </row>
    <row r="1033" spans="1:4" ht="31.5" customHeight="1" x14ac:dyDescent="0.25">
      <c r="A1033" s="39" t="s">
        <v>5480</v>
      </c>
      <c r="B1033" s="39" t="s">
        <v>5481</v>
      </c>
      <c r="C1033" s="40" t="s">
        <v>291</v>
      </c>
      <c r="D1033" s="41" t="s">
        <v>3652</v>
      </c>
    </row>
    <row r="1034" spans="1:4" ht="47.25" customHeight="1" x14ac:dyDescent="0.25">
      <c r="A1034" s="39" t="s">
        <v>5482</v>
      </c>
      <c r="B1034" s="39" t="s">
        <v>5483</v>
      </c>
      <c r="C1034" s="40" t="s">
        <v>5484</v>
      </c>
      <c r="D1034" s="41" t="s">
        <v>3653</v>
      </c>
    </row>
    <row r="1035" spans="1:4" ht="47.25" customHeight="1" x14ac:dyDescent="0.25">
      <c r="A1035" s="39" t="s">
        <v>5485</v>
      </c>
      <c r="B1035" s="39" t="s">
        <v>5486</v>
      </c>
      <c r="C1035" s="40" t="s">
        <v>240</v>
      </c>
      <c r="D1035" s="41" t="s">
        <v>3654</v>
      </c>
    </row>
    <row r="1036" spans="1:4" ht="63" customHeight="1" x14ac:dyDescent="0.25">
      <c r="A1036" s="39" t="s">
        <v>5487</v>
      </c>
      <c r="B1036" s="39" t="s">
        <v>5488</v>
      </c>
      <c r="C1036" s="40" t="s">
        <v>386</v>
      </c>
      <c r="D1036" s="41" t="s">
        <v>3655</v>
      </c>
    </row>
    <row r="1037" spans="1:4" ht="31.5" customHeight="1" x14ac:dyDescent="0.25">
      <c r="A1037" s="39" t="s">
        <v>5489</v>
      </c>
      <c r="B1037" s="39" t="s">
        <v>5490</v>
      </c>
      <c r="C1037" s="40" t="s">
        <v>386</v>
      </c>
      <c r="D1037" s="41" t="s">
        <v>3656</v>
      </c>
    </row>
    <row r="1038" spans="1:4" ht="47.25" customHeight="1" x14ac:dyDescent="0.25">
      <c r="A1038" s="39" t="s">
        <v>5491</v>
      </c>
      <c r="B1038" s="39" t="s">
        <v>5492</v>
      </c>
      <c r="C1038" s="40" t="s">
        <v>2249</v>
      </c>
      <c r="D1038" s="41" t="s">
        <v>3657</v>
      </c>
    </row>
    <row r="1039" spans="1:4" ht="47.25" customHeight="1" x14ac:dyDescent="0.25">
      <c r="A1039" s="39" t="s">
        <v>5493</v>
      </c>
      <c r="B1039" s="39" t="s">
        <v>5494</v>
      </c>
      <c r="C1039" s="40" t="s">
        <v>1530</v>
      </c>
      <c r="D1039" s="41" t="s">
        <v>3658</v>
      </c>
    </row>
    <row r="1040" spans="1:4" ht="47.25" customHeight="1" x14ac:dyDescent="0.25">
      <c r="A1040" s="39" t="s">
        <v>5495</v>
      </c>
      <c r="B1040" s="39" t="s">
        <v>5496</v>
      </c>
      <c r="C1040" s="40" t="s">
        <v>552</v>
      </c>
      <c r="D1040" s="41" t="s">
        <v>3659</v>
      </c>
    </row>
    <row r="1041" spans="1:4" ht="47.25" customHeight="1" x14ac:dyDescent="0.25">
      <c r="A1041" s="39" t="s">
        <v>5497</v>
      </c>
      <c r="B1041" s="39" t="s">
        <v>5498</v>
      </c>
      <c r="C1041" s="40" t="s">
        <v>4084</v>
      </c>
      <c r="D1041" s="41" t="s">
        <v>3660</v>
      </c>
    </row>
    <row r="1042" spans="1:4" ht="47.25" customHeight="1" x14ac:dyDescent="0.25">
      <c r="A1042" s="39" t="s">
        <v>5499</v>
      </c>
      <c r="B1042" s="39" t="s">
        <v>5500</v>
      </c>
      <c r="C1042" s="40" t="s">
        <v>5501</v>
      </c>
      <c r="D1042" s="41" t="s">
        <v>3661</v>
      </c>
    </row>
    <row r="1043" spans="1:4" ht="47.25" customHeight="1" x14ac:dyDescent="0.25">
      <c r="A1043" s="39" t="s">
        <v>5502</v>
      </c>
      <c r="B1043" s="39" t="s">
        <v>5503</v>
      </c>
      <c r="C1043" s="40" t="s">
        <v>5504</v>
      </c>
      <c r="D1043" s="41" t="s">
        <v>3662</v>
      </c>
    </row>
    <row r="1044" spans="1:4" ht="47.25" customHeight="1" x14ac:dyDescent="0.25">
      <c r="A1044" s="39" t="s">
        <v>5505</v>
      </c>
      <c r="B1044" s="39" t="s">
        <v>5506</v>
      </c>
      <c r="C1044" s="40" t="s">
        <v>685</v>
      </c>
      <c r="D1044" s="41" t="s">
        <v>3663</v>
      </c>
    </row>
    <row r="1045" spans="1:4" ht="47.25" customHeight="1" x14ac:dyDescent="0.25">
      <c r="A1045" s="39" t="s">
        <v>5507</v>
      </c>
      <c r="B1045" s="39" t="s">
        <v>5508</v>
      </c>
      <c r="C1045" s="40" t="s">
        <v>5509</v>
      </c>
      <c r="D1045" s="41" t="s">
        <v>3664</v>
      </c>
    </row>
    <row r="1046" spans="1:4" ht="47.25" customHeight="1" x14ac:dyDescent="0.25">
      <c r="A1046" s="39" t="s">
        <v>5510</v>
      </c>
      <c r="B1046" s="39" t="s">
        <v>5511</v>
      </c>
      <c r="C1046" s="40" t="s">
        <v>1454</v>
      </c>
      <c r="D1046" s="41" t="s">
        <v>3665</v>
      </c>
    </row>
    <row r="1047" spans="1:4" ht="47.25" customHeight="1" x14ac:dyDescent="0.25">
      <c r="A1047" s="39" t="s">
        <v>5512</v>
      </c>
      <c r="B1047" s="39" t="s">
        <v>5513</v>
      </c>
      <c r="C1047" s="40" t="s">
        <v>3861</v>
      </c>
      <c r="D1047" s="41" t="s">
        <v>3666</v>
      </c>
    </row>
    <row r="1048" spans="1:4" ht="47.25" customHeight="1" x14ac:dyDescent="0.25">
      <c r="A1048" s="39" t="s">
        <v>5514</v>
      </c>
      <c r="B1048" s="39" t="s">
        <v>5515</v>
      </c>
      <c r="C1048" s="40" t="s">
        <v>5516</v>
      </c>
      <c r="D1048" s="41" t="s">
        <v>3667</v>
      </c>
    </row>
    <row r="1049" spans="1:4" ht="31.5" customHeight="1" x14ac:dyDescent="0.25">
      <c r="A1049" s="39" t="s">
        <v>5517</v>
      </c>
      <c r="B1049" s="39" t="s">
        <v>5518</v>
      </c>
      <c r="C1049" s="40" t="s">
        <v>552</v>
      </c>
      <c r="D1049" s="41" t="s">
        <v>3668</v>
      </c>
    </row>
    <row r="1050" spans="1:4" ht="47.25" customHeight="1" x14ac:dyDescent="0.25">
      <c r="A1050" s="39" t="s">
        <v>5519</v>
      </c>
      <c r="B1050" s="39" t="s">
        <v>5520</v>
      </c>
      <c r="C1050" s="40" t="s">
        <v>5521</v>
      </c>
      <c r="D1050" s="41" t="s">
        <v>3669</v>
      </c>
    </row>
    <row r="1051" spans="1:4" ht="31.5" customHeight="1" x14ac:dyDescent="0.25">
      <c r="A1051" s="39" t="s">
        <v>5522</v>
      </c>
      <c r="B1051" s="39" t="s">
        <v>5523</v>
      </c>
      <c r="C1051" s="40" t="s">
        <v>211</v>
      </c>
      <c r="D1051" s="41" t="s">
        <v>3670</v>
      </c>
    </row>
    <row r="1052" spans="1:4" ht="47.25" customHeight="1" x14ac:dyDescent="0.25">
      <c r="A1052" s="39" t="s">
        <v>5524</v>
      </c>
      <c r="B1052" s="39" t="s">
        <v>5525</v>
      </c>
      <c r="C1052" s="40" t="s">
        <v>1134</v>
      </c>
      <c r="D1052" s="41" t="s">
        <v>3671</v>
      </c>
    </row>
    <row r="1053" spans="1:4" ht="47.25" customHeight="1" x14ac:dyDescent="0.25">
      <c r="A1053" s="39" t="s">
        <v>5526</v>
      </c>
      <c r="B1053" s="39" t="s">
        <v>5527</v>
      </c>
      <c r="C1053" s="40" t="s">
        <v>1617</v>
      </c>
      <c r="D1053" s="41" t="s">
        <v>3672</v>
      </c>
    </row>
    <row r="1054" spans="1:4" ht="31.5" customHeight="1" x14ac:dyDescent="0.25">
      <c r="A1054" s="39" t="s">
        <v>5528</v>
      </c>
      <c r="B1054" s="39" t="s">
        <v>5529</v>
      </c>
      <c r="C1054" s="40" t="s">
        <v>5530</v>
      </c>
      <c r="D1054" s="41" t="s">
        <v>3673</v>
      </c>
    </row>
    <row r="1055" spans="1:4" ht="47.25" customHeight="1" x14ac:dyDescent="0.25">
      <c r="A1055" s="39" t="s">
        <v>5531</v>
      </c>
      <c r="B1055" s="39" t="s">
        <v>5532</v>
      </c>
      <c r="C1055" s="40" t="s">
        <v>1617</v>
      </c>
      <c r="D1055" s="41" t="s">
        <v>3674</v>
      </c>
    </row>
    <row r="1056" spans="1:4" ht="47.25" customHeight="1" x14ac:dyDescent="0.25">
      <c r="A1056" s="39" t="s">
        <v>5533</v>
      </c>
      <c r="B1056" s="39" t="s">
        <v>5534</v>
      </c>
      <c r="C1056" s="40" t="s">
        <v>601</v>
      </c>
      <c r="D1056" s="41" t="s">
        <v>3675</v>
      </c>
    </row>
    <row r="1057" spans="1:4" ht="47.25" customHeight="1" x14ac:dyDescent="0.25">
      <c r="A1057" s="39" t="s">
        <v>5535</v>
      </c>
      <c r="B1057" s="39" t="s">
        <v>5536</v>
      </c>
      <c r="C1057" s="40" t="s">
        <v>4621</v>
      </c>
      <c r="D1057" s="41" t="s">
        <v>3676</v>
      </c>
    </row>
    <row r="1058" spans="1:4" ht="47.25" customHeight="1" x14ac:dyDescent="0.25">
      <c r="A1058" s="39" t="s">
        <v>5537</v>
      </c>
      <c r="B1058" s="39" t="s">
        <v>5538</v>
      </c>
      <c r="C1058" s="40" t="s">
        <v>1725</v>
      </c>
      <c r="D1058" s="41" t="s">
        <v>3677</v>
      </c>
    </row>
    <row r="1059" spans="1:4" ht="47.25" customHeight="1" x14ac:dyDescent="0.25">
      <c r="A1059" s="39" t="s">
        <v>5539</v>
      </c>
      <c r="B1059" s="39" t="s">
        <v>5540</v>
      </c>
      <c r="C1059" s="40" t="s">
        <v>965</v>
      </c>
      <c r="D1059" s="41" t="s">
        <v>3678</v>
      </c>
    </row>
    <row r="1060" spans="1:4" ht="31.5" customHeight="1" x14ac:dyDescent="0.25">
      <c r="A1060" s="39" t="s">
        <v>5541</v>
      </c>
      <c r="B1060" s="39" t="s">
        <v>5542</v>
      </c>
      <c r="C1060" s="40" t="s">
        <v>4297</v>
      </c>
      <c r="D1060" s="41" t="s">
        <v>3679</v>
      </c>
    </row>
    <row r="1061" spans="1:4" ht="47.25" customHeight="1" x14ac:dyDescent="0.25">
      <c r="A1061" s="39" t="s">
        <v>5543</v>
      </c>
      <c r="B1061" s="39" t="s">
        <v>5544</v>
      </c>
      <c r="C1061" s="40" t="s">
        <v>952</v>
      </c>
      <c r="D1061" s="41" t="s">
        <v>3680</v>
      </c>
    </row>
    <row r="1062" spans="1:4" ht="47.25" customHeight="1" x14ac:dyDescent="0.25">
      <c r="A1062" s="39" t="s">
        <v>5545</v>
      </c>
      <c r="B1062" s="39" t="s">
        <v>5546</v>
      </c>
      <c r="C1062" s="40" t="s">
        <v>5547</v>
      </c>
      <c r="D1062" s="41" t="s">
        <v>3681</v>
      </c>
    </row>
    <row r="1063" spans="1:4" ht="31.5" customHeight="1" x14ac:dyDescent="0.25">
      <c r="A1063" s="39" t="s">
        <v>5548</v>
      </c>
      <c r="B1063" s="39" t="s">
        <v>5549</v>
      </c>
      <c r="C1063" s="40" t="s">
        <v>661</v>
      </c>
      <c r="D1063" s="41" t="s">
        <v>3682</v>
      </c>
    </row>
    <row r="1064" spans="1:4" ht="47.25" customHeight="1" x14ac:dyDescent="0.25">
      <c r="A1064" s="39" t="s">
        <v>5550</v>
      </c>
      <c r="B1064" s="39" t="s">
        <v>5551</v>
      </c>
      <c r="C1064" s="40" t="s">
        <v>1509</v>
      </c>
      <c r="D1064" s="41" t="s">
        <v>3683</v>
      </c>
    </row>
    <row r="1065" spans="1:4" ht="78.75" customHeight="1" x14ac:dyDescent="0.25">
      <c r="A1065" s="39" t="s">
        <v>5552</v>
      </c>
      <c r="B1065" s="39" t="s">
        <v>5553</v>
      </c>
      <c r="C1065" s="40" t="s">
        <v>952</v>
      </c>
      <c r="D1065" s="41" t="s">
        <v>3684</v>
      </c>
    </row>
    <row r="1066" spans="1:4" ht="47.25" customHeight="1" x14ac:dyDescent="0.25">
      <c r="A1066" s="39" t="s">
        <v>5554</v>
      </c>
      <c r="B1066" s="39" t="s">
        <v>5555</v>
      </c>
      <c r="C1066" s="40" t="s">
        <v>4883</v>
      </c>
      <c r="D1066" s="41" t="s">
        <v>3685</v>
      </c>
    </row>
    <row r="1067" spans="1:4" ht="47.25" customHeight="1" x14ac:dyDescent="0.25">
      <c r="A1067" s="39" t="s">
        <v>5556</v>
      </c>
      <c r="B1067" s="39" t="s">
        <v>5557</v>
      </c>
      <c r="C1067" s="40" t="s">
        <v>5364</v>
      </c>
      <c r="D1067" s="41" t="s">
        <v>3686</v>
      </c>
    </row>
    <row r="1068" spans="1:4" ht="47.25" customHeight="1" x14ac:dyDescent="0.25">
      <c r="A1068" s="39" t="s">
        <v>5558</v>
      </c>
      <c r="B1068" s="39" t="s">
        <v>5559</v>
      </c>
      <c r="C1068" s="40" t="s">
        <v>407</v>
      </c>
      <c r="D1068" s="41" t="s">
        <v>3687</v>
      </c>
    </row>
    <row r="1069" spans="1:4" ht="31.5" customHeight="1" x14ac:dyDescent="0.25">
      <c r="A1069" s="39" t="s">
        <v>5560</v>
      </c>
      <c r="B1069" s="39" t="s">
        <v>5561</v>
      </c>
      <c r="C1069" s="40" t="s">
        <v>1042</v>
      </c>
      <c r="D1069" s="41" t="s">
        <v>3688</v>
      </c>
    </row>
    <row r="1070" spans="1:4" ht="63" customHeight="1" x14ac:dyDescent="0.25">
      <c r="A1070" s="39" t="s">
        <v>5562</v>
      </c>
      <c r="B1070" s="39" t="s">
        <v>5563</v>
      </c>
      <c r="C1070" s="40" t="s">
        <v>5564</v>
      </c>
      <c r="D1070" s="41" t="s">
        <v>3689</v>
      </c>
    </row>
    <row r="1071" spans="1:4" ht="31.5" customHeight="1" x14ac:dyDescent="0.25">
      <c r="A1071" s="39" t="s">
        <v>5565</v>
      </c>
      <c r="B1071" s="39" t="s">
        <v>5566</v>
      </c>
      <c r="C1071" s="40" t="s">
        <v>4873</v>
      </c>
      <c r="D1071" s="41" t="s">
        <v>3690</v>
      </c>
    </row>
    <row r="1072" spans="1:4" ht="63" customHeight="1" x14ac:dyDescent="0.25">
      <c r="A1072" s="39" t="s">
        <v>5567</v>
      </c>
      <c r="B1072" s="39" t="s">
        <v>5568</v>
      </c>
      <c r="C1072" s="40" t="s">
        <v>5569</v>
      </c>
      <c r="D1072" s="41" t="s">
        <v>3691</v>
      </c>
    </row>
    <row r="1073" spans="1:4" ht="63" customHeight="1" x14ac:dyDescent="0.25">
      <c r="A1073" s="39" t="s">
        <v>5570</v>
      </c>
      <c r="B1073" s="39" t="s">
        <v>5571</v>
      </c>
      <c r="C1073" s="40" t="s">
        <v>65</v>
      </c>
      <c r="D1073" s="41" t="s">
        <v>3692</v>
      </c>
    </row>
    <row r="1074" spans="1:4" ht="31.5" customHeight="1" x14ac:dyDescent="0.25">
      <c r="A1074" s="39" t="s">
        <v>5572</v>
      </c>
      <c r="B1074" s="39" t="s">
        <v>5573</v>
      </c>
      <c r="C1074" s="40" t="s">
        <v>4571</v>
      </c>
      <c r="D1074" s="41" t="s">
        <v>3693</v>
      </c>
    </row>
    <row r="1075" spans="1:4" ht="31.5" customHeight="1" x14ac:dyDescent="0.25">
      <c r="A1075" s="39" t="s">
        <v>5574</v>
      </c>
      <c r="B1075" s="39" t="s">
        <v>5575</v>
      </c>
      <c r="C1075" s="40" t="s">
        <v>65</v>
      </c>
      <c r="D1075" s="41" t="s">
        <v>3694</v>
      </c>
    </row>
    <row r="1076" spans="1:4" ht="31.5" customHeight="1" x14ac:dyDescent="0.25">
      <c r="A1076" s="39" t="s">
        <v>5576</v>
      </c>
      <c r="B1076" s="39" t="s">
        <v>5577</v>
      </c>
      <c r="C1076" s="40" t="s">
        <v>3887</v>
      </c>
      <c r="D1076" s="41" t="s">
        <v>3695</v>
      </c>
    </row>
    <row r="1077" spans="1:4" ht="47.25" customHeight="1" x14ac:dyDescent="0.25">
      <c r="A1077" s="39" t="s">
        <v>5578</v>
      </c>
      <c r="B1077" s="39" t="s">
        <v>5579</v>
      </c>
      <c r="C1077" s="40" t="s">
        <v>330</v>
      </c>
      <c r="D1077" s="41" t="s">
        <v>3696</v>
      </c>
    </row>
    <row r="1078" spans="1:4" ht="94.5" customHeight="1" x14ac:dyDescent="0.25">
      <c r="A1078" s="39" t="s">
        <v>5580</v>
      </c>
      <c r="B1078" s="39" t="s">
        <v>5581</v>
      </c>
      <c r="C1078" s="40" t="s">
        <v>386</v>
      </c>
      <c r="D1078" s="41" t="s">
        <v>3697</v>
      </c>
    </row>
    <row r="1079" spans="1:4" ht="31.5" customHeight="1" x14ac:dyDescent="0.25">
      <c r="A1079" s="39" t="s">
        <v>5582</v>
      </c>
      <c r="B1079" s="39" t="s">
        <v>5583</v>
      </c>
      <c r="C1079" s="40" t="s">
        <v>895</v>
      </c>
      <c r="D1079" s="41" t="s">
        <v>3698</v>
      </c>
    </row>
    <row r="1080" spans="1:4" ht="31.5" customHeight="1" x14ac:dyDescent="0.25">
      <c r="A1080" s="39" t="s">
        <v>5584</v>
      </c>
      <c r="B1080" s="39" t="s">
        <v>5585</v>
      </c>
      <c r="C1080" s="40" t="s">
        <v>1612</v>
      </c>
      <c r="D1080" s="41" t="s">
        <v>3699</v>
      </c>
    </row>
    <row r="1081" spans="1:4" ht="31.5" customHeight="1" x14ac:dyDescent="0.25">
      <c r="A1081" s="39" t="s">
        <v>5586</v>
      </c>
      <c r="B1081" s="39" t="s">
        <v>5587</v>
      </c>
      <c r="C1081" s="40" t="s">
        <v>4993</v>
      </c>
      <c r="D1081" s="41" t="s">
        <v>3700</v>
      </c>
    </row>
  </sheetData>
  <conditionalFormatting sqref="A1:C1 B2:C71 A2:A79">
    <cfRule type="expression" dxfId="4" priority="2">
      <formula>ISEVEN(ROW())</formula>
    </cfRule>
  </conditionalFormatting>
  <conditionalFormatting sqref="B72 B73:C79 A80:C1081">
    <cfRule type="expression" dxfId="3"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B1:N83"/>
  <sheetViews>
    <sheetView showGridLines="0" showZeros="0" zoomScaleNormal="100" workbookViewId="0">
      <selection activeCell="C4" sqref="C4"/>
    </sheetView>
  </sheetViews>
  <sheetFormatPr defaultColWidth="8.7109375" defaultRowHeight="15" x14ac:dyDescent="0.25"/>
  <cols>
    <col min="1" max="1" width="2" customWidth="1"/>
    <col min="2" max="2" width="12.28515625" customWidth="1"/>
    <col min="3" max="3" width="9.28515625" customWidth="1"/>
    <col min="4" max="4" width="13.42578125" customWidth="1"/>
    <col min="5" max="5" width="24.7109375" customWidth="1"/>
    <col min="6" max="6" width="8" customWidth="1"/>
    <col min="7" max="7" width="3.28515625" customWidth="1"/>
    <col min="8" max="8" width="9.7109375" customWidth="1"/>
    <col min="9" max="9" width="9.28515625" customWidth="1"/>
    <col min="10" max="10" width="4.85546875" customWidth="1"/>
    <col min="11" max="11" width="7" customWidth="1"/>
    <col min="12" max="12" width="3.5703125" customWidth="1"/>
    <col min="13" max="13" width="4.140625" customWidth="1"/>
    <col min="14" max="17" width="12" customWidth="1"/>
  </cols>
  <sheetData>
    <row r="1" spans="2:14" ht="27.75" customHeight="1" x14ac:dyDescent="0.25">
      <c r="B1" s="336" t="s">
        <v>5588</v>
      </c>
      <c r="C1" s="334"/>
      <c r="D1" s="334"/>
      <c r="E1" s="334"/>
      <c r="F1" s="334"/>
      <c r="G1" s="334"/>
      <c r="H1" s="334"/>
      <c r="I1" s="334"/>
      <c r="J1" s="334"/>
      <c r="K1" s="334"/>
      <c r="L1" s="334"/>
      <c r="M1" s="334"/>
      <c r="N1" s="335"/>
    </row>
    <row r="2" spans="2:14" ht="19.5" customHeight="1" x14ac:dyDescent="0.25">
      <c r="B2" s="337" t="s">
        <v>5589</v>
      </c>
      <c r="C2" s="334"/>
      <c r="D2" s="334"/>
      <c r="E2" s="334"/>
      <c r="F2" s="334"/>
      <c r="G2" s="334"/>
      <c r="H2" s="334"/>
      <c r="I2" s="334"/>
      <c r="J2" s="335"/>
    </row>
    <row r="3" spans="2:14" ht="13.5" customHeight="1" x14ac:dyDescent="0.25">
      <c r="B3" s="333" t="s">
        <v>5590</v>
      </c>
      <c r="C3" s="334"/>
      <c r="D3" s="334"/>
      <c r="E3" s="334"/>
      <c r="F3" s="334"/>
      <c r="G3" s="334"/>
      <c r="H3" s="334"/>
      <c r="I3" s="334"/>
      <c r="J3" s="335"/>
    </row>
    <row r="4" spans="2:14" ht="21.75" customHeight="1" x14ac:dyDescent="0.25">
      <c r="B4" s="172" t="s">
        <v>5591</v>
      </c>
      <c r="C4" s="173" t="s">
        <v>66</v>
      </c>
      <c r="D4" s="174" t="s">
        <v>93</v>
      </c>
      <c r="E4" s="175" t="s">
        <v>215</v>
      </c>
      <c r="F4" s="176" t="s">
        <v>229</v>
      </c>
      <c r="G4" s="177" t="s">
        <v>175</v>
      </c>
      <c r="H4" s="178" t="s">
        <v>153</v>
      </c>
      <c r="I4" s="179" t="s">
        <v>428</v>
      </c>
      <c r="K4" s="180" t="s">
        <v>4</v>
      </c>
    </row>
    <row r="5" spans="2:14" ht="19.5" customHeight="1" x14ac:dyDescent="0.25">
      <c r="B5" s="181" t="s">
        <v>93</v>
      </c>
      <c r="C5" s="182">
        <v>48</v>
      </c>
      <c r="D5" s="183">
        <v>1</v>
      </c>
      <c r="E5" s="184">
        <v>7</v>
      </c>
      <c r="F5" s="185"/>
      <c r="G5" s="185"/>
      <c r="H5" s="185"/>
      <c r="I5" s="186">
        <v>3</v>
      </c>
      <c r="K5" s="187">
        <v>59</v>
      </c>
    </row>
    <row r="6" spans="2:14" ht="19.5" customHeight="1" x14ac:dyDescent="0.25">
      <c r="B6" s="188" t="s">
        <v>215</v>
      </c>
      <c r="C6" s="182">
        <v>3</v>
      </c>
      <c r="D6" s="183">
        <v>5</v>
      </c>
      <c r="E6" s="185"/>
      <c r="F6" s="185"/>
      <c r="G6" s="185"/>
      <c r="H6" s="185"/>
      <c r="I6" s="185"/>
      <c r="K6" s="187">
        <v>8</v>
      </c>
    </row>
    <row r="7" spans="2:14" ht="19.5" customHeight="1" x14ac:dyDescent="0.25">
      <c r="B7" s="189" t="s">
        <v>229</v>
      </c>
      <c r="C7" s="185"/>
      <c r="D7" s="185"/>
      <c r="E7" s="184">
        <v>1</v>
      </c>
      <c r="F7" s="185"/>
      <c r="G7" s="185"/>
      <c r="H7" s="185"/>
      <c r="I7" s="185"/>
      <c r="K7" s="187">
        <v>1</v>
      </c>
    </row>
    <row r="8" spans="2:14" ht="19.5" customHeight="1" x14ac:dyDescent="0.25">
      <c r="B8" s="190" t="s">
        <v>175</v>
      </c>
      <c r="C8" s="182">
        <v>1</v>
      </c>
      <c r="D8" s="185"/>
      <c r="E8" s="185"/>
      <c r="F8" s="185"/>
      <c r="G8" s="185"/>
      <c r="H8" s="185"/>
      <c r="I8" s="185"/>
      <c r="K8" s="187">
        <v>1</v>
      </c>
    </row>
    <row r="9" spans="2:14" ht="21.75" customHeight="1" x14ac:dyDescent="0.25">
      <c r="B9" s="191" t="s">
        <v>4</v>
      </c>
      <c r="C9" s="171">
        <v>52</v>
      </c>
      <c r="D9" s="171">
        <v>6</v>
      </c>
      <c r="E9" s="171">
        <v>8</v>
      </c>
      <c r="F9" s="171"/>
      <c r="G9" s="171"/>
      <c r="H9" s="171"/>
      <c r="I9" s="171">
        <v>3</v>
      </c>
      <c r="K9" s="192">
        <v>69</v>
      </c>
    </row>
    <row r="12" spans="2:14" ht="19.5" customHeight="1" x14ac:dyDescent="0.25">
      <c r="B12" s="337" t="s">
        <v>5592</v>
      </c>
      <c r="C12" s="334"/>
      <c r="D12" s="334"/>
      <c r="E12" s="334"/>
      <c r="F12" s="334"/>
      <c r="G12" s="334"/>
      <c r="H12" s="334"/>
      <c r="I12" s="334"/>
      <c r="J12" s="334"/>
      <c r="K12" s="334"/>
      <c r="L12" s="334"/>
      <c r="M12" s="335"/>
    </row>
    <row r="13" spans="2:14" ht="13.5" customHeight="1" x14ac:dyDescent="0.25">
      <c r="B13" s="333" t="s">
        <v>5593</v>
      </c>
      <c r="C13" s="334"/>
      <c r="D13" s="334"/>
      <c r="E13" s="334"/>
      <c r="F13" s="334"/>
      <c r="G13" s="334"/>
      <c r="H13" s="334"/>
      <c r="I13" s="334"/>
      <c r="J13" s="334"/>
      <c r="K13" s="334"/>
      <c r="L13" s="334"/>
      <c r="M13" s="335"/>
    </row>
    <row r="14" spans="2:14" ht="19.5" customHeight="1" x14ac:dyDescent="0.25">
      <c r="B14" s="193" t="s">
        <v>5594</v>
      </c>
      <c r="C14" s="193" t="s">
        <v>5595</v>
      </c>
      <c r="D14" s="193" t="s">
        <v>45</v>
      </c>
      <c r="E14" s="193" t="s">
        <v>41</v>
      </c>
      <c r="F14" s="193" t="s">
        <v>5596</v>
      </c>
      <c r="G14" s="193" t="s">
        <v>5597</v>
      </c>
      <c r="H14" s="193" t="s">
        <v>5598</v>
      </c>
      <c r="I14" s="193" t="s">
        <v>5597</v>
      </c>
      <c r="J14" s="193" t="s">
        <v>5599</v>
      </c>
      <c r="K14" s="193" t="s">
        <v>5597</v>
      </c>
      <c r="L14" s="193" t="s">
        <v>5600</v>
      </c>
      <c r="M14" s="193" t="s">
        <v>5601</v>
      </c>
    </row>
    <row r="15" spans="2:14" ht="15" customHeight="1" x14ac:dyDescent="0.25">
      <c r="B15" s="194">
        <v>1</v>
      </c>
      <c r="C15" s="195" t="s">
        <v>86</v>
      </c>
      <c r="D15" s="196" t="s">
        <v>37</v>
      </c>
      <c r="E15" s="197" t="s">
        <v>87</v>
      </c>
      <c r="F15" s="174" t="s">
        <v>93</v>
      </c>
      <c r="G15" s="198" t="s">
        <v>5597</v>
      </c>
      <c r="H15" s="173" t="s">
        <v>66</v>
      </c>
      <c r="I15" s="198"/>
      <c r="J15" s="199"/>
      <c r="K15" s="198"/>
      <c r="L15" s="199"/>
      <c r="M15" s="194" t="s">
        <v>5602</v>
      </c>
    </row>
    <row r="16" spans="2:14" ht="15" customHeight="1" x14ac:dyDescent="0.25">
      <c r="B16" s="200">
        <v>2</v>
      </c>
      <c r="C16" s="201" t="s">
        <v>96</v>
      </c>
      <c r="D16" s="202" t="s">
        <v>37</v>
      </c>
      <c r="E16" s="203" t="s">
        <v>97</v>
      </c>
      <c r="F16" s="174" t="s">
        <v>93</v>
      </c>
      <c r="G16" s="204" t="s">
        <v>5597</v>
      </c>
      <c r="H16" s="173" t="s">
        <v>66</v>
      </c>
      <c r="I16" s="204"/>
      <c r="J16" s="205"/>
      <c r="K16" s="204"/>
      <c r="L16" s="205"/>
      <c r="M16" s="200" t="s">
        <v>5602</v>
      </c>
    </row>
    <row r="17" spans="2:13" ht="15" customHeight="1" x14ac:dyDescent="0.25">
      <c r="B17" s="194">
        <v>3</v>
      </c>
      <c r="C17" s="195" t="s">
        <v>135</v>
      </c>
      <c r="D17" s="196" t="s">
        <v>37</v>
      </c>
      <c r="E17" s="197" t="s">
        <v>136</v>
      </c>
      <c r="F17" s="174" t="s">
        <v>93</v>
      </c>
      <c r="G17" s="198" t="s">
        <v>5597</v>
      </c>
      <c r="H17" s="173" t="s">
        <v>66</v>
      </c>
      <c r="I17" s="198"/>
      <c r="J17" s="199"/>
      <c r="K17" s="198"/>
      <c r="L17" s="199"/>
      <c r="M17" s="194" t="s">
        <v>5602</v>
      </c>
    </row>
    <row r="18" spans="2:13" ht="15" customHeight="1" x14ac:dyDescent="0.25">
      <c r="B18" s="200">
        <v>4</v>
      </c>
      <c r="C18" s="201" t="s">
        <v>156</v>
      </c>
      <c r="D18" s="202" t="s">
        <v>36</v>
      </c>
      <c r="E18" s="203" t="s">
        <v>157</v>
      </c>
      <c r="F18" s="174" t="s">
        <v>93</v>
      </c>
      <c r="G18" s="204" t="s">
        <v>5597</v>
      </c>
      <c r="H18" s="173" t="s">
        <v>66</v>
      </c>
      <c r="I18" s="204"/>
      <c r="J18" s="205"/>
      <c r="K18" s="204"/>
      <c r="L18" s="205"/>
      <c r="M18" s="200" t="s">
        <v>5602</v>
      </c>
    </row>
    <row r="19" spans="2:13" ht="15" customHeight="1" x14ac:dyDescent="0.25">
      <c r="B19" s="194">
        <v>5</v>
      </c>
      <c r="C19" s="195" t="s">
        <v>184</v>
      </c>
      <c r="D19" s="196" t="s">
        <v>35</v>
      </c>
      <c r="E19" s="197" t="s">
        <v>185</v>
      </c>
      <c r="F19" s="174" t="s">
        <v>93</v>
      </c>
      <c r="G19" s="198" t="s">
        <v>5597</v>
      </c>
      <c r="H19" s="173" t="s">
        <v>66</v>
      </c>
      <c r="I19" s="198"/>
      <c r="J19" s="199"/>
      <c r="K19" s="198"/>
      <c r="L19" s="199"/>
      <c r="M19" s="194" t="s">
        <v>5602</v>
      </c>
    </row>
    <row r="20" spans="2:13" ht="15" customHeight="1" x14ac:dyDescent="0.25">
      <c r="B20" s="200">
        <v>6</v>
      </c>
      <c r="C20" s="201" t="s">
        <v>210</v>
      </c>
      <c r="D20" s="202" t="s">
        <v>37</v>
      </c>
      <c r="E20" s="203" t="s">
        <v>211</v>
      </c>
      <c r="F20" s="174" t="s">
        <v>93</v>
      </c>
      <c r="G20" s="204" t="s">
        <v>5597</v>
      </c>
      <c r="H20" s="175" t="s">
        <v>215</v>
      </c>
      <c r="I20" s="204" t="s">
        <v>5597</v>
      </c>
      <c r="J20" s="173" t="s">
        <v>66</v>
      </c>
      <c r="K20" s="204"/>
      <c r="L20" s="205"/>
      <c r="M20" s="200" t="s">
        <v>5603</v>
      </c>
    </row>
    <row r="21" spans="2:13" ht="15" customHeight="1" x14ac:dyDescent="0.25">
      <c r="B21" s="194">
        <v>7</v>
      </c>
      <c r="C21" s="195" t="s">
        <v>218</v>
      </c>
      <c r="D21" s="196" t="s">
        <v>35</v>
      </c>
      <c r="E21" s="197" t="s">
        <v>219</v>
      </c>
      <c r="F21" s="174" t="s">
        <v>93</v>
      </c>
      <c r="G21" s="198" t="s">
        <v>5597</v>
      </c>
      <c r="H21" s="173" t="s">
        <v>66</v>
      </c>
      <c r="I21" s="198"/>
      <c r="J21" s="199"/>
      <c r="K21" s="198"/>
      <c r="L21" s="199"/>
      <c r="M21" s="194" t="s">
        <v>5602</v>
      </c>
    </row>
    <row r="22" spans="2:13" ht="15" customHeight="1" x14ac:dyDescent="0.25">
      <c r="B22" s="200">
        <v>8</v>
      </c>
      <c r="C22" s="201" t="s">
        <v>224</v>
      </c>
      <c r="D22" s="202" t="s">
        <v>34</v>
      </c>
      <c r="E22" s="203" t="s">
        <v>225</v>
      </c>
      <c r="F22" s="176" t="s">
        <v>229</v>
      </c>
      <c r="G22" s="204" t="s">
        <v>5597</v>
      </c>
      <c r="H22" s="175" t="s">
        <v>215</v>
      </c>
      <c r="I22" s="204"/>
      <c r="J22" s="205"/>
      <c r="K22" s="204"/>
      <c r="L22" s="205"/>
      <c r="M22" s="200" t="s">
        <v>5602</v>
      </c>
    </row>
    <row r="23" spans="2:13" ht="15" customHeight="1" x14ac:dyDescent="0.25">
      <c r="B23" s="194">
        <v>9</v>
      </c>
      <c r="C23" s="195" t="s">
        <v>232</v>
      </c>
      <c r="D23" s="196" t="s">
        <v>34</v>
      </c>
      <c r="E23" s="197" t="s">
        <v>233</v>
      </c>
      <c r="F23" s="174" t="s">
        <v>93</v>
      </c>
      <c r="G23" s="198" t="s">
        <v>5597</v>
      </c>
      <c r="H23" s="175" t="s">
        <v>215</v>
      </c>
      <c r="I23" s="198" t="s">
        <v>5597</v>
      </c>
      <c r="J23" s="173" t="s">
        <v>66</v>
      </c>
      <c r="K23" s="198"/>
      <c r="L23" s="199"/>
      <c r="M23" s="194" t="s">
        <v>5603</v>
      </c>
    </row>
    <row r="24" spans="2:13" ht="15" customHeight="1" x14ac:dyDescent="0.25">
      <c r="B24" s="200">
        <v>10</v>
      </c>
      <c r="C24" s="201" t="s">
        <v>270</v>
      </c>
      <c r="D24" s="202" t="s">
        <v>34</v>
      </c>
      <c r="E24" s="203" t="s">
        <v>171</v>
      </c>
      <c r="F24" s="174" t="s">
        <v>93</v>
      </c>
      <c r="G24" s="204" t="s">
        <v>5597</v>
      </c>
      <c r="H24" s="173" t="s">
        <v>66</v>
      </c>
      <c r="I24" s="204"/>
      <c r="J24" s="205"/>
      <c r="K24" s="204"/>
      <c r="L24" s="205"/>
      <c r="M24" s="200" t="s">
        <v>5602</v>
      </c>
    </row>
    <row r="25" spans="2:13" ht="15" customHeight="1" x14ac:dyDescent="0.25">
      <c r="B25" s="194">
        <v>11</v>
      </c>
      <c r="C25" s="195" t="s">
        <v>315</v>
      </c>
      <c r="D25" s="196" t="s">
        <v>34</v>
      </c>
      <c r="E25" s="197" t="s">
        <v>316</v>
      </c>
      <c r="F25" s="174" t="s">
        <v>93</v>
      </c>
      <c r="G25" s="198" t="s">
        <v>5597</v>
      </c>
      <c r="H25" s="175" t="s">
        <v>215</v>
      </c>
      <c r="I25" s="198" t="s">
        <v>5597</v>
      </c>
      <c r="J25" s="173" t="s">
        <v>66</v>
      </c>
      <c r="K25" s="198"/>
      <c r="L25" s="199"/>
      <c r="M25" s="194" t="s">
        <v>5603</v>
      </c>
    </row>
    <row r="26" spans="2:13" ht="15" customHeight="1" x14ac:dyDescent="0.25">
      <c r="B26" s="200">
        <v>12</v>
      </c>
      <c r="C26" s="201" t="s">
        <v>322</v>
      </c>
      <c r="D26" s="202" t="s">
        <v>34</v>
      </c>
      <c r="E26" s="203" t="s">
        <v>323</v>
      </c>
      <c r="F26" s="177" t="s">
        <v>175</v>
      </c>
      <c r="G26" s="204" t="s">
        <v>5597</v>
      </c>
      <c r="H26" s="173" t="s">
        <v>66</v>
      </c>
      <c r="I26" s="204"/>
      <c r="J26" s="205"/>
      <c r="K26" s="204"/>
      <c r="L26" s="205"/>
      <c r="M26" s="200" t="s">
        <v>5602</v>
      </c>
    </row>
    <row r="27" spans="2:13" ht="15" customHeight="1" x14ac:dyDescent="0.25">
      <c r="B27" s="194">
        <v>13</v>
      </c>
      <c r="C27" s="195" t="s">
        <v>339</v>
      </c>
      <c r="D27" s="196" t="s">
        <v>34</v>
      </c>
      <c r="E27" s="197" t="s">
        <v>335</v>
      </c>
      <c r="F27" s="174" t="s">
        <v>93</v>
      </c>
      <c r="G27" s="198" t="s">
        <v>5597</v>
      </c>
      <c r="H27" s="175" t="s">
        <v>215</v>
      </c>
      <c r="I27" s="198" t="s">
        <v>5597</v>
      </c>
      <c r="J27" s="173" t="s">
        <v>66</v>
      </c>
      <c r="K27" s="198"/>
      <c r="L27" s="199"/>
      <c r="M27" s="194" t="s">
        <v>5603</v>
      </c>
    </row>
    <row r="28" spans="2:13" ht="15" customHeight="1" x14ac:dyDescent="0.25">
      <c r="B28" s="200">
        <v>14</v>
      </c>
      <c r="C28" s="201" t="s">
        <v>362</v>
      </c>
      <c r="D28" s="202" t="s">
        <v>34</v>
      </c>
      <c r="E28" s="203" t="s">
        <v>363</v>
      </c>
      <c r="F28" s="174" t="s">
        <v>93</v>
      </c>
      <c r="G28" s="204" t="s">
        <v>5597</v>
      </c>
      <c r="H28" s="173" t="s">
        <v>66</v>
      </c>
      <c r="I28" s="204"/>
      <c r="J28" s="205"/>
      <c r="K28" s="204"/>
      <c r="L28" s="205"/>
      <c r="M28" s="200" t="s">
        <v>5602</v>
      </c>
    </row>
    <row r="29" spans="2:13" ht="15" customHeight="1" x14ac:dyDescent="0.25">
      <c r="B29" s="194">
        <v>15</v>
      </c>
      <c r="C29" s="195" t="s">
        <v>367</v>
      </c>
      <c r="D29" s="196" t="s">
        <v>34</v>
      </c>
      <c r="E29" s="197" t="s">
        <v>368</v>
      </c>
      <c r="F29" s="174" t="s">
        <v>93</v>
      </c>
      <c r="G29" s="198" t="s">
        <v>5597</v>
      </c>
      <c r="H29" s="175" t="s">
        <v>215</v>
      </c>
      <c r="I29" s="198" t="s">
        <v>5597</v>
      </c>
      <c r="J29" s="173" t="s">
        <v>66</v>
      </c>
      <c r="K29" s="198"/>
      <c r="L29" s="199"/>
      <c r="M29" s="194" t="s">
        <v>5603</v>
      </c>
    </row>
    <row r="30" spans="2:13" ht="15" customHeight="1" x14ac:dyDescent="0.25">
      <c r="B30" s="200">
        <v>16</v>
      </c>
      <c r="C30" s="201" t="s">
        <v>379</v>
      </c>
      <c r="D30" s="202" t="s">
        <v>34</v>
      </c>
      <c r="E30" s="203" t="s">
        <v>380</v>
      </c>
      <c r="F30" s="174" t="s">
        <v>93</v>
      </c>
      <c r="G30" s="204" t="s">
        <v>5597</v>
      </c>
      <c r="H30" s="173" t="s">
        <v>66</v>
      </c>
      <c r="I30" s="204"/>
      <c r="J30" s="205"/>
      <c r="K30" s="204"/>
      <c r="L30" s="205"/>
      <c r="M30" s="200" t="s">
        <v>5602</v>
      </c>
    </row>
    <row r="31" spans="2:13" ht="15" customHeight="1" x14ac:dyDescent="0.25">
      <c r="B31" s="194">
        <v>17</v>
      </c>
      <c r="C31" s="195" t="s">
        <v>385</v>
      </c>
      <c r="D31" s="196" t="s">
        <v>35</v>
      </c>
      <c r="E31" s="197" t="s">
        <v>386</v>
      </c>
      <c r="F31" s="174" t="s">
        <v>93</v>
      </c>
      <c r="G31" s="198" t="s">
        <v>5597</v>
      </c>
      <c r="H31" s="173" t="s">
        <v>66</v>
      </c>
      <c r="I31" s="198"/>
      <c r="J31" s="199"/>
      <c r="K31" s="198"/>
      <c r="L31" s="199"/>
      <c r="M31" s="194" t="s">
        <v>5602</v>
      </c>
    </row>
    <row r="32" spans="2:13" ht="15" customHeight="1" x14ac:dyDescent="0.25">
      <c r="B32" s="200">
        <v>18</v>
      </c>
      <c r="C32" s="201" t="s">
        <v>411</v>
      </c>
      <c r="D32" s="202" t="s">
        <v>34</v>
      </c>
      <c r="E32" s="203" t="s">
        <v>412</v>
      </c>
      <c r="F32" s="174" t="s">
        <v>93</v>
      </c>
      <c r="G32" s="204" t="s">
        <v>5597</v>
      </c>
      <c r="H32" s="173" t="s">
        <v>66</v>
      </c>
      <c r="I32" s="204"/>
      <c r="J32" s="205"/>
      <c r="K32" s="204"/>
      <c r="L32" s="205"/>
      <c r="M32" s="200" t="s">
        <v>5602</v>
      </c>
    </row>
    <row r="33" spans="2:13" ht="15" customHeight="1" x14ac:dyDescent="0.25">
      <c r="B33" s="194">
        <v>19</v>
      </c>
      <c r="C33" s="195" t="s">
        <v>417</v>
      </c>
      <c r="D33" s="196" t="s">
        <v>34</v>
      </c>
      <c r="E33" s="197" t="s">
        <v>418</v>
      </c>
      <c r="F33" s="174" t="s">
        <v>93</v>
      </c>
      <c r="G33" s="198" t="s">
        <v>5597</v>
      </c>
      <c r="H33" s="173" t="s">
        <v>66</v>
      </c>
      <c r="I33" s="198"/>
      <c r="J33" s="199"/>
      <c r="K33" s="198"/>
      <c r="L33" s="199"/>
      <c r="M33" s="194" t="s">
        <v>5602</v>
      </c>
    </row>
    <row r="34" spans="2:13" ht="15" customHeight="1" x14ac:dyDescent="0.25">
      <c r="B34" s="200">
        <v>20</v>
      </c>
      <c r="C34" s="201" t="s">
        <v>423</v>
      </c>
      <c r="D34" s="202" t="s">
        <v>37</v>
      </c>
      <c r="E34" s="203" t="s">
        <v>424</v>
      </c>
      <c r="F34" s="174" t="s">
        <v>93</v>
      </c>
      <c r="G34" s="204" t="s">
        <v>5597</v>
      </c>
      <c r="H34" s="179" t="s">
        <v>428</v>
      </c>
      <c r="I34" s="204"/>
      <c r="J34" s="205"/>
      <c r="K34" s="204"/>
      <c r="L34" s="205"/>
      <c r="M34" s="200" t="s">
        <v>5602</v>
      </c>
    </row>
    <row r="35" spans="2:13" ht="15" customHeight="1" x14ac:dyDescent="0.25">
      <c r="B35" s="194">
        <v>21</v>
      </c>
      <c r="C35" s="195" t="s">
        <v>430</v>
      </c>
      <c r="D35" s="196" t="s">
        <v>34</v>
      </c>
      <c r="E35" s="197" t="s">
        <v>431</v>
      </c>
      <c r="F35" s="174" t="s">
        <v>93</v>
      </c>
      <c r="G35" s="198" t="s">
        <v>5597</v>
      </c>
      <c r="H35" s="179" t="s">
        <v>428</v>
      </c>
      <c r="I35" s="198"/>
      <c r="J35" s="199"/>
      <c r="K35" s="198"/>
      <c r="L35" s="199"/>
      <c r="M35" s="194" t="s">
        <v>5602</v>
      </c>
    </row>
    <row r="36" spans="2:13" ht="15" customHeight="1" x14ac:dyDescent="0.25">
      <c r="B36" s="200">
        <v>22</v>
      </c>
      <c r="C36" s="201" t="s">
        <v>436</v>
      </c>
      <c r="D36" s="202" t="s">
        <v>36</v>
      </c>
      <c r="E36" s="203" t="s">
        <v>407</v>
      </c>
      <c r="F36" s="174" t="s">
        <v>93</v>
      </c>
      <c r="G36" s="204" t="s">
        <v>5597</v>
      </c>
      <c r="H36" s="173" t="s">
        <v>66</v>
      </c>
      <c r="I36" s="204"/>
      <c r="J36" s="205"/>
      <c r="K36" s="204"/>
      <c r="L36" s="205"/>
      <c r="M36" s="200" t="s">
        <v>5602</v>
      </c>
    </row>
    <row r="37" spans="2:13" ht="15" customHeight="1" x14ac:dyDescent="0.25">
      <c r="B37" s="194">
        <v>23</v>
      </c>
      <c r="C37" s="195" t="s">
        <v>440</v>
      </c>
      <c r="D37" s="196" t="s">
        <v>34</v>
      </c>
      <c r="E37" s="197" t="s">
        <v>441</v>
      </c>
      <c r="F37" s="174" t="s">
        <v>93</v>
      </c>
      <c r="G37" s="198" t="s">
        <v>5597</v>
      </c>
      <c r="H37" s="175" t="s">
        <v>215</v>
      </c>
      <c r="I37" s="198"/>
      <c r="J37" s="199"/>
      <c r="K37" s="198"/>
      <c r="L37" s="199"/>
      <c r="M37" s="194" t="s">
        <v>5602</v>
      </c>
    </row>
    <row r="38" spans="2:13" ht="15" customHeight="1" x14ac:dyDescent="0.25">
      <c r="B38" s="200">
        <v>24</v>
      </c>
      <c r="C38" s="201" t="s">
        <v>456</v>
      </c>
      <c r="D38" s="202" t="s">
        <v>35</v>
      </c>
      <c r="E38" s="203" t="s">
        <v>457</v>
      </c>
      <c r="F38" s="174" t="s">
        <v>93</v>
      </c>
      <c r="G38" s="204" t="s">
        <v>5597</v>
      </c>
      <c r="H38" s="174" t="s">
        <v>93</v>
      </c>
      <c r="I38" s="204"/>
      <c r="J38" s="205"/>
      <c r="K38" s="204"/>
      <c r="L38" s="205"/>
      <c r="M38" s="200" t="s">
        <v>5602</v>
      </c>
    </row>
    <row r="39" spans="2:13" ht="15" customHeight="1" x14ac:dyDescent="0.25">
      <c r="B39" s="194">
        <v>25</v>
      </c>
      <c r="C39" s="195" t="s">
        <v>462</v>
      </c>
      <c r="D39" s="196" t="s">
        <v>35</v>
      </c>
      <c r="E39" s="197" t="s">
        <v>457</v>
      </c>
      <c r="F39" s="174" t="s">
        <v>93</v>
      </c>
      <c r="G39" s="198" t="s">
        <v>5597</v>
      </c>
      <c r="H39" s="179" t="s">
        <v>428</v>
      </c>
      <c r="I39" s="198"/>
      <c r="J39" s="199"/>
      <c r="K39" s="198"/>
      <c r="L39" s="199"/>
      <c r="M39" s="194" t="s">
        <v>5602</v>
      </c>
    </row>
    <row r="40" spans="2:13" ht="15" customHeight="1" x14ac:dyDescent="0.25">
      <c r="B40" s="200">
        <v>26</v>
      </c>
      <c r="C40" s="201" t="s">
        <v>471</v>
      </c>
      <c r="D40" s="202" t="s">
        <v>34</v>
      </c>
      <c r="E40" s="203" t="s">
        <v>472</v>
      </c>
      <c r="F40" s="174" t="s">
        <v>93</v>
      </c>
      <c r="G40" s="204" t="s">
        <v>5597</v>
      </c>
      <c r="H40" s="173" t="s">
        <v>66</v>
      </c>
      <c r="I40" s="204"/>
      <c r="J40" s="205"/>
      <c r="K40" s="204"/>
      <c r="L40" s="205"/>
      <c r="M40" s="200" t="s">
        <v>5602</v>
      </c>
    </row>
    <row r="41" spans="2:13" ht="15" customHeight="1" x14ac:dyDescent="0.25">
      <c r="B41" s="194">
        <v>27</v>
      </c>
      <c r="C41" s="195" t="s">
        <v>500</v>
      </c>
      <c r="D41" s="196" t="s">
        <v>34</v>
      </c>
      <c r="E41" s="197" t="s">
        <v>424</v>
      </c>
      <c r="F41" s="174" t="s">
        <v>93</v>
      </c>
      <c r="G41" s="198" t="s">
        <v>5597</v>
      </c>
      <c r="H41" s="175" t="s">
        <v>215</v>
      </c>
      <c r="I41" s="198"/>
      <c r="J41" s="199"/>
      <c r="K41" s="198"/>
      <c r="L41" s="199"/>
      <c r="M41" s="194" t="s">
        <v>5602</v>
      </c>
    </row>
    <row r="42" spans="2:13" ht="15" customHeight="1" x14ac:dyDescent="0.25">
      <c r="B42" s="200">
        <v>28</v>
      </c>
      <c r="C42" s="201" t="s">
        <v>521</v>
      </c>
      <c r="D42" s="202" t="s">
        <v>34</v>
      </c>
      <c r="E42" s="203" t="s">
        <v>522</v>
      </c>
      <c r="F42" s="174" t="s">
        <v>93</v>
      </c>
      <c r="G42" s="204" t="s">
        <v>5597</v>
      </c>
      <c r="H42" s="173" t="s">
        <v>66</v>
      </c>
      <c r="I42" s="204"/>
      <c r="J42" s="205"/>
      <c r="K42" s="204"/>
      <c r="L42" s="205"/>
      <c r="M42" s="200" t="s">
        <v>5602</v>
      </c>
    </row>
    <row r="43" spans="2:13" ht="15" customHeight="1" x14ac:dyDescent="0.25">
      <c r="B43" s="194">
        <v>29</v>
      </c>
      <c r="C43" s="195" t="s">
        <v>530</v>
      </c>
      <c r="D43" s="196" t="s">
        <v>37</v>
      </c>
      <c r="E43" s="197" t="s">
        <v>531</v>
      </c>
      <c r="F43" s="174" t="s">
        <v>93</v>
      </c>
      <c r="G43" s="198" t="s">
        <v>5597</v>
      </c>
      <c r="H43" s="173" t="s">
        <v>66</v>
      </c>
      <c r="I43" s="198"/>
      <c r="J43" s="199"/>
      <c r="K43" s="198"/>
      <c r="L43" s="199"/>
      <c r="M43" s="194" t="s">
        <v>5602</v>
      </c>
    </row>
    <row r="44" spans="2:13" ht="15" customHeight="1" x14ac:dyDescent="0.25">
      <c r="B44" s="200">
        <v>30</v>
      </c>
      <c r="C44" s="201" t="s">
        <v>536</v>
      </c>
      <c r="D44" s="202" t="s">
        <v>35</v>
      </c>
      <c r="E44" s="203" t="s">
        <v>537</v>
      </c>
      <c r="F44" s="174" t="s">
        <v>93</v>
      </c>
      <c r="G44" s="204" t="s">
        <v>5597</v>
      </c>
      <c r="H44" s="173" t="s">
        <v>66</v>
      </c>
      <c r="I44" s="204"/>
      <c r="J44" s="205"/>
      <c r="K44" s="204"/>
      <c r="L44" s="205"/>
      <c r="M44" s="200" t="s">
        <v>5602</v>
      </c>
    </row>
    <row r="45" spans="2:13" ht="15" customHeight="1" x14ac:dyDescent="0.25">
      <c r="B45" s="194">
        <v>31</v>
      </c>
      <c r="C45" s="195" t="s">
        <v>546</v>
      </c>
      <c r="D45" s="196" t="s">
        <v>34</v>
      </c>
      <c r="E45" s="197" t="s">
        <v>547</v>
      </c>
      <c r="F45" s="174" t="s">
        <v>93</v>
      </c>
      <c r="G45" s="198" t="s">
        <v>5597</v>
      </c>
      <c r="H45" s="173" t="s">
        <v>66</v>
      </c>
      <c r="I45" s="198"/>
      <c r="J45" s="199"/>
      <c r="K45" s="198"/>
      <c r="L45" s="199"/>
      <c r="M45" s="194" t="s">
        <v>5602</v>
      </c>
    </row>
    <row r="46" spans="2:13" ht="15" customHeight="1" x14ac:dyDescent="0.25">
      <c r="B46" s="200">
        <v>32</v>
      </c>
      <c r="C46" s="201" t="s">
        <v>551</v>
      </c>
      <c r="D46" s="202" t="s">
        <v>34</v>
      </c>
      <c r="E46" s="203" t="s">
        <v>552</v>
      </c>
      <c r="F46" s="175" t="s">
        <v>215</v>
      </c>
      <c r="G46" s="204" t="s">
        <v>5597</v>
      </c>
      <c r="H46" s="173" t="s">
        <v>66</v>
      </c>
      <c r="I46" s="204"/>
      <c r="J46" s="205"/>
      <c r="K46" s="204"/>
      <c r="L46" s="205"/>
      <c r="M46" s="200" t="s">
        <v>5602</v>
      </c>
    </row>
    <row r="47" spans="2:13" ht="15" customHeight="1" x14ac:dyDescent="0.25">
      <c r="B47" s="194">
        <v>33</v>
      </c>
      <c r="C47" s="195" t="s">
        <v>556</v>
      </c>
      <c r="D47" s="196" t="s">
        <v>34</v>
      </c>
      <c r="E47" s="197" t="s">
        <v>106</v>
      </c>
      <c r="F47" s="175" t="s">
        <v>215</v>
      </c>
      <c r="G47" s="198" t="s">
        <v>5597</v>
      </c>
      <c r="H47" s="174" t="s">
        <v>93</v>
      </c>
      <c r="I47" s="198"/>
      <c r="J47" s="199"/>
      <c r="K47" s="198"/>
      <c r="L47" s="199"/>
      <c r="M47" s="194" t="s">
        <v>5602</v>
      </c>
    </row>
    <row r="48" spans="2:13" ht="15" customHeight="1" x14ac:dyDescent="0.25">
      <c r="B48" s="200">
        <v>34</v>
      </c>
      <c r="C48" s="201" t="s">
        <v>565</v>
      </c>
      <c r="D48" s="202" t="s">
        <v>35</v>
      </c>
      <c r="E48" s="203" t="s">
        <v>566</v>
      </c>
      <c r="F48" s="174" t="s">
        <v>93</v>
      </c>
      <c r="G48" s="204" t="s">
        <v>5597</v>
      </c>
      <c r="H48" s="173" t="s">
        <v>66</v>
      </c>
      <c r="I48" s="204"/>
      <c r="J48" s="205"/>
      <c r="K48" s="204"/>
      <c r="L48" s="205"/>
      <c r="M48" s="200" t="s">
        <v>5602</v>
      </c>
    </row>
    <row r="49" spans="2:13" ht="15" customHeight="1" x14ac:dyDescent="0.25">
      <c r="B49" s="194">
        <v>35</v>
      </c>
      <c r="C49" s="195" t="s">
        <v>583</v>
      </c>
      <c r="D49" s="196" t="s">
        <v>34</v>
      </c>
      <c r="E49" s="197" t="s">
        <v>407</v>
      </c>
      <c r="F49" s="174" t="s">
        <v>93</v>
      </c>
      <c r="G49" s="198" t="s">
        <v>5597</v>
      </c>
      <c r="H49" s="173" t="s">
        <v>66</v>
      </c>
      <c r="I49" s="198"/>
      <c r="J49" s="199"/>
      <c r="K49" s="198"/>
      <c r="L49" s="199"/>
      <c r="M49" s="194" t="s">
        <v>5602</v>
      </c>
    </row>
    <row r="50" spans="2:13" ht="15" customHeight="1" x14ac:dyDescent="0.25">
      <c r="B50" s="200">
        <v>36</v>
      </c>
      <c r="C50" s="201" t="s">
        <v>600</v>
      </c>
      <c r="D50" s="202" t="s">
        <v>35</v>
      </c>
      <c r="E50" s="203" t="s">
        <v>601</v>
      </c>
      <c r="F50" s="174" t="s">
        <v>93</v>
      </c>
      <c r="G50" s="204" t="s">
        <v>5597</v>
      </c>
      <c r="H50" s="173" t="s">
        <v>66</v>
      </c>
      <c r="I50" s="204"/>
      <c r="J50" s="205"/>
      <c r="K50" s="204"/>
      <c r="L50" s="205"/>
      <c r="M50" s="200" t="s">
        <v>5602</v>
      </c>
    </row>
    <row r="51" spans="2:13" ht="15" customHeight="1" x14ac:dyDescent="0.25">
      <c r="B51" s="194">
        <v>37</v>
      </c>
      <c r="C51" s="195" t="s">
        <v>660</v>
      </c>
      <c r="D51" s="196" t="s">
        <v>34</v>
      </c>
      <c r="E51" s="197" t="s">
        <v>661</v>
      </c>
      <c r="F51" s="174" t="s">
        <v>93</v>
      </c>
      <c r="G51" s="198" t="s">
        <v>5597</v>
      </c>
      <c r="H51" s="173" t="s">
        <v>66</v>
      </c>
      <c r="I51" s="198"/>
      <c r="J51" s="199"/>
      <c r="K51" s="198"/>
      <c r="L51" s="199"/>
      <c r="M51" s="194" t="s">
        <v>5602</v>
      </c>
    </row>
    <row r="52" spans="2:13" ht="15" customHeight="1" x14ac:dyDescent="0.25">
      <c r="B52" s="200">
        <v>38</v>
      </c>
      <c r="C52" s="201" t="s">
        <v>689</v>
      </c>
      <c r="D52" s="202" t="s">
        <v>37</v>
      </c>
      <c r="E52" s="203" t="s">
        <v>110</v>
      </c>
      <c r="F52" s="174" t="s">
        <v>93</v>
      </c>
      <c r="G52" s="204" t="s">
        <v>5597</v>
      </c>
      <c r="H52" s="173" t="s">
        <v>66</v>
      </c>
      <c r="I52" s="204"/>
      <c r="J52" s="205"/>
      <c r="K52" s="204"/>
      <c r="L52" s="205"/>
      <c r="M52" s="200" t="s">
        <v>5602</v>
      </c>
    </row>
    <row r="53" spans="2:13" ht="15" customHeight="1" x14ac:dyDescent="0.25">
      <c r="B53" s="194">
        <v>39</v>
      </c>
      <c r="C53" s="195" t="s">
        <v>713</v>
      </c>
      <c r="D53" s="196" t="s">
        <v>34</v>
      </c>
      <c r="E53" s="197" t="s">
        <v>714</v>
      </c>
      <c r="F53" s="174" t="s">
        <v>93</v>
      </c>
      <c r="G53" s="198" t="s">
        <v>5597</v>
      </c>
      <c r="H53" s="173" t="s">
        <v>66</v>
      </c>
      <c r="I53" s="198"/>
      <c r="J53" s="199"/>
      <c r="K53" s="198"/>
      <c r="L53" s="199"/>
      <c r="M53" s="194" t="s">
        <v>5602</v>
      </c>
    </row>
    <row r="54" spans="2:13" ht="15" customHeight="1" x14ac:dyDescent="0.25">
      <c r="B54" s="200">
        <v>40</v>
      </c>
      <c r="C54" s="201" t="s">
        <v>724</v>
      </c>
      <c r="D54" s="202" t="s">
        <v>34</v>
      </c>
      <c r="E54" s="203" t="s">
        <v>725</v>
      </c>
      <c r="F54" s="174" t="s">
        <v>93</v>
      </c>
      <c r="G54" s="204" t="s">
        <v>5597</v>
      </c>
      <c r="H54" s="173" t="s">
        <v>66</v>
      </c>
      <c r="I54" s="204"/>
      <c r="J54" s="205"/>
      <c r="K54" s="204"/>
      <c r="L54" s="205"/>
      <c r="M54" s="200" t="s">
        <v>5602</v>
      </c>
    </row>
    <row r="55" spans="2:13" ht="15" customHeight="1" x14ac:dyDescent="0.25">
      <c r="B55" s="194">
        <v>41</v>
      </c>
      <c r="C55" s="195" t="s">
        <v>730</v>
      </c>
      <c r="D55" s="196" t="s">
        <v>34</v>
      </c>
      <c r="E55" s="197" t="s">
        <v>110</v>
      </c>
      <c r="F55" s="174" t="s">
        <v>93</v>
      </c>
      <c r="G55" s="198" t="s">
        <v>5597</v>
      </c>
      <c r="H55" s="173" t="s">
        <v>66</v>
      </c>
      <c r="I55" s="198"/>
      <c r="J55" s="199"/>
      <c r="K55" s="198"/>
      <c r="L55" s="199"/>
      <c r="M55" s="194" t="s">
        <v>5602</v>
      </c>
    </row>
    <row r="56" spans="2:13" ht="15" customHeight="1" x14ac:dyDescent="0.25">
      <c r="B56" s="200">
        <v>42</v>
      </c>
      <c r="C56" s="201" t="s">
        <v>734</v>
      </c>
      <c r="D56" s="202" t="s">
        <v>34</v>
      </c>
      <c r="E56" s="203" t="s">
        <v>467</v>
      </c>
      <c r="F56" s="174" t="s">
        <v>93</v>
      </c>
      <c r="G56" s="204" t="s">
        <v>5597</v>
      </c>
      <c r="H56" s="173" t="s">
        <v>66</v>
      </c>
      <c r="I56" s="204"/>
      <c r="J56" s="205"/>
      <c r="K56" s="204"/>
      <c r="L56" s="205"/>
      <c r="M56" s="200" t="s">
        <v>5602</v>
      </c>
    </row>
    <row r="57" spans="2:13" ht="15" customHeight="1" x14ac:dyDescent="0.25">
      <c r="B57" s="194">
        <v>43</v>
      </c>
      <c r="C57" s="195" t="s">
        <v>751</v>
      </c>
      <c r="D57" s="196" t="s">
        <v>37</v>
      </c>
      <c r="E57" s="197" t="s">
        <v>752</v>
      </c>
      <c r="F57" s="174" t="s">
        <v>93</v>
      </c>
      <c r="G57" s="198" t="s">
        <v>5597</v>
      </c>
      <c r="H57" s="173" t="s">
        <v>66</v>
      </c>
      <c r="I57" s="198"/>
      <c r="J57" s="199"/>
      <c r="K57" s="198"/>
      <c r="L57" s="199"/>
      <c r="M57" s="194" t="s">
        <v>5602</v>
      </c>
    </row>
    <row r="58" spans="2:13" ht="15" customHeight="1" x14ac:dyDescent="0.25">
      <c r="B58" s="200">
        <v>44</v>
      </c>
      <c r="C58" s="201" t="s">
        <v>761</v>
      </c>
      <c r="D58" s="202" t="s">
        <v>35</v>
      </c>
      <c r="E58" s="203" t="s">
        <v>762</v>
      </c>
      <c r="F58" s="174" t="s">
        <v>93</v>
      </c>
      <c r="G58" s="204" t="s">
        <v>5597</v>
      </c>
      <c r="H58" s="173" t="s">
        <v>66</v>
      </c>
      <c r="I58" s="204"/>
      <c r="J58" s="205"/>
      <c r="K58" s="204"/>
      <c r="L58" s="205"/>
      <c r="M58" s="200" t="s">
        <v>5602</v>
      </c>
    </row>
    <row r="59" spans="2:13" ht="15" customHeight="1" x14ac:dyDescent="0.25">
      <c r="B59" s="194">
        <v>45</v>
      </c>
      <c r="C59" s="195" t="s">
        <v>784</v>
      </c>
      <c r="D59" s="196" t="s">
        <v>34</v>
      </c>
      <c r="E59" s="197" t="s">
        <v>785</v>
      </c>
      <c r="F59" s="174" t="s">
        <v>93</v>
      </c>
      <c r="G59" s="198" t="s">
        <v>5597</v>
      </c>
      <c r="H59" s="173" t="s">
        <v>66</v>
      </c>
      <c r="I59" s="198"/>
      <c r="J59" s="199"/>
      <c r="K59" s="198"/>
      <c r="L59" s="199"/>
      <c r="M59" s="194" t="s">
        <v>5602</v>
      </c>
    </row>
    <row r="60" spans="2:13" ht="15" customHeight="1" x14ac:dyDescent="0.25">
      <c r="B60" s="200">
        <v>46</v>
      </c>
      <c r="C60" s="201" t="s">
        <v>793</v>
      </c>
      <c r="D60" s="202" t="s">
        <v>34</v>
      </c>
      <c r="E60" s="203" t="s">
        <v>517</v>
      </c>
      <c r="F60" s="174" t="s">
        <v>93</v>
      </c>
      <c r="G60" s="204" t="s">
        <v>5597</v>
      </c>
      <c r="H60" s="173" t="s">
        <v>66</v>
      </c>
      <c r="I60" s="204"/>
      <c r="J60" s="205"/>
      <c r="K60" s="204"/>
      <c r="L60" s="205"/>
      <c r="M60" s="200" t="s">
        <v>5602</v>
      </c>
    </row>
    <row r="61" spans="2:13" ht="15" customHeight="1" x14ac:dyDescent="0.25">
      <c r="B61" s="194">
        <v>47</v>
      </c>
      <c r="C61" s="195" t="s">
        <v>832</v>
      </c>
      <c r="D61" s="196" t="s">
        <v>34</v>
      </c>
      <c r="E61" s="197" t="s">
        <v>412</v>
      </c>
      <c r="F61" s="174" t="s">
        <v>93</v>
      </c>
      <c r="G61" s="198" t="s">
        <v>5597</v>
      </c>
      <c r="H61" s="173" t="s">
        <v>66</v>
      </c>
      <c r="I61" s="198"/>
      <c r="J61" s="199"/>
      <c r="K61" s="198"/>
      <c r="L61" s="199"/>
      <c r="M61" s="194" t="s">
        <v>5602</v>
      </c>
    </row>
    <row r="62" spans="2:13" ht="15" customHeight="1" x14ac:dyDescent="0.25">
      <c r="B62" s="200">
        <v>48</v>
      </c>
      <c r="C62" s="201" t="s">
        <v>871</v>
      </c>
      <c r="D62" s="202" t="s">
        <v>37</v>
      </c>
      <c r="E62" s="203" t="s">
        <v>106</v>
      </c>
      <c r="F62" s="175" t="s">
        <v>215</v>
      </c>
      <c r="G62" s="204" t="s">
        <v>5597</v>
      </c>
      <c r="H62" s="174" t="s">
        <v>93</v>
      </c>
      <c r="I62" s="204"/>
      <c r="J62" s="205"/>
      <c r="K62" s="204"/>
      <c r="L62" s="205"/>
      <c r="M62" s="200" t="s">
        <v>5602</v>
      </c>
    </row>
    <row r="63" spans="2:13" ht="15" customHeight="1" x14ac:dyDescent="0.25">
      <c r="B63" s="194">
        <v>49</v>
      </c>
      <c r="C63" s="195" t="s">
        <v>875</v>
      </c>
      <c r="D63" s="196" t="s">
        <v>34</v>
      </c>
      <c r="E63" s="197" t="s">
        <v>876</v>
      </c>
      <c r="F63" s="174" t="s">
        <v>93</v>
      </c>
      <c r="G63" s="198" t="s">
        <v>5597</v>
      </c>
      <c r="H63" s="173" t="s">
        <v>66</v>
      </c>
      <c r="I63" s="198"/>
      <c r="J63" s="199"/>
      <c r="K63" s="198"/>
      <c r="L63" s="199"/>
      <c r="M63" s="194" t="s">
        <v>5602</v>
      </c>
    </row>
    <row r="64" spans="2:13" ht="15" customHeight="1" x14ac:dyDescent="0.25">
      <c r="B64" s="200">
        <v>50</v>
      </c>
      <c r="C64" s="201" t="s">
        <v>890</v>
      </c>
      <c r="D64" s="202" t="s">
        <v>34</v>
      </c>
      <c r="E64" s="203" t="s">
        <v>310</v>
      </c>
      <c r="F64" s="174" t="s">
        <v>93</v>
      </c>
      <c r="G64" s="204" t="s">
        <v>5597</v>
      </c>
      <c r="H64" s="173" t="s">
        <v>66</v>
      </c>
      <c r="I64" s="204"/>
      <c r="J64" s="205"/>
      <c r="K64" s="204"/>
      <c r="L64" s="205"/>
      <c r="M64" s="200" t="s">
        <v>5602</v>
      </c>
    </row>
    <row r="65" spans="2:13" ht="15" customHeight="1" x14ac:dyDescent="0.25">
      <c r="B65" s="194">
        <v>51</v>
      </c>
      <c r="C65" s="195" t="s">
        <v>899</v>
      </c>
      <c r="D65" s="196" t="s">
        <v>35</v>
      </c>
      <c r="E65" s="197" t="s">
        <v>900</v>
      </c>
      <c r="F65" s="174" t="s">
        <v>93</v>
      </c>
      <c r="G65" s="198" t="s">
        <v>5597</v>
      </c>
      <c r="H65" s="173" t="s">
        <v>66</v>
      </c>
      <c r="I65" s="198"/>
      <c r="J65" s="199"/>
      <c r="K65" s="198"/>
      <c r="L65" s="199"/>
      <c r="M65" s="194" t="s">
        <v>5602</v>
      </c>
    </row>
    <row r="66" spans="2:13" ht="15" customHeight="1" x14ac:dyDescent="0.25">
      <c r="B66" s="200">
        <v>52</v>
      </c>
      <c r="C66" s="201" t="s">
        <v>904</v>
      </c>
      <c r="D66" s="202" t="s">
        <v>35</v>
      </c>
      <c r="E66" s="203" t="s">
        <v>905</v>
      </c>
      <c r="F66" s="174" t="s">
        <v>93</v>
      </c>
      <c r="G66" s="204" t="s">
        <v>5597</v>
      </c>
      <c r="H66" s="173" t="s">
        <v>66</v>
      </c>
      <c r="I66" s="204"/>
      <c r="J66" s="205"/>
      <c r="K66" s="204"/>
      <c r="L66" s="205"/>
      <c r="M66" s="200" t="s">
        <v>5602</v>
      </c>
    </row>
    <row r="67" spans="2:13" ht="15" customHeight="1" x14ac:dyDescent="0.25">
      <c r="B67" s="194">
        <v>53</v>
      </c>
      <c r="C67" s="195" t="s">
        <v>918</v>
      </c>
      <c r="D67" s="196" t="s">
        <v>34</v>
      </c>
      <c r="E67" s="197" t="s">
        <v>919</v>
      </c>
      <c r="F67" s="174" t="s">
        <v>93</v>
      </c>
      <c r="G67" s="198" t="s">
        <v>5597</v>
      </c>
      <c r="H67" s="173" t="s">
        <v>66</v>
      </c>
      <c r="I67" s="198"/>
      <c r="J67" s="199"/>
      <c r="K67" s="198"/>
      <c r="L67" s="199"/>
      <c r="M67" s="194" t="s">
        <v>5602</v>
      </c>
    </row>
    <row r="68" spans="2:13" ht="15" customHeight="1" x14ac:dyDescent="0.25">
      <c r="B68" s="200">
        <v>54</v>
      </c>
      <c r="C68" s="201" t="s">
        <v>928</v>
      </c>
      <c r="D68" s="202" t="s">
        <v>34</v>
      </c>
      <c r="E68" s="203" t="s">
        <v>5604</v>
      </c>
      <c r="F68" s="174" t="s">
        <v>93</v>
      </c>
      <c r="G68" s="204" t="s">
        <v>5597</v>
      </c>
      <c r="H68" s="173" t="s">
        <v>66</v>
      </c>
      <c r="I68" s="204"/>
      <c r="J68" s="205"/>
      <c r="K68" s="204"/>
      <c r="L68" s="205"/>
      <c r="M68" s="200" t="s">
        <v>5602</v>
      </c>
    </row>
    <row r="69" spans="2:13" ht="15" customHeight="1" x14ac:dyDescent="0.25">
      <c r="B69" s="194">
        <v>55</v>
      </c>
      <c r="C69" s="195" t="s">
        <v>932</v>
      </c>
      <c r="D69" s="196" t="s">
        <v>34</v>
      </c>
      <c r="E69" s="197" t="s">
        <v>5604</v>
      </c>
      <c r="F69" s="174" t="s">
        <v>93</v>
      </c>
      <c r="G69" s="198" t="s">
        <v>5597</v>
      </c>
      <c r="H69" s="173" t="s">
        <v>66</v>
      </c>
      <c r="I69" s="198"/>
      <c r="J69" s="199"/>
      <c r="K69" s="198"/>
      <c r="L69" s="199"/>
      <c r="M69" s="194" t="s">
        <v>5602</v>
      </c>
    </row>
    <row r="70" spans="2:13" ht="15" customHeight="1" x14ac:dyDescent="0.25">
      <c r="B70" s="200">
        <v>56</v>
      </c>
      <c r="C70" s="201" t="s">
        <v>956</v>
      </c>
      <c r="D70" s="202" t="s">
        <v>34</v>
      </c>
      <c r="E70" s="203" t="s">
        <v>310</v>
      </c>
      <c r="F70" s="174" t="s">
        <v>93</v>
      </c>
      <c r="G70" s="204" t="s">
        <v>5597</v>
      </c>
      <c r="H70" s="173" t="s">
        <v>66</v>
      </c>
      <c r="I70" s="204"/>
      <c r="J70" s="205"/>
      <c r="K70" s="204"/>
      <c r="L70" s="205"/>
      <c r="M70" s="200" t="s">
        <v>5602</v>
      </c>
    </row>
    <row r="71" spans="2:13" ht="15" customHeight="1" x14ac:dyDescent="0.25">
      <c r="B71" s="194">
        <v>57</v>
      </c>
      <c r="C71" s="195" t="s">
        <v>960</v>
      </c>
      <c r="D71" s="196" t="s">
        <v>34</v>
      </c>
      <c r="E71" s="197" t="s">
        <v>552</v>
      </c>
      <c r="F71" s="174" t="s">
        <v>93</v>
      </c>
      <c r="G71" s="198" t="s">
        <v>5597</v>
      </c>
      <c r="H71" s="173" t="s">
        <v>66</v>
      </c>
      <c r="I71" s="198"/>
      <c r="J71" s="199"/>
      <c r="K71" s="198"/>
      <c r="L71" s="199"/>
      <c r="M71" s="194" t="s">
        <v>5602</v>
      </c>
    </row>
    <row r="72" spans="2:13" ht="15" customHeight="1" x14ac:dyDescent="0.25">
      <c r="B72" s="200">
        <v>58</v>
      </c>
      <c r="C72" s="201" t="s">
        <v>969</v>
      </c>
      <c r="D72" s="202" t="s">
        <v>36</v>
      </c>
      <c r="E72" s="203" t="s">
        <v>970</v>
      </c>
      <c r="F72" s="174" t="s">
        <v>93</v>
      </c>
      <c r="G72" s="204" t="s">
        <v>5597</v>
      </c>
      <c r="H72" s="173" t="s">
        <v>66</v>
      </c>
      <c r="I72" s="204"/>
      <c r="J72" s="205"/>
      <c r="K72" s="204"/>
      <c r="L72" s="205"/>
      <c r="M72" s="200" t="s">
        <v>5602</v>
      </c>
    </row>
    <row r="73" spans="2:13" ht="15" customHeight="1" x14ac:dyDescent="0.25">
      <c r="B73" s="194">
        <v>59</v>
      </c>
      <c r="C73" s="195" t="s">
        <v>974</v>
      </c>
      <c r="D73" s="196" t="s">
        <v>35</v>
      </c>
      <c r="E73" s="197" t="s">
        <v>975</v>
      </c>
      <c r="F73" s="174" t="s">
        <v>93</v>
      </c>
      <c r="G73" s="198" t="s">
        <v>5597</v>
      </c>
      <c r="H73" s="173" t="s">
        <v>66</v>
      </c>
      <c r="I73" s="198"/>
      <c r="J73" s="199"/>
      <c r="K73" s="198"/>
      <c r="L73" s="199"/>
      <c r="M73" s="194" t="s">
        <v>5602</v>
      </c>
    </row>
    <row r="74" spans="2:13" ht="15" customHeight="1" x14ac:dyDescent="0.25">
      <c r="B74" s="200">
        <v>60</v>
      </c>
      <c r="C74" s="201" t="s">
        <v>992</v>
      </c>
      <c r="D74" s="202" t="s">
        <v>34</v>
      </c>
      <c r="E74" s="203" t="s">
        <v>993</v>
      </c>
      <c r="F74" s="174" t="s">
        <v>93</v>
      </c>
      <c r="G74" s="204" t="s">
        <v>5597</v>
      </c>
      <c r="H74" s="173" t="s">
        <v>66</v>
      </c>
      <c r="I74" s="204"/>
      <c r="J74" s="205"/>
      <c r="K74" s="204"/>
      <c r="L74" s="205"/>
      <c r="M74" s="200" t="s">
        <v>5602</v>
      </c>
    </row>
    <row r="75" spans="2:13" ht="15" customHeight="1" x14ac:dyDescent="0.25">
      <c r="B75" s="194">
        <v>61</v>
      </c>
      <c r="C75" s="195" t="s">
        <v>998</v>
      </c>
      <c r="D75" s="196" t="s">
        <v>35</v>
      </c>
      <c r="E75" s="197" t="s">
        <v>259</v>
      </c>
      <c r="F75" s="174" t="s">
        <v>93</v>
      </c>
      <c r="G75" s="198" t="s">
        <v>5597</v>
      </c>
      <c r="H75" s="173" t="s">
        <v>66</v>
      </c>
      <c r="I75" s="198"/>
      <c r="J75" s="199"/>
      <c r="K75" s="198"/>
      <c r="L75" s="199"/>
      <c r="M75" s="194" t="s">
        <v>5602</v>
      </c>
    </row>
    <row r="76" spans="2:13" ht="15" customHeight="1" x14ac:dyDescent="0.25">
      <c r="B76" s="200">
        <v>62</v>
      </c>
      <c r="C76" s="201" t="s">
        <v>1002</v>
      </c>
      <c r="D76" s="202" t="s">
        <v>36</v>
      </c>
      <c r="E76" s="203" t="s">
        <v>1003</v>
      </c>
      <c r="F76" s="174" t="s">
        <v>93</v>
      </c>
      <c r="G76" s="204" t="s">
        <v>5597</v>
      </c>
      <c r="H76" s="173" t="s">
        <v>66</v>
      </c>
      <c r="I76" s="204"/>
      <c r="J76" s="205"/>
      <c r="K76" s="204"/>
      <c r="L76" s="205"/>
      <c r="M76" s="200" t="s">
        <v>5602</v>
      </c>
    </row>
    <row r="77" spans="2:13" ht="15" customHeight="1" x14ac:dyDescent="0.25">
      <c r="B77" s="194">
        <v>63</v>
      </c>
      <c r="C77" s="195" t="s">
        <v>1012</v>
      </c>
      <c r="D77" s="196" t="s">
        <v>35</v>
      </c>
      <c r="E77" s="197" t="s">
        <v>1013</v>
      </c>
      <c r="F77" s="175" t="s">
        <v>215</v>
      </c>
      <c r="G77" s="198" t="s">
        <v>5597</v>
      </c>
      <c r="H77" s="174" t="s">
        <v>93</v>
      </c>
      <c r="I77" s="198"/>
      <c r="J77" s="199"/>
      <c r="K77" s="198"/>
      <c r="L77" s="199"/>
      <c r="M77" s="194" t="s">
        <v>5602</v>
      </c>
    </row>
    <row r="78" spans="2:13" ht="15" customHeight="1" x14ac:dyDescent="0.25">
      <c r="B78" s="200">
        <v>64</v>
      </c>
      <c r="C78" s="201" t="s">
        <v>1036</v>
      </c>
      <c r="D78" s="202" t="s">
        <v>35</v>
      </c>
      <c r="E78" s="203" t="s">
        <v>1037</v>
      </c>
      <c r="F78" s="174" t="s">
        <v>93</v>
      </c>
      <c r="G78" s="204" t="s">
        <v>5597</v>
      </c>
      <c r="H78" s="173" t="s">
        <v>66</v>
      </c>
      <c r="I78" s="204"/>
      <c r="J78" s="205"/>
      <c r="K78" s="204"/>
      <c r="L78" s="205"/>
      <c r="M78" s="200" t="s">
        <v>5602</v>
      </c>
    </row>
    <row r="79" spans="2:13" ht="15" customHeight="1" x14ac:dyDescent="0.25">
      <c r="B79" s="194">
        <v>65</v>
      </c>
      <c r="C79" s="195" t="s">
        <v>1051</v>
      </c>
      <c r="D79" s="196" t="s">
        <v>34</v>
      </c>
      <c r="E79" s="197" t="s">
        <v>65</v>
      </c>
      <c r="F79" s="174" t="s">
        <v>93</v>
      </c>
      <c r="G79" s="198" t="s">
        <v>5597</v>
      </c>
      <c r="H79" s="173" t="s">
        <v>66</v>
      </c>
      <c r="I79" s="198"/>
      <c r="J79" s="199"/>
      <c r="K79" s="198"/>
      <c r="L79" s="199"/>
      <c r="M79" s="194" t="s">
        <v>5602</v>
      </c>
    </row>
    <row r="80" spans="2:13" ht="15" customHeight="1" x14ac:dyDescent="0.25">
      <c r="B80" s="200">
        <v>66</v>
      </c>
      <c r="C80" s="201" t="s">
        <v>1064</v>
      </c>
      <c r="D80" s="202" t="s">
        <v>34</v>
      </c>
      <c r="E80" s="203" t="s">
        <v>1065</v>
      </c>
      <c r="F80" s="175" t="s">
        <v>215</v>
      </c>
      <c r="G80" s="204" t="s">
        <v>5597</v>
      </c>
      <c r="H80" s="173" t="s">
        <v>66</v>
      </c>
      <c r="I80" s="204"/>
      <c r="J80" s="205"/>
      <c r="K80" s="204"/>
      <c r="L80" s="205"/>
      <c r="M80" s="200" t="s">
        <v>5602</v>
      </c>
    </row>
    <row r="81" spans="2:13" ht="15" customHeight="1" x14ac:dyDescent="0.25">
      <c r="B81" s="194">
        <v>67</v>
      </c>
      <c r="C81" s="195" t="s">
        <v>1095</v>
      </c>
      <c r="D81" s="196" t="s">
        <v>34</v>
      </c>
      <c r="E81" s="197" t="s">
        <v>106</v>
      </c>
      <c r="F81" s="175" t="s">
        <v>215</v>
      </c>
      <c r="G81" s="198" t="s">
        <v>5597</v>
      </c>
      <c r="H81" s="174" t="s">
        <v>93</v>
      </c>
      <c r="I81" s="198"/>
      <c r="J81" s="199"/>
      <c r="K81" s="198"/>
      <c r="L81" s="199"/>
      <c r="M81" s="194" t="s">
        <v>5602</v>
      </c>
    </row>
    <row r="82" spans="2:13" ht="15" customHeight="1" x14ac:dyDescent="0.25">
      <c r="B82" s="200">
        <v>68</v>
      </c>
      <c r="C82" s="201" t="s">
        <v>1119</v>
      </c>
      <c r="D82" s="202" t="s">
        <v>37</v>
      </c>
      <c r="E82" s="203" t="s">
        <v>1120</v>
      </c>
      <c r="F82" s="175" t="s">
        <v>215</v>
      </c>
      <c r="G82" s="204" t="s">
        <v>5597</v>
      </c>
      <c r="H82" s="173" t="s">
        <v>66</v>
      </c>
      <c r="I82" s="204"/>
      <c r="J82" s="205"/>
      <c r="K82" s="204"/>
      <c r="L82" s="205"/>
      <c r="M82" s="200" t="s">
        <v>5602</v>
      </c>
    </row>
    <row r="83" spans="2:13" ht="15" customHeight="1" x14ac:dyDescent="0.25">
      <c r="B83" s="194">
        <v>69</v>
      </c>
      <c r="C83" s="195" t="s">
        <v>1209</v>
      </c>
      <c r="D83" s="196" t="s">
        <v>34</v>
      </c>
      <c r="E83" s="197" t="s">
        <v>106</v>
      </c>
      <c r="F83" s="175" t="s">
        <v>215</v>
      </c>
      <c r="G83" s="198" t="s">
        <v>5597</v>
      </c>
      <c r="H83" s="174" t="s">
        <v>93</v>
      </c>
      <c r="I83" s="198"/>
      <c r="J83" s="199"/>
      <c r="K83" s="198"/>
      <c r="L83" s="199"/>
      <c r="M83" s="194" t="s">
        <v>5602</v>
      </c>
    </row>
  </sheetData>
  <mergeCells count="5">
    <mergeCell ref="B3:J3"/>
    <mergeCell ref="B1:N1"/>
    <mergeCell ref="B13:M13"/>
    <mergeCell ref="B12:M12"/>
    <mergeCell ref="B2:J2"/>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B1:H45"/>
  <sheetViews>
    <sheetView showGridLines="0" showZeros="0" topLeftCell="A8" zoomScaleNormal="100" workbookViewId="0">
      <selection activeCell="C23" sqref="C23"/>
    </sheetView>
  </sheetViews>
  <sheetFormatPr defaultColWidth="8.7109375" defaultRowHeight="15" x14ac:dyDescent="0.25"/>
  <cols>
    <col min="1" max="1" width="2" customWidth="1"/>
    <col min="2" max="8" width="14" customWidth="1"/>
  </cols>
  <sheetData>
    <row r="1" spans="2:8" ht="25.5" customHeight="1" x14ac:dyDescent="0.25">
      <c r="B1" s="336" t="s">
        <v>5605</v>
      </c>
      <c r="C1" s="334"/>
      <c r="D1" s="334"/>
      <c r="E1" s="334"/>
      <c r="F1" s="334"/>
      <c r="G1" s="334"/>
      <c r="H1" s="335"/>
    </row>
    <row r="3" spans="2:8" ht="18" customHeight="1" x14ac:dyDescent="0.25">
      <c r="B3" s="337" t="s">
        <v>5606</v>
      </c>
      <c r="C3" s="334"/>
      <c r="D3" s="335"/>
    </row>
    <row r="4" spans="2:8" ht="15.75" customHeight="1" x14ac:dyDescent="0.25">
      <c r="B4" s="206" t="s">
        <v>3763</v>
      </c>
      <c r="C4" s="206" t="s">
        <v>5607</v>
      </c>
      <c r="D4" s="206" t="s">
        <v>5608</v>
      </c>
      <c r="E4" s="206" t="s">
        <v>5609</v>
      </c>
    </row>
    <row r="5" spans="2:8" ht="18" customHeight="1" x14ac:dyDescent="0.25">
      <c r="B5" s="207" t="s">
        <v>66</v>
      </c>
      <c r="C5" s="182">
        <v>145</v>
      </c>
      <c r="D5" s="208" t="s">
        <v>5610</v>
      </c>
      <c r="E5" s="209" t="s">
        <v>5611</v>
      </c>
    </row>
    <row r="6" spans="2:8" ht="18" customHeight="1" x14ac:dyDescent="0.25">
      <c r="B6" s="210" t="s">
        <v>93</v>
      </c>
      <c r="C6" s="183">
        <v>97</v>
      </c>
      <c r="D6" s="211" t="s">
        <v>5612</v>
      </c>
      <c r="E6" s="212" t="s">
        <v>5613</v>
      </c>
    </row>
    <row r="7" spans="2:8" ht="18" customHeight="1" x14ac:dyDescent="0.25">
      <c r="B7" s="213" t="s">
        <v>215</v>
      </c>
      <c r="C7" s="184">
        <v>8</v>
      </c>
      <c r="D7" s="214" t="s">
        <v>5614</v>
      </c>
      <c r="E7" s="215" t="s">
        <v>5615</v>
      </c>
    </row>
    <row r="8" spans="2:8" ht="18" customHeight="1" x14ac:dyDescent="0.25">
      <c r="B8" s="216" t="s">
        <v>229</v>
      </c>
      <c r="C8" s="217">
        <v>7</v>
      </c>
      <c r="D8" s="218" t="s">
        <v>5616</v>
      </c>
      <c r="E8" s="219"/>
    </row>
    <row r="9" spans="2:8" ht="18" customHeight="1" x14ac:dyDescent="0.25">
      <c r="B9" s="220" t="s">
        <v>175</v>
      </c>
      <c r="C9" s="221">
        <v>6</v>
      </c>
      <c r="D9" s="222" t="s">
        <v>5617</v>
      </c>
      <c r="E9" s="223"/>
    </row>
    <row r="10" spans="2:8" ht="18" customHeight="1" x14ac:dyDescent="0.25">
      <c r="B10" s="224" t="s">
        <v>153</v>
      </c>
      <c r="C10" s="225">
        <v>5</v>
      </c>
      <c r="D10" s="226" t="s">
        <v>5618</v>
      </c>
      <c r="E10" s="227"/>
    </row>
    <row r="11" spans="2:8" ht="18" customHeight="1" x14ac:dyDescent="0.25">
      <c r="B11" s="228" t="s">
        <v>4</v>
      </c>
      <c r="C11" s="191">
        <v>312</v>
      </c>
    </row>
    <row r="13" spans="2:8" ht="18" customHeight="1" x14ac:dyDescent="0.25">
      <c r="B13" s="337" t="s">
        <v>5619</v>
      </c>
      <c r="C13" s="334"/>
      <c r="D13" s="335"/>
    </row>
    <row r="14" spans="2:8" ht="15.75" customHeight="1" x14ac:dyDescent="0.25">
      <c r="B14" s="206" t="s">
        <v>3762</v>
      </c>
      <c r="C14" s="206" t="s">
        <v>5607</v>
      </c>
      <c r="D14" s="206" t="s">
        <v>5608</v>
      </c>
      <c r="E14" s="206" t="s">
        <v>5609</v>
      </c>
    </row>
    <row r="15" spans="2:8" ht="18" customHeight="1" x14ac:dyDescent="0.25">
      <c r="B15" s="213" t="s">
        <v>34</v>
      </c>
      <c r="C15" s="184">
        <v>222</v>
      </c>
      <c r="D15" s="214" t="s">
        <v>5620</v>
      </c>
      <c r="E15" s="215" t="s">
        <v>5621</v>
      </c>
    </row>
    <row r="16" spans="2:8" ht="18" customHeight="1" x14ac:dyDescent="0.25">
      <c r="B16" s="207" t="s">
        <v>35</v>
      </c>
      <c r="C16" s="182">
        <v>62</v>
      </c>
      <c r="D16" s="208" t="s">
        <v>5622</v>
      </c>
      <c r="E16" s="209" t="s">
        <v>5623</v>
      </c>
    </row>
    <row r="17" spans="2:6" ht="18" customHeight="1" x14ac:dyDescent="0.25">
      <c r="B17" s="210" t="s">
        <v>36</v>
      </c>
      <c r="C17" s="183">
        <v>7</v>
      </c>
      <c r="D17" s="211" t="s">
        <v>5616</v>
      </c>
      <c r="E17" s="212"/>
    </row>
    <row r="18" spans="2:6" ht="18" customHeight="1" x14ac:dyDescent="0.25">
      <c r="B18" s="216" t="s">
        <v>37</v>
      </c>
      <c r="C18" s="217">
        <v>21</v>
      </c>
      <c r="D18" s="218" t="s">
        <v>5624</v>
      </c>
      <c r="E18" s="219" t="s">
        <v>5615</v>
      </c>
    </row>
    <row r="19" spans="2:6" ht="18" customHeight="1" x14ac:dyDescent="0.25">
      <c r="B19" s="228" t="s">
        <v>4</v>
      </c>
      <c r="C19" s="191">
        <v>312</v>
      </c>
    </row>
    <row r="21" spans="2:6" ht="18" customHeight="1" x14ac:dyDescent="0.25">
      <c r="B21" s="337" t="s">
        <v>5625</v>
      </c>
      <c r="C21" s="334"/>
      <c r="D21" s="334"/>
      <c r="E21" s="335"/>
    </row>
    <row r="22" spans="2:6" ht="15.75" customHeight="1" x14ac:dyDescent="0.25">
      <c r="B22" s="206" t="s">
        <v>5626</v>
      </c>
      <c r="C22" s="206" t="s">
        <v>3772</v>
      </c>
      <c r="D22" s="206" t="s">
        <v>3706</v>
      </c>
      <c r="E22" s="206" t="s">
        <v>3707</v>
      </c>
      <c r="F22" s="206" t="s">
        <v>5627</v>
      </c>
    </row>
    <row r="23" spans="2:6" ht="15.75" customHeight="1" x14ac:dyDescent="0.25">
      <c r="B23" s="203" t="s">
        <v>5628</v>
      </c>
      <c r="C23" s="229">
        <v>46</v>
      </c>
      <c r="D23" s="208">
        <v>24</v>
      </c>
      <c r="E23" s="211">
        <v>21</v>
      </c>
      <c r="F23" s="230">
        <v>0</v>
      </c>
    </row>
    <row r="24" spans="2:6" ht="15.75" customHeight="1" x14ac:dyDescent="0.25">
      <c r="B24" s="197" t="s">
        <v>5629</v>
      </c>
      <c r="C24" s="231">
        <v>50</v>
      </c>
      <c r="D24" s="208">
        <v>27</v>
      </c>
      <c r="E24" s="211">
        <v>18</v>
      </c>
      <c r="F24" s="230">
        <v>1</v>
      </c>
    </row>
    <row r="25" spans="2:6" ht="15.75" customHeight="1" x14ac:dyDescent="0.25">
      <c r="B25" s="203" t="s">
        <v>5630</v>
      </c>
      <c r="C25" s="229">
        <v>34</v>
      </c>
      <c r="D25" s="208">
        <v>14</v>
      </c>
      <c r="E25" s="211">
        <v>17</v>
      </c>
      <c r="F25" s="230">
        <v>0</v>
      </c>
    </row>
    <row r="26" spans="2:6" ht="15.75" customHeight="1" x14ac:dyDescent="0.25">
      <c r="B26" s="197" t="s">
        <v>5631</v>
      </c>
      <c r="C26" s="231">
        <v>40</v>
      </c>
      <c r="D26" s="208">
        <v>22</v>
      </c>
      <c r="E26" s="211">
        <v>13</v>
      </c>
      <c r="F26" s="230">
        <v>1</v>
      </c>
    </row>
    <row r="27" spans="2:6" ht="15.75" customHeight="1" x14ac:dyDescent="0.25">
      <c r="B27" s="203" t="s">
        <v>5632</v>
      </c>
      <c r="C27" s="229">
        <v>41</v>
      </c>
      <c r="D27" s="208">
        <v>22</v>
      </c>
      <c r="E27" s="211">
        <v>13</v>
      </c>
      <c r="F27" s="230">
        <v>1</v>
      </c>
    </row>
    <row r="28" spans="2:6" ht="15.75" customHeight="1" x14ac:dyDescent="0.25">
      <c r="B28" s="197" t="s">
        <v>5633</v>
      </c>
      <c r="C28" s="231">
        <v>45</v>
      </c>
      <c r="D28" s="208">
        <v>28</v>
      </c>
      <c r="E28" s="211">
        <v>13</v>
      </c>
      <c r="F28" s="230">
        <v>0</v>
      </c>
    </row>
    <row r="29" spans="2:6" ht="15.75" customHeight="1" x14ac:dyDescent="0.25">
      <c r="B29" s="203" t="s">
        <v>5634</v>
      </c>
      <c r="C29" s="229">
        <v>52</v>
      </c>
      <c r="D29" s="208">
        <v>28</v>
      </c>
      <c r="E29" s="211">
        <v>17</v>
      </c>
      <c r="F29" s="230">
        <v>0</v>
      </c>
    </row>
    <row r="30" spans="2:6" ht="15.75" customHeight="1" x14ac:dyDescent="0.25">
      <c r="B30" s="197" t="s">
        <v>5635</v>
      </c>
      <c r="C30" s="231">
        <v>53</v>
      </c>
      <c r="D30" s="208">
        <v>26</v>
      </c>
      <c r="E30" s="211">
        <v>23</v>
      </c>
      <c r="F30" s="230">
        <v>0</v>
      </c>
    </row>
    <row r="31" spans="2:6" ht="15.75" customHeight="1" x14ac:dyDescent="0.25">
      <c r="B31" s="203" t="s">
        <v>5636</v>
      </c>
      <c r="C31" s="229">
        <v>41</v>
      </c>
      <c r="D31" s="208">
        <v>21</v>
      </c>
      <c r="E31" s="211">
        <v>13</v>
      </c>
      <c r="F31" s="230">
        <v>1</v>
      </c>
    </row>
    <row r="32" spans="2:6" ht="15.75" customHeight="1" x14ac:dyDescent="0.25">
      <c r="B32" s="197" t="s">
        <v>5637</v>
      </c>
      <c r="C32" s="231">
        <v>49</v>
      </c>
      <c r="D32" s="208">
        <v>31</v>
      </c>
      <c r="E32" s="211">
        <v>17</v>
      </c>
      <c r="F32" s="230">
        <v>1</v>
      </c>
    </row>
    <row r="33" spans="2:6" ht="15.75" customHeight="1" x14ac:dyDescent="0.25">
      <c r="B33" s="203" t="s">
        <v>5638</v>
      </c>
      <c r="C33" s="229">
        <v>40</v>
      </c>
      <c r="D33" s="208">
        <v>23</v>
      </c>
      <c r="E33" s="211">
        <v>12</v>
      </c>
      <c r="F33" s="230">
        <v>1</v>
      </c>
    </row>
    <row r="34" spans="2:6" ht="15.75" customHeight="1" x14ac:dyDescent="0.25">
      <c r="B34" s="197" t="s">
        <v>5639</v>
      </c>
      <c r="C34" s="231">
        <v>53</v>
      </c>
      <c r="D34" s="208">
        <v>24</v>
      </c>
      <c r="E34" s="211">
        <v>17</v>
      </c>
      <c r="F34" s="230">
        <v>2</v>
      </c>
    </row>
    <row r="36" spans="2:6" ht="18" customHeight="1" x14ac:dyDescent="0.25">
      <c r="B36" s="337" t="s">
        <v>5640</v>
      </c>
      <c r="C36" s="334"/>
      <c r="D36" s="334"/>
      <c r="E36" s="335"/>
    </row>
    <row r="37" spans="2:6" ht="15.75" customHeight="1" x14ac:dyDescent="0.25">
      <c r="B37" s="206" t="s">
        <v>5641</v>
      </c>
      <c r="C37" s="206" t="s">
        <v>3770</v>
      </c>
      <c r="D37" s="206" t="s">
        <v>3706</v>
      </c>
      <c r="E37" s="206" t="s">
        <v>3707</v>
      </c>
      <c r="F37" s="206" t="s">
        <v>3708</v>
      </c>
    </row>
    <row r="38" spans="2:6" ht="15.75" customHeight="1" x14ac:dyDescent="0.25">
      <c r="B38" s="232" t="s">
        <v>5642</v>
      </c>
      <c r="C38" s="229">
        <v>55</v>
      </c>
      <c r="D38" s="208">
        <v>34</v>
      </c>
      <c r="E38" s="211">
        <v>16</v>
      </c>
      <c r="F38" s="214">
        <v>0</v>
      </c>
    </row>
    <row r="39" spans="2:6" ht="15.75" customHeight="1" x14ac:dyDescent="0.25">
      <c r="B39" s="233" t="s">
        <v>5643</v>
      </c>
      <c r="C39" s="231">
        <v>45</v>
      </c>
      <c r="D39" s="208">
        <v>24</v>
      </c>
      <c r="E39" s="211">
        <v>19</v>
      </c>
      <c r="F39" s="214">
        <v>2</v>
      </c>
    </row>
    <row r="40" spans="2:6" ht="15.75" customHeight="1" x14ac:dyDescent="0.25">
      <c r="B40" s="232" t="s">
        <v>5644</v>
      </c>
      <c r="C40" s="229">
        <v>45</v>
      </c>
      <c r="D40" s="208">
        <v>25</v>
      </c>
      <c r="E40" s="211">
        <v>19</v>
      </c>
      <c r="F40" s="214">
        <v>0</v>
      </c>
    </row>
    <row r="41" spans="2:6" ht="15.75" customHeight="1" x14ac:dyDescent="0.25">
      <c r="B41" s="233" t="s">
        <v>5645</v>
      </c>
      <c r="C41" s="231">
        <v>45</v>
      </c>
      <c r="D41" s="208">
        <v>21</v>
      </c>
      <c r="E41" s="211">
        <v>18</v>
      </c>
      <c r="F41" s="214">
        <v>2</v>
      </c>
    </row>
    <row r="42" spans="2:6" ht="15.75" customHeight="1" x14ac:dyDescent="0.25">
      <c r="B42" s="232" t="s">
        <v>5646</v>
      </c>
      <c r="C42" s="229">
        <v>35</v>
      </c>
      <c r="D42" s="208">
        <v>19</v>
      </c>
      <c r="E42" s="211">
        <v>8</v>
      </c>
      <c r="F42" s="214">
        <v>4</v>
      </c>
    </row>
    <row r="43" spans="2:6" ht="15.75" customHeight="1" x14ac:dyDescent="0.25">
      <c r="B43" s="233" t="s">
        <v>5647</v>
      </c>
      <c r="C43" s="231">
        <v>47</v>
      </c>
      <c r="D43" s="208">
        <v>22</v>
      </c>
      <c r="E43" s="211">
        <v>17</v>
      </c>
      <c r="F43" s="214">
        <v>0</v>
      </c>
    </row>
    <row r="44" spans="2:6" ht="15.75" customHeight="1" x14ac:dyDescent="0.25">
      <c r="B44" s="232" t="s">
        <v>5648</v>
      </c>
      <c r="C44" s="229">
        <v>40</v>
      </c>
      <c r="D44" s="208">
        <v>0</v>
      </c>
      <c r="E44" s="211">
        <v>0</v>
      </c>
      <c r="F44" s="214">
        <v>0</v>
      </c>
    </row>
    <row r="45" spans="2:6" ht="18" customHeight="1" x14ac:dyDescent="0.25">
      <c r="B45" s="228" t="s">
        <v>4</v>
      </c>
      <c r="C45" s="191">
        <v>312</v>
      </c>
      <c r="D45" s="234">
        <v>145</v>
      </c>
      <c r="E45" s="235">
        <v>97</v>
      </c>
    </row>
  </sheetData>
  <mergeCells count="5">
    <mergeCell ref="B3:D3"/>
    <mergeCell ref="B1:H1"/>
    <mergeCell ref="B21:E21"/>
    <mergeCell ref="B13:D13"/>
    <mergeCell ref="B36:E3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13</vt:i4>
      </vt:variant>
      <vt:variant>
        <vt:lpstr>Adlandırılmış Aralıklar</vt:lpstr>
      </vt:variant>
      <vt:variant>
        <vt:i4>3</vt:i4>
      </vt:variant>
    </vt:vector>
  </HeadingPairs>
  <TitlesOfParts>
    <vt:vector size="16" baseType="lpstr">
      <vt:lpstr>Faaliyet</vt:lpstr>
      <vt:lpstr>Başvuru</vt:lpstr>
      <vt:lpstr>Toplantı</vt:lpstr>
      <vt:lpstr>Üye_1</vt:lpstr>
      <vt:lpstr>Üye_2</vt:lpstr>
      <vt:lpstr>Birim</vt:lpstr>
      <vt:lpstr>Birim_Başvuru</vt:lpstr>
      <vt:lpstr>Sorumlu</vt:lpstr>
      <vt:lpstr>Sayılar</vt:lpstr>
      <vt:lpstr>Word_Gündem</vt:lpstr>
      <vt:lpstr>2025</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revision>0</cp:revision>
  <cp:lastPrinted>2026-04-14T10:43:55Z</cp:lastPrinted>
  <dcterms:created xsi:type="dcterms:W3CDTF">2023-01-09T10:46:20Z</dcterms:created>
  <dcterms:modified xsi:type="dcterms:W3CDTF">2026-06-23T08:23:20Z</dcterms:modified>
  <dc:language>en-US</dc:language>
</cp:coreProperties>
</file>